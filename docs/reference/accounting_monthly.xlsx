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 سندس\المرتبات\2026\شهر 2\"/>
    </mc:Choice>
  </mc:AlternateContent>
  <xr:revisionPtr revIDLastSave="0" documentId="13_ncr:1_{B2133CF1-99D0-42FC-82FC-40509F915A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تقرير الرواتب" sheetId="1" r:id="rId1"/>
    <sheet name="فرع الاردنية" sheetId="2" r:id="rId2"/>
    <sheet name="شرايط قبض الاردنية" sheetId="3" r:id="rId3"/>
    <sheet name="فرع الرواد" sheetId="4" r:id="rId4"/>
    <sheet name="شرايط قبض الرواد" sheetId="5" r:id="rId5"/>
    <sheet name="فرع الزقازيق" sheetId="6" r:id="rId6"/>
    <sheet name="شرايط قبض الزقازيق" sheetId="7" r:id="rId7"/>
    <sheet name="فرع السلام" sheetId="8" r:id="rId8"/>
    <sheet name="شرايط قبض السلام" sheetId="9" r:id="rId9"/>
    <sheet name="مركز التجهيزات" sheetId="10" r:id="rId10"/>
    <sheet name="شرايط قبض مركز التجهيزات" sheetId="11" r:id="rId11"/>
    <sheet name="مركز الاتصالات" sheetId="12" r:id="rId12"/>
    <sheet name="شرايط قبض مركز الاتصالات" sheetId="13" r:id="rId13"/>
    <sheet name="الادارة المالية" sheetId="14" r:id="rId14"/>
    <sheet name="شرايط قبض الادارة المالية" sheetId="15" r:id="rId15"/>
    <sheet name="التشغيل" sheetId="16" r:id="rId16"/>
    <sheet name="شرايط قبض التشغيل" sheetId="17" r:id="rId17"/>
  </sheets>
  <definedNames>
    <definedName name="_xlnm._FilterDatabase" localSheetId="13" hidden="1">'الادارة المالية'!$A$3:$AK$80</definedName>
    <definedName name="_xlnm._FilterDatabase" localSheetId="15" hidden="1">التشغيل!$A$3:$AK$80</definedName>
    <definedName name="_xlnm._FilterDatabase" localSheetId="0" hidden="1">'تقرير الرواتب'!$A$4:$AH$201</definedName>
    <definedName name="_xlnm._FilterDatabase" localSheetId="14" hidden="1">'شرايط قبض الادارة المالية'!$A$4:$AH$4</definedName>
    <definedName name="_xlnm._FilterDatabase" localSheetId="2" hidden="1">'شرايط قبض الاردنية'!$A$4:$AH$4</definedName>
    <definedName name="_xlnm._FilterDatabase" localSheetId="16" hidden="1">'شرايط قبض التشغيل'!$A$4:$AH$4</definedName>
    <definedName name="_xlnm._FilterDatabase" localSheetId="4" hidden="1">'شرايط قبض الرواد'!$A$4:$AH$4</definedName>
    <definedName name="_xlnm._FilterDatabase" localSheetId="6" hidden="1">'شرايط قبض الزقازيق'!$A$4:$AH$4</definedName>
    <definedName name="_xlnm._FilterDatabase" localSheetId="8" hidden="1">'شرايط قبض السلام'!$A$4:$AH$4</definedName>
    <definedName name="_xlnm._FilterDatabase" localSheetId="12" hidden="1">'شرايط قبض مركز الاتصالات'!$A$4:$AH$4</definedName>
    <definedName name="_xlnm._FilterDatabase" localSheetId="10" hidden="1">'شرايط قبض مركز التجهيزات'!$A$4:$AH$4</definedName>
    <definedName name="_xlnm._FilterDatabase" localSheetId="1" hidden="1">'فرع الاردنية'!$A$3:$AK$80</definedName>
    <definedName name="_xlnm._FilterDatabase" localSheetId="3" hidden="1">'فرع الرواد'!$A$3:$AK$80</definedName>
    <definedName name="_xlnm._FilterDatabase" localSheetId="5" hidden="1">'فرع الزقازيق'!$A$3:$AK$80</definedName>
    <definedName name="_xlnm._FilterDatabase" localSheetId="7" hidden="1">'فرع السلام'!$A$3:$AK$80</definedName>
    <definedName name="_xlnm._FilterDatabase" localSheetId="11" hidden="1">'مركز الاتصالات'!$A$3:$AK$80</definedName>
    <definedName name="_xlnm._FilterDatabase" localSheetId="9" hidden="1">'مركز التجهيزات'!$A$3:$AK$80</definedName>
    <definedName name="_xlnm.Print_Area" localSheetId="13">'الادارة المالية'!$A$1:$AD$80</definedName>
    <definedName name="_xlnm.Print_Area" localSheetId="15">التشغيل!$A$1:$AD$80</definedName>
    <definedName name="_xlnm.Print_Area" localSheetId="1">'فرع الاردنية'!$A$1:$AD$80</definedName>
    <definedName name="_xlnm.Print_Area" localSheetId="3">'فرع الرواد'!$A$1:$AD$80</definedName>
    <definedName name="_xlnm.Print_Area" localSheetId="5">'فرع الزقازيق'!$A$1:$AD$80</definedName>
    <definedName name="_xlnm.Print_Area" localSheetId="7">'فرع السلام'!$A$1:$AD$80</definedName>
    <definedName name="_xlnm.Print_Area" localSheetId="11">'مركز الاتصالات'!$A$1:$AD$80</definedName>
    <definedName name="_xlnm.Print_Area" localSheetId="9">'مركز التجهيزات'!$A$1:$AD$80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3" l="1"/>
  <c r="J68" i="3"/>
  <c r="L68" i="3"/>
  <c r="O68" i="3" s="1"/>
  <c r="Q68" i="3"/>
  <c r="U68" i="3"/>
  <c r="W68" i="3"/>
  <c r="Y68" i="3"/>
  <c r="AA68" i="3"/>
  <c r="AC68" i="3"/>
  <c r="H60" i="3"/>
  <c r="J60" i="3"/>
  <c r="L60" i="3"/>
  <c r="O60" i="3"/>
  <c r="Q60" i="3"/>
  <c r="U60" i="3"/>
  <c r="W60" i="3"/>
  <c r="Y60" i="3"/>
  <c r="AA60" i="3"/>
  <c r="AC60" i="3"/>
  <c r="H52" i="3"/>
  <c r="J52" i="3"/>
  <c r="L52" i="3"/>
  <c r="O52" i="3" s="1"/>
  <c r="Q52" i="3"/>
  <c r="U52" i="3"/>
  <c r="W52" i="3"/>
  <c r="Y52" i="3"/>
  <c r="AA52" i="3"/>
  <c r="AC52" i="3"/>
  <c r="H40" i="3"/>
  <c r="W40" i="3" s="1"/>
  <c r="J40" i="3"/>
  <c r="L40" i="3"/>
  <c r="O40" i="3" s="1"/>
  <c r="Q40" i="3"/>
  <c r="U40" i="3"/>
  <c r="Y40" i="3"/>
  <c r="AA40" i="3"/>
  <c r="AC40" i="3"/>
  <c r="W92" i="3"/>
  <c r="J92" i="3"/>
  <c r="L92" i="3"/>
  <c r="Q92" i="3"/>
  <c r="U92" i="3"/>
  <c r="Y92" i="3"/>
  <c r="AA92" i="3"/>
  <c r="AC92" i="3"/>
  <c r="AC88" i="3"/>
  <c r="AA88" i="3"/>
  <c r="Y88" i="3"/>
  <c r="U88" i="3"/>
  <c r="Q88" i="3"/>
  <c r="L88" i="3"/>
  <c r="J88" i="3"/>
  <c r="O88" i="3" s="1"/>
  <c r="H88" i="3"/>
  <c r="W88" i="3" s="1"/>
  <c r="AC84" i="3"/>
  <c r="AA84" i="3"/>
  <c r="Y84" i="3"/>
  <c r="U84" i="3"/>
  <c r="Q84" i="3"/>
  <c r="L84" i="3"/>
  <c r="J84" i="3"/>
  <c r="O84" i="3" s="1"/>
  <c r="H84" i="3"/>
  <c r="W84" i="3" s="1"/>
  <c r="AC80" i="3"/>
  <c r="AA80" i="3"/>
  <c r="Y80" i="3"/>
  <c r="U80" i="3"/>
  <c r="Q80" i="3"/>
  <c r="L80" i="3"/>
  <c r="J80" i="3"/>
  <c r="O80" i="3" s="1"/>
  <c r="H80" i="3"/>
  <c r="W80" i="3" s="1"/>
  <c r="AC76" i="3"/>
  <c r="AA76" i="3"/>
  <c r="Y76" i="3"/>
  <c r="U76" i="3"/>
  <c r="Q76" i="3"/>
  <c r="L76" i="3"/>
  <c r="O76" i="3" s="1"/>
  <c r="J76" i="3"/>
  <c r="H76" i="3"/>
  <c r="W76" i="3" s="1"/>
  <c r="AC72" i="3"/>
  <c r="AA72" i="3"/>
  <c r="Y72" i="3"/>
  <c r="U72" i="3"/>
  <c r="Q72" i="3"/>
  <c r="L72" i="3"/>
  <c r="J72" i="3"/>
  <c r="O72" i="3" s="1"/>
  <c r="H72" i="3"/>
  <c r="W72" i="3" s="1"/>
  <c r="AC64" i="3"/>
  <c r="AA64" i="3"/>
  <c r="Y64" i="3"/>
  <c r="U64" i="3"/>
  <c r="Q64" i="3"/>
  <c r="L64" i="3"/>
  <c r="O64" i="3" s="1"/>
  <c r="J64" i="3"/>
  <c r="H64" i="3"/>
  <c r="W64" i="3" s="1"/>
  <c r="AC56" i="3"/>
  <c r="AA56" i="3"/>
  <c r="Y56" i="3"/>
  <c r="AF56" i="3" s="1"/>
  <c r="W56" i="3"/>
  <c r="U56" i="3"/>
  <c r="Q56" i="3"/>
  <c r="L56" i="3"/>
  <c r="O56" i="3" s="1"/>
  <c r="AG56" i="3" s="1"/>
  <c r="J56" i="3"/>
  <c r="H56" i="3"/>
  <c r="AC48" i="3"/>
  <c r="AA48" i="3"/>
  <c r="Y48" i="3"/>
  <c r="U48" i="3"/>
  <c r="Q48" i="3"/>
  <c r="L48" i="3"/>
  <c r="O48" i="3" s="1"/>
  <c r="J48" i="3"/>
  <c r="H48" i="3"/>
  <c r="W48" i="3" s="1"/>
  <c r="AC44" i="3"/>
  <c r="AA44" i="3"/>
  <c r="Y44" i="3"/>
  <c r="AF44" i="3" s="1"/>
  <c r="U44" i="3"/>
  <c r="Q44" i="3"/>
  <c r="O44" i="3"/>
  <c r="L44" i="3"/>
  <c r="J44" i="3"/>
  <c r="H44" i="3"/>
  <c r="W44" i="3" s="1"/>
  <c r="AC36" i="3"/>
  <c r="AA36" i="3"/>
  <c r="Y36" i="3"/>
  <c r="U36" i="3"/>
  <c r="Q36" i="3"/>
  <c r="L36" i="3"/>
  <c r="O36" i="3" s="1"/>
  <c r="J36" i="3"/>
  <c r="H36" i="3"/>
  <c r="W36" i="3" s="1"/>
  <c r="AF32" i="3"/>
  <c r="AC32" i="3"/>
  <c r="AA32" i="3"/>
  <c r="Y32" i="3"/>
  <c r="W32" i="3"/>
  <c r="U32" i="3"/>
  <c r="Q32" i="3"/>
  <c r="L32" i="3"/>
  <c r="O32" i="3" s="1"/>
  <c r="AG32" i="3" s="1"/>
  <c r="J32" i="3"/>
  <c r="H32" i="3"/>
  <c r="AC28" i="3"/>
  <c r="AA28" i="3"/>
  <c r="Y28" i="3"/>
  <c r="AF28" i="3" s="1"/>
  <c r="W28" i="3"/>
  <c r="U28" i="3"/>
  <c r="Q28" i="3"/>
  <c r="L28" i="3"/>
  <c r="O28" i="3" s="1"/>
  <c r="AG28" i="3" s="1"/>
  <c r="J28" i="3"/>
  <c r="H28" i="3"/>
  <c r="AC24" i="3"/>
  <c r="AA24" i="3"/>
  <c r="Y24" i="3"/>
  <c r="U24" i="3"/>
  <c r="Q24" i="3"/>
  <c r="L24" i="3"/>
  <c r="J24" i="3"/>
  <c r="O24" i="3" s="1"/>
  <c r="H24" i="3"/>
  <c r="W24" i="3" s="1"/>
  <c r="AC20" i="3"/>
  <c r="AA20" i="3"/>
  <c r="Y20" i="3"/>
  <c r="U20" i="3"/>
  <c r="Q20" i="3"/>
  <c r="L20" i="3"/>
  <c r="J20" i="3"/>
  <c r="O20" i="3" s="1"/>
  <c r="H20" i="3"/>
  <c r="W20" i="3" s="1"/>
  <c r="AC16" i="3"/>
  <c r="AA16" i="3"/>
  <c r="Y16" i="3"/>
  <c r="U16" i="3"/>
  <c r="Q16" i="3"/>
  <c r="L16" i="3"/>
  <c r="J16" i="3"/>
  <c r="O16" i="3" s="1"/>
  <c r="H16" i="3"/>
  <c r="W16" i="3" s="1"/>
  <c r="AC12" i="3"/>
  <c r="AA12" i="3"/>
  <c r="Y12" i="3"/>
  <c r="U12" i="3"/>
  <c r="Q12" i="3"/>
  <c r="L12" i="3"/>
  <c r="O12" i="3" s="1"/>
  <c r="J12" i="3"/>
  <c r="H12" i="3"/>
  <c r="W12" i="3" s="1"/>
  <c r="AC8" i="3"/>
  <c r="AA8" i="3"/>
  <c r="Y8" i="3"/>
  <c r="U8" i="3"/>
  <c r="Q8" i="3"/>
  <c r="L8" i="3"/>
  <c r="J8" i="3"/>
  <c r="O8" i="3" s="1"/>
  <c r="H8" i="3"/>
  <c r="W8" i="3" s="1"/>
  <c r="AC4" i="3"/>
  <c r="AA4" i="3"/>
  <c r="Y4" i="3"/>
  <c r="AF4" i="3" s="1"/>
  <c r="W4" i="3"/>
  <c r="U4" i="3"/>
  <c r="Q4" i="3"/>
  <c r="L4" i="3"/>
  <c r="O4" i="3" s="1"/>
  <c r="AG4" i="3" s="1"/>
  <c r="J4" i="3"/>
  <c r="H4" i="3"/>
  <c r="AC19" i="1"/>
  <c r="AA19" i="1"/>
  <c r="Y19" i="1"/>
  <c r="U19" i="1"/>
  <c r="Q19" i="1"/>
  <c r="L19" i="1"/>
  <c r="J19" i="1"/>
  <c r="H19" i="1"/>
  <c r="W19" i="1" s="1"/>
  <c r="AC21" i="1"/>
  <c r="AA21" i="1"/>
  <c r="Y21" i="1"/>
  <c r="U21" i="1"/>
  <c r="Q21" i="1"/>
  <c r="L21" i="1"/>
  <c r="J21" i="1"/>
  <c r="H21" i="1"/>
  <c r="W21" i="1" s="1"/>
  <c r="J17" i="1"/>
  <c r="AC14" i="1"/>
  <c r="AA14" i="1"/>
  <c r="Y14" i="1"/>
  <c r="U14" i="1"/>
  <c r="Q14" i="1"/>
  <c r="L14" i="1"/>
  <c r="J14" i="1"/>
  <c r="H14" i="1"/>
  <c r="W14" i="1" s="1"/>
  <c r="AC20" i="1"/>
  <c r="AA20" i="1"/>
  <c r="Y20" i="1"/>
  <c r="U20" i="1"/>
  <c r="Q20" i="1"/>
  <c r="L20" i="1"/>
  <c r="J20" i="1"/>
  <c r="H20" i="1"/>
  <c r="W20" i="1" s="1"/>
  <c r="O92" i="3" l="1"/>
  <c r="AF92" i="3"/>
  <c r="AG92" i="3"/>
  <c r="AF88" i="3"/>
  <c r="AG88" i="3" s="1"/>
  <c r="AF84" i="3"/>
  <c r="AG84" i="3" s="1"/>
  <c r="AF80" i="3"/>
  <c r="AG80" i="3"/>
  <c r="AF76" i="3"/>
  <c r="AG76" i="3" s="1"/>
  <c r="AF72" i="3"/>
  <c r="AG72" i="3" s="1"/>
  <c r="AF68" i="3"/>
  <c r="AG68" i="3" s="1"/>
  <c r="AF64" i="3"/>
  <c r="AG64" i="3" s="1"/>
  <c r="AF60" i="3"/>
  <c r="AG60" i="3" s="1"/>
  <c r="AF52" i="3"/>
  <c r="AG52" i="3" s="1"/>
  <c r="AF48" i="3"/>
  <c r="AG48" i="3"/>
  <c r="AG44" i="3"/>
  <c r="AF40" i="3"/>
  <c r="AG40" i="3" s="1"/>
  <c r="AF36" i="3"/>
  <c r="AG36" i="3" s="1"/>
  <c r="AF24" i="3"/>
  <c r="AG24" i="3" s="1"/>
  <c r="AF20" i="3"/>
  <c r="AG20" i="3" s="1"/>
  <c r="AF16" i="3"/>
  <c r="AG16" i="3" s="1"/>
  <c r="AF12" i="3"/>
  <c r="AG12" i="3"/>
  <c r="AF8" i="3"/>
  <c r="AG8" i="3" s="1"/>
  <c r="O21" i="1"/>
  <c r="O19" i="1"/>
  <c r="AF19" i="1"/>
  <c r="AG19" i="1" s="1"/>
  <c r="AF21" i="1"/>
  <c r="O20" i="1"/>
  <c r="AF20" i="1"/>
  <c r="O14" i="1"/>
  <c r="AF14" i="1"/>
  <c r="AC13" i="1"/>
  <c r="AA13" i="1"/>
  <c r="Y13" i="1"/>
  <c r="U13" i="1"/>
  <c r="Q13" i="1"/>
  <c r="L13" i="1"/>
  <c r="J13" i="1"/>
  <c r="H13" i="1"/>
  <c r="W13" i="1" s="1"/>
  <c r="AG20" i="1" l="1"/>
  <c r="AG21" i="1"/>
  <c r="AG14" i="1"/>
  <c r="O13" i="1"/>
  <c r="AF13" i="1"/>
  <c r="J18" i="1"/>
  <c r="AG13" i="1" l="1"/>
  <c r="G202" i="1"/>
  <c r="I202" i="1"/>
  <c r="K202" i="1"/>
  <c r="M202" i="1"/>
  <c r="N202" i="1"/>
  <c r="P202" i="1"/>
  <c r="R202" i="1"/>
  <c r="S202" i="1"/>
  <c r="T202" i="1"/>
  <c r="V202" i="1"/>
  <c r="X202" i="1"/>
  <c r="Z202" i="1"/>
  <c r="AB202" i="1"/>
  <c r="AD202" i="1"/>
  <c r="AE202" i="1"/>
  <c r="E202" i="1"/>
  <c r="F20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AC112" i="3" l="1"/>
  <c r="AA112" i="3"/>
  <c r="Y112" i="3"/>
  <c r="U112" i="3"/>
  <c r="Q112" i="3"/>
  <c r="L112" i="3"/>
  <c r="J112" i="3"/>
  <c r="H112" i="3"/>
  <c r="W112" i="3" s="1"/>
  <c r="AC108" i="3"/>
  <c r="AA108" i="3"/>
  <c r="Y108" i="3"/>
  <c r="U108" i="3"/>
  <c r="Q108" i="3"/>
  <c r="L108" i="3"/>
  <c r="J108" i="3"/>
  <c r="H108" i="3"/>
  <c r="W108" i="3" s="1"/>
  <c r="AC104" i="3"/>
  <c r="AA104" i="3"/>
  <c r="Y104" i="3"/>
  <c r="U104" i="3"/>
  <c r="Q104" i="3"/>
  <c r="L104" i="3"/>
  <c r="J104" i="3"/>
  <c r="H104" i="3"/>
  <c r="W104" i="3" s="1"/>
  <c r="AC100" i="3"/>
  <c r="AA100" i="3"/>
  <c r="Y100" i="3"/>
  <c r="U100" i="3"/>
  <c r="Q100" i="3"/>
  <c r="L100" i="3"/>
  <c r="J100" i="3"/>
  <c r="H100" i="3"/>
  <c r="W100" i="3" s="1"/>
  <c r="AC96" i="3"/>
  <c r="AA96" i="3"/>
  <c r="Y96" i="3"/>
  <c r="U96" i="3"/>
  <c r="Q96" i="3"/>
  <c r="L96" i="3"/>
  <c r="J96" i="3"/>
  <c r="H96" i="3"/>
  <c r="W96" i="3" s="1"/>
  <c r="AF96" i="3" s="1"/>
  <c r="J16" i="1"/>
  <c r="J7" i="1"/>
  <c r="J8" i="1"/>
  <c r="J9" i="1"/>
  <c r="J10" i="1"/>
  <c r="J11" i="1"/>
  <c r="J12" i="1"/>
  <c r="J15" i="1"/>
  <c r="J22" i="1"/>
  <c r="J23" i="1"/>
  <c r="J24" i="1"/>
  <c r="J25" i="1"/>
  <c r="J26" i="1"/>
  <c r="J27" i="1"/>
  <c r="J28" i="1"/>
  <c r="J29" i="1"/>
  <c r="J30" i="1"/>
  <c r="J31" i="1"/>
  <c r="J32" i="1"/>
  <c r="H6" i="1"/>
  <c r="W6" i="1" s="1"/>
  <c r="J6" i="1"/>
  <c r="L6" i="1"/>
  <c r="Q6" i="1"/>
  <c r="U6" i="1"/>
  <c r="Y6" i="1"/>
  <c r="AA6" i="1"/>
  <c r="AC6" i="1"/>
  <c r="AF108" i="3" l="1"/>
  <c r="AF104" i="3"/>
  <c r="O104" i="3"/>
  <c r="O100" i="3"/>
  <c r="AF6" i="1"/>
  <c r="O108" i="3"/>
  <c r="AG108" i="3" s="1"/>
  <c r="O112" i="3"/>
  <c r="O6" i="1"/>
  <c r="O96" i="3"/>
  <c r="AG96" i="3" s="1"/>
  <c r="AF112" i="3"/>
  <c r="AF100" i="3"/>
  <c r="AG100" i="3" s="1"/>
  <c r="Q5" i="1"/>
  <c r="Q7" i="1"/>
  <c r="Q8" i="1"/>
  <c r="Q9" i="1"/>
  <c r="Q10" i="1"/>
  <c r="Q11" i="1"/>
  <c r="Q12" i="1"/>
  <c r="Q15" i="1"/>
  <c r="Q16" i="1"/>
  <c r="Q17" i="1"/>
  <c r="Q18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A308" i="3"/>
  <c r="B308" i="3"/>
  <c r="G308" i="3"/>
  <c r="AG104" i="3" l="1"/>
  <c r="AG6" i="1"/>
  <c r="Q202" i="1"/>
  <c r="AG112" i="3"/>
  <c r="Q201" i="1"/>
  <c r="I201" i="1"/>
  <c r="U5" i="1" l="1"/>
  <c r="K201" i="1" l="1"/>
  <c r="M201" i="1"/>
  <c r="N201" i="1"/>
  <c r="P201" i="1"/>
  <c r="R201" i="1"/>
  <c r="S201" i="1"/>
  <c r="T201" i="1"/>
  <c r="V201" i="1"/>
  <c r="X201" i="1"/>
  <c r="Z201" i="1"/>
  <c r="AB201" i="1"/>
  <c r="AE201" i="1"/>
  <c r="G201" i="1"/>
  <c r="L15" i="1" l="1"/>
  <c r="AA16" i="1"/>
  <c r="Y17" i="1"/>
  <c r="U23" i="1"/>
  <c r="U31" i="1"/>
  <c r="L34" i="1"/>
  <c r="U39" i="1"/>
  <c r="L41" i="1"/>
  <c r="AA46" i="1"/>
  <c r="AA47" i="1"/>
  <c r="U51" i="1"/>
  <c r="Y64" i="1"/>
  <c r="L66" i="1"/>
  <c r="L74" i="1"/>
  <c r="Y80" i="1"/>
  <c r="L82" i="1"/>
  <c r="U90" i="1"/>
  <c r="AA91" i="1"/>
  <c r="L93" i="1"/>
  <c r="U98" i="1"/>
  <c r="U107" i="1"/>
  <c r="U113" i="1"/>
  <c r="Y114" i="1"/>
  <c r="L121" i="1"/>
  <c r="U131" i="1"/>
  <c r="L133" i="1"/>
  <c r="U135" i="1"/>
  <c r="AA137" i="1"/>
  <c r="Y142" i="1"/>
  <c r="L149" i="1"/>
  <c r="AA151" i="1"/>
  <c r="L157" i="1"/>
  <c r="L163" i="1"/>
  <c r="Y173" i="1"/>
  <c r="Y179" i="1"/>
  <c r="Y181" i="1"/>
  <c r="Y189" i="1"/>
  <c r="H191" i="1"/>
  <c r="W191" i="1" s="1"/>
  <c r="Y195" i="1"/>
  <c r="AC7" i="1"/>
  <c r="AC8" i="1"/>
  <c r="AC9" i="1"/>
  <c r="AC10" i="1"/>
  <c r="AC11" i="1"/>
  <c r="AC12" i="1"/>
  <c r="AC15" i="1"/>
  <c r="AC16" i="1"/>
  <c r="AC17" i="1"/>
  <c r="AC18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H193" i="1" l="1"/>
  <c r="W193" i="1" s="1"/>
  <c r="Y139" i="1"/>
  <c r="Y111" i="1"/>
  <c r="H104" i="1"/>
  <c r="Y167" i="1"/>
  <c r="AA131" i="1"/>
  <c r="Y183" i="1"/>
  <c r="Y171" i="1"/>
  <c r="AA133" i="1"/>
  <c r="Y165" i="1"/>
  <c r="AA135" i="1"/>
  <c r="U109" i="1"/>
  <c r="H187" i="1"/>
  <c r="W187" i="1" s="1"/>
  <c r="Y187" i="1"/>
  <c r="Y175" i="1"/>
  <c r="L159" i="1"/>
  <c r="U159" i="1"/>
  <c r="U153" i="1"/>
  <c r="L153" i="1"/>
  <c r="L147" i="1"/>
  <c r="AA147" i="1"/>
  <c r="U141" i="1"/>
  <c r="Y141" i="1"/>
  <c r="AA129" i="1"/>
  <c r="U123" i="1"/>
  <c r="AA123" i="1"/>
  <c r="AA119" i="1"/>
  <c r="Y107" i="1"/>
  <c r="H107" i="1"/>
  <c r="W107" i="1" s="1"/>
  <c r="U101" i="1"/>
  <c r="AA101" i="1"/>
  <c r="L101" i="1"/>
  <c r="Y95" i="1"/>
  <c r="L95" i="1"/>
  <c r="U95" i="1"/>
  <c r="AA95" i="1"/>
  <c r="Y89" i="1"/>
  <c r="L89" i="1"/>
  <c r="L83" i="1"/>
  <c r="AA83" i="1"/>
  <c r="L77" i="1"/>
  <c r="U77" i="1"/>
  <c r="AA71" i="1"/>
  <c r="L71" i="1"/>
  <c r="U71" i="1"/>
  <c r="AA67" i="1"/>
  <c r="L67" i="1"/>
  <c r="U67" i="1"/>
  <c r="U61" i="1"/>
  <c r="Y61" i="1"/>
  <c r="H61" i="1"/>
  <c r="W61" i="1" s="1"/>
  <c r="H55" i="1"/>
  <c r="W55" i="1" s="1"/>
  <c r="U55" i="1"/>
  <c r="Y55" i="1"/>
  <c r="H49" i="1"/>
  <c r="W49" i="1" s="1"/>
  <c r="Y49" i="1"/>
  <c r="L43" i="1"/>
  <c r="U43" i="1"/>
  <c r="Y43" i="1"/>
  <c r="Y35" i="1"/>
  <c r="AA35" i="1"/>
  <c r="L35" i="1"/>
  <c r="Y29" i="1"/>
  <c r="U29" i="1"/>
  <c r="AA29" i="1"/>
  <c r="Y23" i="1"/>
  <c r="AA23" i="1"/>
  <c r="L23" i="1"/>
  <c r="U18" i="1"/>
  <c r="Y18" i="1"/>
  <c r="AA18" i="1"/>
  <c r="U163" i="1"/>
  <c r="L155" i="1"/>
  <c r="AA155" i="1"/>
  <c r="U149" i="1"/>
  <c r="AA149" i="1"/>
  <c r="L143" i="1"/>
  <c r="U143" i="1"/>
  <c r="AA125" i="1"/>
  <c r="L125" i="1"/>
  <c r="AA117" i="1"/>
  <c r="Y103" i="1"/>
  <c r="U103" i="1"/>
  <c r="L103" i="1"/>
  <c r="AA103" i="1"/>
  <c r="L97" i="1"/>
  <c r="U97" i="1"/>
  <c r="Y97" i="1"/>
  <c r="U91" i="1"/>
  <c r="Y91" i="1"/>
  <c r="Y85" i="1"/>
  <c r="L85" i="1"/>
  <c r="AA85" i="1"/>
  <c r="AA79" i="1"/>
  <c r="U79" i="1"/>
  <c r="L79" i="1"/>
  <c r="L73" i="1"/>
  <c r="AA73" i="1"/>
  <c r="U73" i="1"/>
  <c r="L65" i="1"/>
  <c r="U65" i="1"/>
  <c r="AA65" i="1"/>
  <c r="U57" i="1"/>
  <c r="H57" i="1"/>
  <c r="W57" i="1" s="1"/>
  <c r="Y57" i="1"/>
  <c r="U45" i="1"/>
  <c r="Y45" i="1"/>
  <c r="AA45" i="1"/>
  <c r="Y39" i="1"/>
  <c r="AA39" i="1"/>
  <c r="L39" i="1"/>
  <c r="Y33" i="1"/>
  <c r="AA33" i="1"/>
  <c r="U33" i="1"/>
  <c r="Y27" i="1"/>
  <c r="AA27" i="1"/>
  <c r="L27" i="1"/>
  <c r="Y10" i="1"/>
  <c r="U10" i="1"/>
  <c r="AA10" i="1"/>
  <c r="L10" i="1"/>
  <c r="U155" i="1"/>
  <c r="L137" i="1"/>
  <c r="U111" i="1"/>
  <c r="U49" i="1"/>
  <c r="L18" i="1"/>
  <c r="H195" i="1"/>
  <c r="W195" i="1" s="1"/>
  <c r="L117" i="1"/>
  <c r="Y101" i="1"/>
  <c r="Y83" i="1"/>
  <c r="AA43" i="1"/>
  <c r="U35" i="1"/>
  <c r="U27" i="1"/>
  <c r="H185" i="1"/>
  <c r="W185" i="1" s="1"/>
  <c r="AA161" i="1"/>
  <c r="L161" i="1"/>
  <c r="U157" i="1"/>
  <c r="AA157" i="1"/>
  <c r="L151" i="1"/>
  <c r="U151" i="1"/>
  <c r="U145" i="1"/>
  <c r="L145" i="1"/>
  <c r="AA127" i="1"/>
  <c r="U127" i="1"/>
  <c r="AA121" i="1"/>
  <c r="AA115" i="1"/>
  <c r="U115" i="1"/>
  <c r="H105" i="1"/>
  <c r="W105" i="1" s="1"/>
  <c r="L99" i="1"/>
  <c r="Y99" i="1"/>
  <c r="U99" i="1"/>
  <c r="U93" i="1"/>
  <c r="AA93" i="1"/>
  <c r="Y93" i="1"/>
  <c r="U87" i="1"/>
  <c r="L87" i="1"/>
  <c r="AA87" i="1"/>
  <c r="L81" i="1"/>
  <c r="AA75" i="1"/>
  <c r="L75" i="1"/>
  <c r="AA69" i="1"/>
  <c r="L69" i="1"/>
  <c r="U69" i="1"/>
  <c r="U63" i="1"/>
  <c r="Y63" i="1"/>
  <c r="H59" i="1"/>
  <c r="W59" i="1" s="1"/>
  <c r="U59" i="1"/>
  <c r="Y59" i="1"/>
  <c r="U53" i="1"/>
  <c r="Y53" i="1"/>
  <c r="Y47" i="1"/>
  <c r="H47" i="1"/>
  <c r="W47" i="1" s="1"/>
  <c r="L47" i="1"/>
  <c r="U47" i="1"/>
  <c r="AA41" i="1"/>
  <c r="U41" i="1"/>
  <c r="Y41" i="1"/>
  <c r="Y37" i="1"/>
  <c r="U37" i="1"/>
  <c r="AA37" i="1"/>
  <c r="Y31" i="1"/>
  <c r="AA31" i="1"/>
  <c r="L31" i="1"/>
  <c r="Y25" i="1"/>
  <c r="U25" i="1"/>
  <c r="AA25" i="1"/>
  <c r="U16" i="1"/>
  <c r="L16" i="1"/>
  <c r="Y16" i="1"/>
  <c r="AA12" i="1"/>
  <c r="L12" i="1"/>
  <c r="U12" i="1"/>
  <c r="Y12" i="1"/>
  <c r="Y9" i="1"/>
  <c r="L9" i="1"/>
  <c r="U9" i="1"/>
  <c r="Y7" i="1"/>
  <c r="U7" i="1"/>
  <c r="AA7" i="1"/>
  <c r="L7" i="1"/>
  <c r="AA153" i="1"/>
  <c r="U139" i="1"/>
  <c r="H109" i="1"/>
  <c r="W109" i="1" s="1"/>
  <c r="AA99" i="1"/>
  <c r="Y81" i="1"/>
  <c r="L33" i="1"/>
  <c r="L25" i="1"/>
  <c r="AA9" i="1"/>
  <c r="AA163" i="1"/>
  <c r="U161" i="1"/>
  <c r="AA159" i="1"/>
  <c r="U147" i="1"/>
  <c r="AA145" i="1"/>
  <c r="AA143" i="1"/>
  <c r="L129" i="1"/>
  <c r="U119" i="1"/>
  <c r="U105" i="1"/>
  <c r="H103" i="1"/>
  <c r="W103" i="1" s="1"/>
  <c r="AA77" i="1"/>
  <c r="L45" i="1"/>
  <c r="L37" i="1"/>
  <c r="L29" i="1"/>
  <c r="U75" i="1"/>
  <c r="Y191" i="1"/>
  <c r="U173" i="1"/>
  <c r="U171" i="1"/>
  <c r="L139" i="1"/>
  <c r="U137" i="1"/>
  <c r="L135" i="1"/>
  <c r="U133" i="1"/>
  <c r="L131" i="1"/>
  <c r="U129" i="1"/>
  <c r="L127" i="1"/>
  <c r="U125" i="1"/>
  <c r="L123" i="1"/>
  <c r="U121" i="1"/>
  <c r="L119" i="1"/>
  <c r="U117" i="1"/>
  <c r="L115" i="1"/>
  <c r="Y113" i="1"/>
  <c r="Y109" i="1"/>
  <c r="Y105" i="1"/>
  <c r="U200" i="1"/>
  <c r="U194" i="1"/>
  <c r="U192" i="1"/>
  <c r="H184" i="1"/>
  <c r="W184" i="1" s="1"/>
  <c r="Y182" i="1"/>
  <c r="Y168" i="1"/>
  <c r="Y166" i="1"/>
  <c r="Y162" i="1"/>
  <c r="Y156" i="1"/>
  <c r="Y154" i="1"/>
  <c r="Y148" i="1"/>
  <c r="Y146" i="1"/>
  <c r="Y144" i="1"/>
  <c r="Y140" i="1"/>
  <c r="Y138" i="1"/>
  <c r="AA136" i="1"/>
  <c r="Y134" i="1"/>
  <c r="AA132" i="1"/>
  <c r="L130" i="1"/>
  <c r="U124" i="1"/>
  <c r="U114" i="1"/>
  <c r="U106" i="1"/>
  <c r="Y199" i="1"/>
  <c r="Y197" i="1"/>
  <c r="Y32" i="1"/>
  <c r="U92" i="1"/>
  <c r="Y193" i="1"/>
  <c r="H189" i="1"/>
  <c r="W189" i="1" s="1"/>
  <c r="Y185" i="1"/>
  <c r="Y177" i="1"/>
  <c r="Y169" i="1"/>
  <c r="Y163" i="1"/>
  <c r="Y161" i="1"/>
  <c r="Y159" i="1"/>
  <c r="Y157" i="1"/>
  <c r="Y155" i="1"/>
  <c r="Y153" i="1"/>
  <c r="Y151" i="1"/>
  <c r="Y149" i="1"/>
  <c r="Y147" i="1"/>
  <c r="Y145" i="1"/>
  <c r="Y143" i="1"/>
  <c r="AA141" i="1"/>
  <c r="L141" i="1"/>
  <c r="AA139" i="1"/>
  <c r="AA97" i="1"/>
  <c r="L91" i="1"/>
  <c r="AA89" i="1"/>
  <c r="Y87" i="1"/>
  <c r="AA81" i="1"/>
  <c r="Y48" i="1"/>
  <c r="Y137" i="1"/>
  <c r="Y135" i="1"/>
  <c r="Y133" i="1"/>
  <c r="Y131" i="1"/>
  <c r="H129" i="1"/>
  <c r="W129" i="1" s="1"/>
  <c r="Y129" i="1"/>
  <c r="H127" i="1"/>
  <c r="W127" i="1" s="1"/>
  <c r="Y127" i="1"/>
  <c r="H125" i="1"/>
  <c r="W125" i="1" s="1"/>
  <c r="Y125" i="1"/>
  <c r="Y123" i="1"/>
  <c r="Y121" i="1"/>
  <c r="Y119" i="1"/>
  <c r="Y117" i="1"/>
  <c r="Y115" i="1"/>
  <c r="L113" i="1"/>
  <c r="AA113" i="1"/>
  <c r="L111" i="1"/>
  <c r="AA111" i="1"/>
  <c r="L109" i="1"/>
  <c r="AA109" i="1"/>
  <c r="L107" i="1"/>
  <c r="AA107" i="1"/>
  <c r="L105" i="1"/>
  <c r="AA105" i="1"/>
  <c r="U89" i="1"/>
  <c r="U85" i="1"/>
  <c r="U83" i="1"/>
  <c r="U81" i="1"/>
  <c r="Y79" i="1"/>
  <c r="Y77" i="1"/>
  <c r="Y75" i="1"/>
  <c r="H73" i="1"/>
  <c r="W73" i="1" s="1"/>
  <c r="Y73" i="1"/>
  <c r="Y71" i="1"/>
  <c r="Y69" i="1"/>
  <c r="Y67" i="1"/>
  <c r="Y65" i="1"/>
  <c r="L63" i="1"/>
  <c r="AA63" i="1"/>
  <c r="L61" i="1"/>
  <c r="AA61" i="1"/>
  <c r="L59" i="1"/>
  <c r="AA59" i="1"/>
  <c r="L57" i="1"/>
  <c r="AA57" i="1"/>
  <c r="L55" i="1"/>
  <c r="AA55" i="1"/>
  <c r="L53" i="1"/>
  <c r="AA53" i="1"/>
  <c r="L51" i="1"/>
  <c r="AA51" i="1"/>
  <c r="L49" i="1"/>
  <c r="AA49" i="1"/>
  <c r="AA199" i="1"/>
  <c r="L199" i="1"/>
  <c r="AA197" i="1"/>
  <c r="L197" i="1"/>
  <c r="AA195" i="1"/>
  <c r="L195" i="1"/>
  <c r="AA193" i="1"/>
  <c r="L193" i="1"/>
  <c r="AA191" i="1"/>
  <c r="L191" i="1"/>
  <c r="O191" i="1" s="1"/>
  <c r="AA189" i="1"/>
  <c r="L189" i="1"/>
  <c r="AA187" i="1"/>
  <c r="L187" i="1"/>
  <c r="O187" i="1" s="1"/>
  <c r="AA185" i="1"/>
  <c r="L185" i="1"/>
  <c r="AA183" i="1"/>
  <c r="L183" i="1"/>
  <c r="AA181" i="1"/>
  <c r="L181" i="1"/>
  <c r="AA179" i="1"/>
  <c r="L179" i="1"/>
  <c r="AA177" i="1"/>
  <c r="L177" i="1"/>
  <c r="AA175" i="1"/>
  <c r="L175" i="1"/>
  <c r="AA173" i="1"/>
  <c r="L173" i="1"/>
  <c r="AA171" i="1"/>
  <c r="L171" i="1"/>
  <c r="AA169" i="1"/>
  <c r="L169" i="1"/>
  <c r="AA167" i="1"/>
  <c r="L167" i="1"/>
  <c r="AA165" i="1"/>
  <c r="L165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69" i="1"/>
  <c r="U167" i="1"/>
  <c r="U165" i="1"/>
  <c r="H188" i="1"/>
  <c r="W188" i="1" s="1"/>
  <c r="Y178" i="1"/>
  <c r="Y126" i="1"/>
  <c r="U100" i="1"/>
  <c r="Y90" i="1"/>
  <c r="Y74" i="1"/>
  <c r="Y58" i="1"/>
  <c r="Y42" i="1"/>
  <c r="Y26" i="1"/>
  <c r="Y174" i="1"/>
  <c r="AA120" i="1"/>
  <c r="U108" i="1"/>
  <c r="AA84" i="1"/>
  <c r="Y72" i="1"/>
  <c r="Y56" i="1"/>
  <c r="Y40" i="1"/>
  <c r="Y24" i="1"/>
  <c r="U198" i="1"/>
  <c r="Y158" i="1"/>
  <c r="U116" i="1"/>
  <c r="Y106" i="1"/>
  <c r="Y82" i="1"/>
  <c r="Y66" i="1"/>
  <c r="Y50" i="1"/>
  <c r="Y34" i="1"/>
  <c r="L118" i="1"/>
  <c r="U118" i="1"/>
  <c r="L110" i="1"/>
  <c r="AA110" i="1"/>
  <c r="L102" i="1"/>
  <c r="AA102" i="1"/>
  <c r="L94" i="1"/>
  <c r="AA94" i="1"/>
  <c r="Y86" i="1"/>
  <c r="AA86" i="1"/>
  <c r="U78" i="1"/>
  <c r="L78" i="1"/>
  <c r="Y78" i="1"/>
  <c r="U70" i="1"/>
  <c r="L70" i="1"/>
  <c r="Y70" i="1"/>
  <c r="H62" i="1"/>
  <c r="W62" i="1" s="1"/>
  <c r="U62" i="1"/>
  <c r="L62" i="1"/>
  <c r="Y62" i="1"/>
  <c r="H56" i="1"/>
  <c r="W56" i="1" s="1"/>
  <c r="U56" i="1"/>
  <c r="L56" i="1"/>
  <c r="H48" i="1"/>
  <c r="W48" i="1" s="1"/>
  <c r="U48" i="1"/>
  <c r="L48" i="1"/>
  <c r="U42" i="1"/>
  <c r="AA42" i="1"/>
  <c r="U36" i="1"/>
  <c r="Y36" i="1"/>
  <c r="AA36" i="1"/>
  <c r="U30" i="1"/>
  <c r="L30" i="1"/>
  <c r="Y30" i="1"/>
  <c r="U24" i="1"/>
  <c r="L24" i="1"/>
  <c r="U15" i="1"/>
  <c r="Y15" i="1"/>
  <c r="AA15" i="1"/>
  <c r="U11" i="1"/>
  <c r="L11" i="1"/>
  <c r="Y11" i="1"/>
  <c r="AA11" i="1"/>
  <c r="L8" i="1"/>
  <c r="AA8" i="1"/>
  <c r="U8" i="1"/>
  <c r="Y8" i="1"/>
  <c r="Y186" i="1"/>
  <c r="L112" i="1"/>
  <c r="AA112" i="1"/>
  <c r="L104" i="1"/>
  <c r="AA104" i="1"/>
  <c r="L96" i="1"/>
  <c r="AA96" i="1"/>
  <c r="AA88" i="1"/>
  <c r="L88" i="1"/>
  <c r="U80" i="1"/>
  <c r="L80" i="1"/>
  <c r="U72" i="1"/>
  <c r="L72" i="1"/>
  <c r="U64" i="1"/>
  <c r="L64" i="1"/>
  <c r="H58" i="1"/>
  <c r="W58" i="1" s="1"/>
  <c r="U58" i="1"/>
  <c r="AA58" i="1"/>
  <c r="U50" i="1"/>
  <c r="AA50" i="1"/>
  <c r="U44" i="1"/>
  <c r="Y44" i="1"/>
  <c r="AA44" i="1"/>
  <c r="U38" i="1"/>
  <c r="L38" i="1"/>
  <c r="Y38" i="1"/>
  <c r="U32" i="1"/>
  <c r="L32" i="1"/>
  <c r="U26" i="1"/>
  <c r="AA26" i="1"/>
  <c r="U22" i="1"/>
  <c r="L22" i="1"/>
  <c r="Y22" i="1"/>
  <c r="U17" i="1"/>
  <c r="L17" i="1"/>
  <c r="Y112" i="1"/>
  <c r="Y104" i="1"/>
  <c r="H102" i="1"/>
  <c r="W102" i="1" s="1"/>
  <c r="Y96" i="1"/>
  <c r="Y88" i="1"/>
  <c r="U86" i="1"/>
  <c r="L84" i="1"/>
  <c r="L76" i="1"/>
  <c r="L68" i="1"/>
  <c r="L60" i="1"/>
  <c r="L58" i="1"/>
  <c r="L52" i="1"/>
  <c r="L50" i="1"/>
  <c r="L44" i="1"/>
  <c r="L42" i="1"/>
  <c r="L36" i="1"/>
  <c r="L28" i="1"/>
  <c r="L26" i="1"/>
  <c r="Y160" i="1"/>
  <c r="Y152" i="1"/>
  <c r="L114" i="1"/>
  <c r="AA114" i="1"/>
  <c r="L106" i="1"/>
  <c r="AA106" i="1"/>
  <c r="L98" i="1"/>
  <c r="AA98" i="1"/>
  <c r="L90" i="1"/>
  <c r="AA90" i="1"/>
  <c r="U82" i="1"/>
  <c r="AA82" i="1"/>
  <c r="U74" i="1"/>
  <c r="AA74" i="1"/>
  <c r="U66" i="1"/>
  <c r="AA66" i="1"/>
  <c r="H54" i="1"/>
  <c r="W54" i="1" s="1"/>
  <c r="U54" i="1"/>
  <c r="L54" i="1"/>
  <c r="Y54" i="1"/>
  <c r="Y190" i="1"/>
  <c r="Y150" i="1"/>
  <c r="AA118" i="1"/>
  <c r="U112" i="1"/>
  <c r="Y110" i="1"/>
  <c r="U104" i="1"/>
  <c r="Y102" i="1"/>
  <c r="U96" i="1"/>
  <c r="Y94" i="1"/>
  <c r="U88" i="1"/>
  <c r="L86" i="1"/>
  <c r="AA78" i="1"/>
  <c r="AA70" i="1"/>
  <c r="AA62" i="1"/>
  <c r="AA54" i="1"/>
  <c r="AA38" i="1"/>
  <c r="AA30" i="1"/>
  <c r="AA22" i="1"/>
  <c r="L196" i="1"/>
  <c r="U196" i="1"/>
  <c r="Y172" i="1"/>
  <c r="Y164" i="1"/>
  <c r="L116" i="1"/>
  <c r="AA116" i="1"/>
  <c r="L108" i="1"/>
  <c r="AA108" i="1"/>
  <c r="L100" i="1"/>
  <c r="AA100" i="1"/>
  <c r="L92" i="1"/>
  <c r="AA92" i="1"/>
  <c r="U84" i="1"/>
  <c r="Y84" i="1"/>
  <c r="U76" i="1"/>
  <c r="Y76" i="1"/>
  <c r="AA76" i="1"/>
  <c r="U68" i="1"/>
  <c r="Y68" i="1"/>
  <c r="AA68" i="1"/>
  <c r="H60" i="1"/>
  <c r="W60" i="1" s="1"/>
  <c r="U60" i="1"/>
  <c r="Y60" i="1"/>
  <c r="AA60" i="1"/>
  <c r="H52" i="1"/>
  <c r="W52" i="1" s="1"/>
  <c r="U52" i="1"/>
  <c r="Y52" i="1"/>
  <c r="AA52" i="1"/>
  <c r="H46" i="1"/>
  <c r="W46" i="1" s="1"/>
  <c r="U46" i="1"/>
  <c r="L46" i="1"/>
  <c r="Y46" i="1"/>
  <c r="U40" i="1"/>
  <c r="L40" i="1"/>
  <c r="U34" i="1"/>
  <c r="AA34" i="1"/>
  <c r="U28" i="1"/>
  <c r="Y28" i="1"/>
  <c r="AA28" i="1"/>
  <c r="Y170" i="1"/>
  <c r="Y118" i="1"/>
  <c r="Y116" i="1"/>
  <c r="U110" i="1"/>
  <c r="Y108" i="1"/>
  <c r="H106" i="1"/>
  <c r="U102" i="1"/>
  <c r="Y100" i="1"/>
  <c r="U94" i="1"/>
  <c r="Y92" i="1"/>
  <c r="AA80" i="1"/>
  <c r="AA72" i="1"/>
  <c r="AA64" i="1"/>
  <c r="AA56" i="1"/>
  <c r="AA48" i="1"/>
  <c r="AA40" i="1"/>
  <c r="AA32" i="1"/>
  <c r="AA24" i="1"/>
  <c r="AA17" i="1"/>
  <c r="AA200" i="1"/>
  <c r="H192" i="1"/>
  <c r="W192" i="1" s="1"/>
  <c r="AA192" i="1"/>
  <c r="L184" i="1"/>
  <c r="Y184" i="1"/>
  <c r="U176" i="1"/>
  <c r="L176" i="1"/>
  <c r="Y176" i="1"/>
  <c r="U168" i="1"/>
  <c r="L168" i="1"/>
  <c r="AA168" i="1"/>
  <c r="U162" i="1"/>
  <c r="L162" i="1"/>
  <c r="AA162" i="1"/>
  <c r="U158" i="1"/>
  <c r="L158" i="1"/>
  <c r="AA158" i="1"/>
  <c r="U156" i="1"/>
  <c r="L156" i="1"/>
  <c r="AA156" i="1"/>
  <c r="U154" i="1"/>
  <c r="L154" i="1"/>
  <c r="AA154" i="1"/>
  <c r="U146" i="1"/>
  <c r="L146" i="1"/>
  <c r="AA146" i="1"/>
  <c r="H144" i="1"/>
  <c r="W144" i="1" s="1"/>
  <c r="U144" i="1"/>
  <c r="L144" i="1"/>
  <c r="AA144" i="1"/>
  <c r="U142" i="1"/>
  <c r="L142" i="1"/>
  <c r="AA142" i="1"/>
  <c r="U140" i="1"/>
  <c r="L140" i="1"/>
  <c r="AA140" i="1"/>
  <c r="U138" i="1"/>
  <c r="AA138" i="1"/>
  <c r="L136" i="1"/>
  <c r="H136" i="1"/>
  <c r="W136" i="1" s="1"/>
  <c r="Y136" i="1"/>
  <c r="AA134" i="1"/>
  <c r="U134" i="1"/>
  <c r="Y132" i="1"/>
  <c r="L132" i="1"/>
  <c r="U130" i="1"/>
  <c r="Y130" i="1"/>
  <c r="AA130" i="1"/>
  <c r="L128" i="1"/>
  <c r="U128" i="1"/>
  <c r="H128" i="1"/>
  <c r="Y128" i="1"/>
  <c r="AA126" i="1"/>
  <c r="L126" i="1"/>
  <c r="U126" i="1"/>
  <c r="Y124" i="1"/>
  <c r="AA124" i="1"/>
  <c r="L124" i="1"/>
  <c r="U122" i="1"/>
  <c r="Y122" i="1"/>
  <c r="AA122" i="1"/>
  <c r="L120" i="1"/>
  <c r="U120" i="1"/>
  <c r="Y120" i="1"/>
  <c r="H198" i="1"/>
  <c r="W198" i="1" s="1"/>
  <c r="AA198" i="1"/>
  <c r="H190" i="1"/>
  <c r="W190" i="1" s="1"/>
  <c r="U190" i="1"/>
  <c r="H182" i="1"/>
  <c r="W182" i="1" s="1"/>
  <c r="U182" i="1"/>
  <c r="U174" i="1"/>
  <c r="L174" i="1"/>
  <c r="AA174" i="1"/>
  <c r="U166" i="1"/>
  <c r="L166" i="1"/>
  <c r="AA166" i="1"/>
  <c r="U148" i="1"/>
  <c r="L148" i="1"/>
  <c r="AA148" i="1"/>
  <c r="U188" i="1"/>
  <c r="L138" i="1"/>
  <c r="U136" i="1"/>
  <c r="L134" i="1"/>
  <c r="U132" i="1"/>
  <c r="H194" i="1"/>
  <c r="W194" i="1" s="1"/>
  <c r="AA194" i="1"/>
  <c r="H186" i="1"/>
  <c r="W186" i="1" s="1"/>
  <c r="U186" i="1"/>
  <c r="U178" i="1"/>
  <c r="U170" i="1"/>
  <c r="L170" i="1"/>
  <c r="AA170" i="1"/>
  <c r="U160" i="1"/>
  <c r="L160" i="1"/>
  <c r="AA160" i="1"/>
  <c r="U152" i="1"/>
  <c r="L152" i="1"/>
  <c r="AA152" i="1"/>
  <c r="U184" i="1"/>
  <c r="U180" i="1"/>
  <c r="Y200" i="1"/>
  <c r="L200" i="1"/>
  <c r="Y198" i="1"/>
  <c r="L198" i="1"/>
  <c r="Y196" i="1"/>
  <c r="Y194" i="1"/>
  <c r="L194" i="1"/>
  <c r="Y192" i="1"/>
  <c r="L192" i="1"/>
  <c r="AA128" i="1"/>
  <c r="H126" i="1"/>
  <c r="L122" i="1"/>
  <c r="AA196" i="1"/>
  <c r="L188" i="1"/>
  <c r="Y188" i="1"/>
  <c r="L180" i="1"/>
  <c r="Y180" i="1"/>
  <c r="U172" i="1"/>
  <c r="L172" i="1"/>
  <c r="AA172" i="1"/>
  <c r="U164" i="1"/>
  <c r="L164" i="1"/>
  <c r="AA164" i="1"/>
  <c r="U150" i="1"/>
  <c r="L150" i="1"/>
  <c r="AA150" i="1"/>
  <c r="AA190" i="1"/>
  <c r="L190" i="1"/>
  <c r="AA188" i="1"/>
  <c r="AA186" i="1"/>
  <c r="L186" i="1"/>
  <c r="O186" i="1" s="1"/>
  <c r="AA184" i="1"/>
  <c r="AA182" i="1"/>
  <c r="L182" i="1"/>
  <c r="AA180" i="1"/>
  <c r="AA178" i="1"/>
  <c r="L178" i="1"/>
  <c r="AA176" i="1"/>
  <c r="AH308" i="17"/>
  <c r="AG308" i="17"/>
  <c r="AF308" i="17"/>
  <c r="AE308" i="17"/>
  <c r="AD308" i="17"/>
  <c r="AC308" i="17"/>
  <c r="AB308" i="17"/>
  <c r="AA308" i="17"/>
  <c r="Z308" i="17"/>
  <c r="Y308" i="17"/>
  <c r="X308" i="17"/>
  <c r="W308" i="17"/>
  <c r="V308" i="17"/>
  <c r="U308" i="17"/>
  <c r="T308" i="17"/>
  <c r="S308" i="17"/>
  <c r="R308" i="17"/>
  <c r="Q308" i="17"/>
  <c r="P308" i="17"/>
  <c r="O308" i="17"/>
  <c r="N308" i="17"/>
  <c r="M308" i="17"/>
  <c r="L308" i="17"/>
  <c r="K308" i="17"/>
  <c r="J308" i="17"/>
  <c r="I308" i="17"/>
  <c r="H308" i="17"/>
  <c r="G308" i="17"/>
  <c r="F308" i="17"/>
  <c r="E308" i="17"/>
  <c r="D308" i="17"/>
  <c r="C308" i="17"/>
  <c r="B308" i="17"/>
  <c r="A308" i="17"/>
  <c r="AH304" i="17"/>
  <c r="AG304" i="17"/>
  <c r="AF304" i="17"/>
  <c r="AE304" i="17"/>
  <c r="AD304" i="17"/>
  <c r="AC304" i="17"/>
  <c r="AB304" i="17"/>
  <c r="AA304" i="17"/>
  <c r="Z304" i="17"/>
  <c r="Y304" i="17"/>
  <c r="X304" i="17"/>
  <c r="W304" i="17"/>
  <c r="V304" i="17"/>
  <c r="U304" i="17"/>
  <c r="T304" i="17"/>
  <c r="S304" i="17"/>
  <c r="R304" i="17"/>
  <c r="Q304" i="17"/>
  <c r="P304" i="17"/>
  <c r="O304" i="17"/>
  <c r="N304" i="17"/>
  <c r="M304" i="17"/>
  <c r="L304" i="17"/>
  <c r="K304" i="17"/>
  <c r="J304" i="17"/>
  <c r="I304" i="17"/>
  <c r="H304" i="17"/>
  <c r="G304" i="17"/>
  <c r="F304" i="17"/>
  <c r="E304" i="17"/>
  <c r="D304" i="17"/>
  <c r="C304" i="17"/>
  <c r="B304" i="17"/>
  <c r="A304" i="17"/>
  <c r="AH300" i="17"/>
  <c r="AG300" i="17"/>
  <c r="AF300" i="17"/>
  <c r="AE300" i="17"/>
  <c r="AD300" i="17"/>
  <c r="AC300" i="17"/>
  <c r="AB300" i="17"/>
  <c r="AA300" i="17"/>
  <c r="Z300" i="17"/>
  <c r="Y300" i="17"/>
  <c r="X300" i="17"/>
  <c r="W300" i="17"/>
  <c r="V300" i="17"/>
  <c r="U300" i="17"/>
  <c r="T300" i="17"/>
  <c r="S300" i="17"/>
  <c r="R300" i="17"/>
  <c r="Q300" i="17"/>
  <c r="P300" i="17"/>
  <c r="O300" i="17"/>
  <c r="N300" i="17"/>
  <c r="M300" i="17"/>
  <c r="L300" i="17"/>
  <c r="K300" i="17"/>
  <c r="J300" i="17"/>
  <c r="I300" i="17"/>
  <c r="H300" i="17"/>
  <c r="G300" i="17"/>
  <c r="F300" i="17"/>
  <c r="E300" i="17"/>
  <c r="D300" i="17"/>
  <c r="C300" i="17"/>
  <c r="B300" i="17"/>
  <c r="A300" i="17"/>
  <c r="AH296" i="17"/>
  <c r="AG296" i="17"/>
  <c r="AF296" i="17"/>
  <c r="AE296" i="17"/>
  <c r="AD296" i="17"/>
  <c r="AC296" i="17"/>
  <c r="AB296" i="17"/>
  <c r="AA296" i="17"/>
  <c r="Z296" i="17"/>
  <c r="Y296" i="17"/>
  <c r="X296" i="17"/>
  <c r="W296" i="17"/>
  <c r="V296" i="17"/>
  <c r="U296" i="17"/>
  <c r="T296" i="17"/>
  <c r="S296" i="17"/>
  <c r="R296" i="17"/>
  <c r="Q296" i="17"/>
  <c r="P296" i="17"/>
  <c r="O296" i="17"/>
  <c r="N296" i="17"/>
  <c r="M296" i="17"/>
  <c r="L296" i="17"/>
  <c r="K296" i="17"/>
  <c r="J296" i="17"/>
  <c r="I296" i="17"/>
  <c r="H296" i="17"/>
  <c r="G296" i="17"/>
  <c r="F296" i="17"/>
  <c r="E296" i="17"/>
  <c r="D296" i="17"/>
  <c r="C296" i="17"/>
  <c r="B296" i="17"/>
  <c r="A296" i="17"/>
  <c r="AH292" i="17"/>
  <c r="AG292" i="17"/>
  <c r="AF292" i="17"/>
  <c r="AE292" i="17"/>
  <c r="AD292" i="17"/>
  <c r="AC292" i="17"/>
  <c r="AB292" i="17"/>
  <c r="AA292" i="17"/>
  <c r="Z292" i="17"/>
  <c r="Y292" i="17"/>
  <c r="X292" i="17"/>
  <c r="W292" i="17"/>
  <c r="V292" i="17"/>
  <c r="U292" i="17"/>
  <c r="T292" i="17"/>
  <c r="S292" i="17"/>
  <c r="R292" i="17"/>
  <c r="Q292" i="17"/>
  <c r="P292" i="17"/>
  <c r="O292" i="17"/>
  <c r="N292" i="17"/>
  <c r="M292" i="17"/>
  <c r="L292" i="17"/>
  <c r="K292" i="17"/>
  <c r="J292" i="17"/>
  <c r="I292" i="17"/>
  <c r="H292" i="17"/>
  <c r="G292" i="17"/>
  <c r="F292" i="17"/>
  <c r="E292" i="17"/>
  <c r="D292" i="17"/>
  <c r="C292" i="17"/>
  <c r="B292" i="17"/>
  <c r="A292" i="17"/>
  <c r="AH288" i="17"/>
  <c r="AG288" i="17"/>
  <c r="AF288" i="17"/>
  <c r="AE288" i="17"/>
  <c r="AD288" i="17"/>
  <c r="AC288" i="17"/>
  <c r="AB288" i="17"/>
  <c r="AA288" i="17"/>
  <c r="Z288" i="17"/>
  <c r="Y288" i="17"/>
  <c r="X288" i="17"/>
  <c r="W288" i="17"/>
  <c r="V288" i="17"/>
  <c r="U288" i="17"/>
  <c r="T288" i="17"/>
  <c r="S288" i="17"/>
  <c r="R288" i="17"/>
  <c r="Q288" i="17"/>
  <c r="P288" i="17"/>
  <c r="O288" i="17"/>
  <c r="N288" i="17"/>
  <c r="M288" i="17"/>
  <c r="L288" i="17"/>
  <c r="K288" i="17"/>
  <c r="J288" i="17"/>
  <c r="I288" i="17"/>
  <c r="H288" i="17"/>
  <c r="G288" i="17"/>
  <c r="F288" i="17"/>
  <c r="E288" i="17"/>
  <c r="D288" i="17"/>
  <c r="C288" i="17"/>
  <c r="B288" i="17"/>
  <c r="A288" i="17"/>
  <c r="AH284" i="17"/>
  <c r="AG284" i="17"/>
  <c r="AF284" i="17"/>
  <c r="AE284" i="17"/>
  <c r="AD284" i="17"/>
  <c r="AC284" i="17"/>
  <c r="AB284" i="17"/>
  <c r="AA284" i="17"/>
  <c r="Z284" i="17"/>
  <c r="Y284" i="17"/>
  <c r="X284" i="17"/>
  <c r="W284" i="17"/>
  <c r="V284" i="17"/>
  <c r="U284" i="17"/>
  <c r="T284" i="17"/>
  <c r="S284" i="17"/>
  <c r="R284" i="17"/>
  <c r="Q284" i="17"/>
  <c r="P284" i="17"/>
  <c r="O284" i="17"/>
  <c r="N284" i="17"/>
  <c r="M284" i="17"/>
  <c r="L284" i="17"/>
  <c r="K284" i="17"/>
  <c r="J284" i="17"/>
  <c r="I284" i="17"/>
  <c r="H284" i="17"/>
  <c r="G284" i="17"/>
  <c r="F284" i="17"/>
  <c r="E284" i="17"/>
  <c r="D284" i="17"/>
  <c r="C284" i="17"/>
  <c r="B284" i="17"/>
  <c r="A284" i="17"/>
  <c r="AH280" i="17"/>
  <c r="AG280" i="17"/>
  <c r="AF280" i="17"/>
  <c r="AE280" i="17"/>
  <c r="AD280" i="17"/>
  <c r="AC280" i="17"/>
  <c r="AB280" i="17"/>
  <c r="AA280" i="17"/>
  <c r="Z280" i="17"/>
  <c r="Y280" i="17"/>
  <c r="X280" i="17"/>
  <c r="W280" i="17"/>
  <c r="V280" i="17"/>
  <c r="U280" i="17"/>
  <c r="T280" i="17"/>
  <c r="S280" i="17"/>
  <c r="R280" i="17"/>
  <c r="Q280" i="17"/>
  <c r="P280" i="17"/>
  <c r="O280" i="17"/>
  <c r="N280" i="17"/>
  <c r="M280" i="17"/>
  <c r="L280" i="17"/>
  <c r="K280" i="17"/>
  <c r="J280" i="17"/>
  <c r="I280" i="17"/>
  <c r="H280" i="17"/>
  <c r="G280" i="17"/>
  <c r="F280" i="17"/>
  <c r="E280" i="17"/>
  <c r="D280" i="17"/>
  <c r="C280" i="17"/>
  <c r="B280" i="17"/>
  <c r="A280" i="17"/>
  <c r="AH276" i="17"/>
  <c r="AG276" i="17"/>
  <c r="AF276" i="17"/>
  <c r="AE276" i="17"/>
  <c r="AD276" i="17"/>
  <c r="AC276" i="17"/>
  <c r="AB276" i="17"/>
  <c r="AA276" i="17"/>
  <c r="Z276" i="17"/>
  <c r="Y276" i="17"/>
  <c r="X276" i="17"/>
  <c r="W276" i="17"/>
  <c r="V276" i="17"/>
  <c r="U276" i="17"/>
  <c r="T276" i="17"/>
  <c r="S276" i="17"/>
  <c r="R276" i="17"/>
  <c r="Q276" i="17"/>
  <c r="P276" i="17"/>
  <c r="O276" i="17"/>
  <c r="N276" i="17"/>
  <c r="M276" i="17"/>
  <c r="L276" i="17"/>
  <c r="K276" i="17"/>
  <c r="J276" i="17"/>
  <c r="I276" i="17"/>
  <c r="H276" i="17"/>
  <c r="G276" i="17"/>
  <c r="F276" i="17"/>
  <c r="E276" i="17"/>
  <c r="D276" i="17"/>
  <c r="C276" i="17"/>
  <c r="B276" i="17"/>
  <c r="A276" i="17"/>
  <c r="AH272" i="17"/>
  <c r="AG272" i="17"/>
  <c r="AF272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B272" i="17"/>
  <c r="A272" i="17"/>
  <c r="AH268" i="17"/>
  <c r="AG268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AH264" i="17"/>
  <c r="AG264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AH260" i="17"/>
  <c r="AG260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B260" i="17"/>
  <c r="A260" i="17"/>
  <c r="AH256" i="17"/>
  <c r="AG256" i="17"/>
  <c r="AF256" i="17"/>
  <c r="AE256" i="17"/>
  <c r="AD256" i="17"/>
  <c r="AC256" i="17"/>
  <c r="AB256" i="17"/>
  <c r="AA256" i="17"/>
  <c r="Z256" i="17"/>
  <c r="Y256" i="17"/>
  <c r="X256" i="17"/>
  <c r="W256" i="17"/>
  <c r="V256" i="17"/>
  <c r="U256" i="17"/>
  <c r="T256" i="17"/>
  <c r="S256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F256" i="17"/>
  <c r="E256" i="17"/>
  <c r="D256" i="17"/>
  <c r="C256" i="17"/>
  <c r="B256" i="17"/>
  <c r="A256" i="17"/>
  <c r="AH252" i="17"/>
  <c r="AG252" i="17"/>
  <c r="AF252" i="17"/>
  <c r="AE252" i="17"/>
  <c r="AD252" i="17"/>
  <c r="AC252" i="17"/>
  <c r="AB252" i="17"/>
  <c r="AA252" i="17"/>
  <c r="Z252" i="17"/>
  <c r="Y252" i="17"/>
  <c r="X252" i="17"/>
  <c r="W252" i="17"/>
  <c r="V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C252" i="17"/>
  <c r="B252" i="17"/>
  <c r="A252" i="17"/>
  <c r="AH248" i="17"/>
  <c r="AG248" i="17"/>
  <c r="AF248" i="17"/>
  <c r="AE248" i="17"/>
  <c r="AD248" i="17"/>
  <c r="AC248" i="17"/>
  <c r="AB248" i="17"/>
  <c r="AA248" i="17"/>
  <c r="Z248" i="17"/>
  <c r="Y248" i="17"/>
  <c r="X248" i="17"/>
  <c r="W248" i="17"/>
  <c r="V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E248" i="17"/>
  <c r="D248" i="17"/>
  <c r="C248" i="17"/>
  <c r="B248" i="17"/>
  <c r="A248" i="17"/>
  <c r="AH244" i="17"/>
  <c r="AG244" i="17"/>
  <c r="AF244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244" i="17"/>
  <c r="AH240" i="17"/>
  <c r="AG240" i="17"/>
  <c r="AF240" i="17"/>
  <c r="AE240" i="17"/>
  <c r="AD240" i="17"/>
  <c r="AC240" i="17"/>
  <c r="AB240" i="17"/>
  <c r="AA240" i="17"/>
  <c r="Z240" i="17"/>
  <c r="Y240" i="17"/>
  <c r="X240" i="17"/>
  <c r="W240" i="17"/>
  <c r="V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B240" i="17"/>
  <c r="A240" i="17"/>
  <c r="AH236" i="17"/>
  <c r="AG236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H23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A232" i="17"/>
  <c r="AH228" i="17"/>
  <c r="AG228" i="17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B228" i="17"/>
  <c r="A228" i="17"/>
  <c r="AH224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224" i="17"/>
  <c r="AH220" i="17"/>
  <c r="AG220" i="17"/>
  <c r="AF220" i="17"/>
  <c r="AE220" i="17"/>
  <c r="AD220" i="17"/>
  <c r="AC220" i="17"/>
  <c r="AB220" i="17"/>
  <c r="AA220" i="17"/>
  <c r="Z220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A220" i="17"/>
  <c r="AH216" i="17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216" i="17"/>
  <c r="AH212" i="17"/>
  <c r="AG212" i="17"/>
  <c r="AF212" i="17"/>
  <c r="AE212" i="17"/>
  <c r="AD212" i="17"/>
  <c r="AC212" i="17"/>
  <c r="AB212" i="17"/>
  <c r="AA212" i="17"/>
  <c r="Z212" i="17"/>
  <c r="Y212" i="17"/>
  <c r="X212" i="17"/>
  <c r="W212" i="17"/>
  <c r="V212" i="17"/>
  <c r="U212" i="17"/>
  <c r="T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A212" i="17"/>
  <c r="AH208" i="17"/>
  <c r="AG208" i="17"/>
  <c r="AF208" i="17"/>
  <c r="AE208" i="17"/>
  <c r="AD208" i="17"/>
  <c r="AC208" i="17"/>
  <c r="AB208" i="17"/>
  <c r="AA208" i="17"/>
  <c r="Z208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A208" i="17"/>
  <c r="AH204" i="17"/>
  <c r="AG204" i="17"/>
  <c r="AF204" i="17"/>
  <c r="AE204" i="17"/>
  <c r="AD204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A204" i="17"/>
  <c r="AH200" i="17"/>
  <c r="AG200" i="17"/>
  <c r="AF200" i="17"/>
  <c r="AE200" i="17"/>
  <c r="AD200" i="17"/>
  <c r="AC200" i="17"/>
  <c r="AB200" i="17"/>
  <c r="AA200" i="17"/>
  <c r="Z200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A200" i="17"/>
  <c r="AH196" i="17"/>
  <c r="AG196" i="17"/>
  <c r="AF196" i="17"/>
  <c r="AE196" i="17"/>
  <c r="AD196" i="17"/>
  <c r="AC196" i="17"/>
  <c r="AB196" i="17"/>
  <c r="AA196" i="17"/>
  <c r="Z196" i="17"/>
  <c r="Y196" i="17"/>
  <c r="X196" i="17"/>
  <c r="W196" i="17"/>
  <c r="V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B196" i="17"/>
  <c r="A196" i="17"/>
  <c r="AH192" i="17"/>
  <c r="AG192" i="17"/>
  <c r="AF192" i="17"/>
  <c r="AE192" i="17"/>
  <c r="AD192" i="17"/>
  <c r="AC192" i="17"/>
  <c r="AB192" i="17"/>
  <c r="AA192" i="17"/>
  <c r="Z192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A192" i="17"/>
  <c r="AH188" i="17"/>
  <c r="AG188" i="17"/>
  <c r="AF188" i="17"/>
  <c r="AE188" i="17"/>
  <c r="AD188" i="17"/>
  <c r="AC188" i="17"/>
  <c r="AB188" i="17"/>
  <c r="AA188" i="17"/>
  <c r="Z188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A188" i="17"/>
  <c r="AH184" i="17"/>
  <c r="AG184" i="17"/>
  <c r="AF184" i="17"/>
  <c r="AE184" i="17"/>
  <c r="AD184" i="17"/>
  <c r="AC184" i="17"/>
  <c r="AB184" i="17"/>
  <c r="AA184" i="17"/>
  <c r="Z184" i="17"/>
  <c r="Y184" i="17"/>
  <c r="X184" i="17"/>
  <c r="W184" i="17"/>
  <c r="V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B184" i="17"/>
  <c r="A184" i="17"/>
  <c r="AH180" i="17"/>
  <c r="AG180" i="17"/>
  <c r="AF180" i="17"/>
  <c r="AE180" i="17"/>
  <c r="AD180" i="17"/>
  <c r="AC180" i="17"/>
  <c r="AB180" i="17"/>
  <c r="AA180" i="17"/>
  <c r="Z180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A180" i="17"/>
  <c r="AH176" i="17"/>
  <c r="AG176" i="17"/>
  <c r="AF176" i="17"/>
  <c r="AE176" i="17"/>
  <c r="AD176" i="17"/>
  <c r="AC176" i="17"/>
  <c r="AB176" i="17"/>
  <c r="AA176" i="17"/>
  <c r="Z176" i="17"/>
  <c r="Y176" i="17"/>
  <c r="X176" i="17"/>
  <c r="W176" i="17"/>
  <c r="V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B176" i="17"/>
  <c r="A176" i="17"/>
  <c r="AH172" i="17"/>
  <c r="AG172" i="17"/>
  <c r="AF172" i="17"/>
  <c r="AE172" i="17"/>
  <c r="AD172" i="17"/>
  <c r="AC172" i="17"/>
  <c r="AB172" i="17"/>
  <c r="AA172" i="17"/>
  <c r="Z172" i="17"/>
  <c r="Y172" i="17"/>
  <c r="X172" i="17"/>
  <c r="W172" i="17"/>
  <c r="V172" i="17"/>
  <c r="U172" i="17"/>
  <c r="T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A172" i="17"/>
  <c r="AH168" i="17"/>
  <c r="AG168" i="17"/>
  <c r="AF168" i="17"/>
  <c r="AE168" i="17"/>
  <c r="AD168" i="17"/>
  <c r="AC168" i="17"/>
  <c r="AB168" i="17"/>
  <c r="AA168" i="17"/>
  <c r="Z168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A168" i="17"/>
  <c r="AH164" i="17"/>
  <c r="AG164" i="17"/>
  <c r="AF164" i="17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A164" i="17"/>
  <c r="AH160" i="17"/>
  <c r="AG160" i="17"/>
  <c r="AF160" i="17"/>
  <c r="AE160" i="17"/>
  <c r="AD160" i="17"/>
  <c r="AC160" i="17"/>
  <c r="AB160" i="17"/>
  <c r="AA160" i="17"/>
  <c r="Z160" i="17"/>
  <c r="Y160" i="17"/>
  <c r="X160" i="17"/>
  <c r="W160" i="17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B160" i="17"/>
  <c r="A160" i="17"/>
  <c r="AH156" i="17"/>
  <c r="AG156" i="17"/>
  <c r="AF156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A156" i="17"/>
  <c r="AH152" i="17"/>
  <c r="AG152" i="17"/>
  <c r="AF152" i="17"/>
  <c r="AE152" i="17"/>
  <c r="AD152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A152" i="17"/>
  <c r="AH148" i="17"/>
  <c r="AG148" i="17"/>
  <c r="AF148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A148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A144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A140" i="17"/>
  <c r="AH136" i="17"/>
  <c r="AG136" i="17"/>
  <c r="AF136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A136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A132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A128" i="17"/>
  <c r="AH124" i="17"/>
  <c r="AG124" i="17"/>
  <c r="AF124" i="17"/>
  <c r="AE124" i="17"/>
  <c r="AD124" i="17"/>
  <c r="AC124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B124" i="17"/>
  <c r="A124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A120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A116" i="17"/>
  <c r="AH112" i="17"/>
  <c r="AG112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B112" i="17"/>
  <c r="A112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A108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A104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A100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A96" i="17"/>
  <c r="AH92" i="17"/>
  <c r="AG92" i="17"/>
  <c r="AF92" i="17"/>
  <c r="AE92" i="17"/>
  <c r="AD92" i="17"/>
  <c r="AC92" i="17"/>
  <c r="AB92" i="17"/>
  <c r="AA92" i="17"/>
  <c r="Z92" i="17"/>
  <c r="Y92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L84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AH308" i="15"/>
  <c r="AG308" i="15"/>
  <c r="AF308" i="15"/>
  <c r="AE308" i="15"/>
  <c r="AD308" i="15"/>
  <c r="AC308" i="15"/>
  <c r="AB308" i="15"/>
  <c r="AA308" i="15"/>
  <c r="Z308" i="15"/>
  <c r="Y308" i="15"/>
  <c r="X308" i="15"/>
  <c r="W308" i="15"/>
  <c r="V308" i="15"/>
  <c r="U308" i="15"/>
  <c r="T308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AH304" i="15"/>
  <c r="AG304" i="15"/>
  <c r="AF304" i="15"/>
  <c r="AE304" i="15"/>
  <c r="AD304" i="15"/>
  <c r="AC304" i="15"/>
  <c r="AB304" i="15"/>
  <c r="AA304" i="15"/>
  <c r="Z304" i="15"/>
  <c r="Y304" i="15"/>
  <c r="X304" i="15"/>
  <c r="W304" i="15"/>
  <c r="V304" i="15"/>
  <c r="U304" i="15"/>
  <c r="T304" i="15"/>
  <c r="S304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AH300" i="15"/>
  <c r="AG300" i="15"/>
  <c r="AF300" i="15"/>
  <c r="AE300" i="15"/>
  <c r="AD300" i="15"/>
  <c r="AC300" i="15"/>
  <c r="AB300" i="15"/>
  <c r="AA300" i="15"/>
  <c r="Z300" i="15"/>
  <c r="Y300" i="15"/>
  <c r="X300" i="15"/>
  <c r="W300" i="15"/>
  <c r="V300" i="15"/>
  <c r="U300" i="15"/>
  <c r="T300" i="15"/>
  <c r="S300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AH296" i="15"/>
  <c r="AG296" i="15"/>
  <c r="AF296" i="15"/>
  <c r="AE296" i="15"/>
  <c r="AD296" i="15"/>
  <c r="AC296" i="15"/>
  <c r="AB296" i="15"/>
  <c r="AA296" i="15"/>
  <c r="Z296" i="15"/>
  <c r="Y296" i="15"/>
  <c r="X296" i="15"/>
  <c r="W296" i="15"/>
  <c r="V296" i="15"/>
  <c r="U296" i="15"/>
  <c r="T296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AH292" i="15"/>
  <c r="AG292" i="15"/>
  <c r="AF292" i="15"/>
  <c r="AE292" i="15"/>
  <c r="AD292" i="15"/>
  <c r="AC292" i="15"/>
  <c r="AB292" i="15"/>
  <c r="AA292" i="15"/>
  <c r="Z292" i="15"/>
  <c r="Y292" i="15"/>
  <c r="X292" i="15"/>
  <c r="W292" i="15"/>
  <c r="V292" i="15"/>
  <c r="U292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AH288" i="15"/>
  <c r="AG288" i="15"/>
  <c r="AF288" i="15"/>
  <c r="AE288" i="15"/>
  <c r="AD288" i="15"/>
  <c r="AC288" i="15"/>
  <c r="AB288" i="15"/>
  <c r="AA288" i="15"/>
  <c r="Z288" i="15"/>
  <c r="Y288" i="15"/>
  <c r="X288" i="15"/>
  <c r="W288" i="15"/>
  <c r="V288" i="15"/>
  <c r="U288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AH284" i="15"/>
  <c r="AG284" i="15"/>
  <c r="AF284" i="15"/>
  <c r="AE284" i="15"/>
  <c r="AD284" i="15"/>
  <c r="AC284" i="15"/>
  <c r="AB284" i="15"/>
  <c r="AA284" i="15"/>
  <c r="Z284" i="15"/>
  <c r="Y284" i="15"/>
  <c r="X284" i="15"/>
  <c r="W284" i="15"/>
  <c r="V284" i="15"/>
  <c r="U284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AH280" i="15"/>
  <c r="AG280" i="15"/>
  <c r="AF280" i="15"/>
  <c r="AE280" i="15"/>
  <c r="AD280" i="15"/>
  <c r="AC280" i="15"/>
  <c r="AB280" i="15"/>
  <c r="AA280" i="15"/>
  <c r="Z280" i="15"/>
  <c r="Y280" i="15"/>
  <c r="X280" i="15"/>
  <c r="W280" i="15"/>
  <c r="V280" i="15"/>
  <c r="U280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AH276" i="15"/>
  <c r="AG276" i="15"/>
  <c r="AF276" i="15"/>
  <c r="AE276" i="15"/>
  <c r="AD276" i="15"/>
  <c r="AC276" i="15"/>
  <c r="AB276" i="15"/>
  <c r="AA276" i="15"/>
  <c r="Z276" i="15"/>
  <c r="Y276" i="15"/>
  <c r="X276" i="15"/>
  <c r="W276" i="15"/>
  <c r="V276" i="15"/>
  <c r="U276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AH272" i="15"/>
  <c r="AG272" i="15"/>
  <c r="AF272" i="15"/>
  <c r="AE272" i="15"/>
  <c r="AD272" i="15"/>
  <c r="AC272" i="15"/>
  <c r="AB272" i="15"/>
  <c r="AA272" i="15"/>
  <c r="Z272" i="15"/>
  <c r="Y272" i="15"/>
  <c r="X272" i="15"/>
  <c r="W272" i="15"/>
  <c r="V272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AH268" i="15"/>
  <c r="AG268" i="15"/>
  <c r="AF268" i="15"/>
  <c r="AE268" i="15"/>
  <c r="AD268" i="15"/>
  <c r="AC268" i="15"/>
  <c r="AB268" i="15"/>
  <c r="AA268" i="15"/>
  <c r="Z268" i="15"/>
  <c r="Y268" i="15"/>
  <c r="X268" i="15"/>
  <c r="W268" i="15"/>
  <c r="V268" i="15"/>
  <c r="U268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AH264" i="15"/>
  <c r="AG264" i="15"/>
  <c r="AF264" i="15"/>
  <c r="AE264" i="15"/>
  <c r="AD264" i="15"/>
  <c r="AC264" i="15"/>
  <c r="AB264" i="15"/>
  <c r="AA264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AH260" i="15"/>
  <c r="AG260" i="15"/>
  <c r="AF260" i="15"/>
  <c r="AE260" i="15"/>
  <c r="AD260" i="15"/>
  <c r="AC260" i="15"/>
  <c r="AB260" i="15"/>
  <c r="AA260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AH256" i="15"/>
  <c r="AG256" i="15"/>
  <c r="AF256" i="15"/>
  <c r="AE256" i="15"/>
  <c r="AD256" i="15"/>
  <c r="AC256" i="15"/>
  <c r="AB256" i="15"/>
  <c r="AA256" i="15"/>
  <c r="Z256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AH252" i="15"/>
  <c r="AG252" i="15"/>
  <c r="AF252" i="15"/>
  <c r="AE252" i="15"/>
  <c r="AD252" i="15"/>
  <c r="AC252" i="15"/>
  <c r="AB252" i="15"/>
  <c r="AA252" i="15"/>
  <c r="Z252" i="15"/>
  <c r="Y252" i="15"/>
  <c r="X252" i="15"/>
  <c r="W252" i="15"/>
  <c r="V252" i="15"/>
  <c r="U252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AH244" i="15"/>
  <c r="AG244" i="15"/>
  <c r="AF244" i="15"/>
  <c r="AE244" i="15"/>
  <c r="AD244" i="15"/>
  <c r="AC244" i="15"/>
  <c r="AB244" i="15"/>
  <c r="AA244" i="15"/>
  <c r="Z244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AH240" i="15"/>
  <c r="AG240" i="15"/>
  <c r="AF240" i="15"/>
  <c r="AE240" i="15"/>
  <c r="AD240" i="15"/>
  <c r="AC240" i="15"/>
  <c r="AB240" i="15"/>
  <c r="AA240" i="15"/>
  <c r="Z240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AH236" i="15"/>
  <c r="AG236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H232" i="15"/>
  <c r="AG232" i="15"/>
  <c r="AF232" i="15"/>
  <c r="AE232" i="15"/>
  <c r="AD232" i="15"/>
  <c r="AC232" i="15"/>
  <c r="AB232" i="15"/>
  <c r="AA232" i="15"/>
  <c r="Z232" i="15"/>
  <c r="Y232" i="15"/>
  <c r="X232" i="15"/>
  <c r="W232" i="15"/>
  <c r="V232" i="15"/>
  <c r="U232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AH228" i="15"/>
  <c r="AG228" i="15"/>
  <c r="AF228" i="15"/>
  <c r="AE228" i="15"/>
  <c r="AD228" i="15"/>
  <c r="AC228" i="15"/>
  <c r="AB228" i="15"/>
  <c r="AA228" i="15"/>
  <c r="Z228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AH224" i="15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AH220" i="15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AH212" i="15"/>
  <c r="AG212" i="15"/>
  <c r="AF212" i="15"/>
  <c r="AE212" i="15"/>
  <c r="AD212" i="15"/>
  <c r="AC212" i="15"/>
  <c r="AB212" i="15"/>
  <c r="AA212" i="15"/>
  <c r="Z212" i="15"/>
  <c r="Y212" i="15"/>
  <c r="X212" i="15"/>
  <c r="W212" i="15"/>
  <c r="V212" i="15"/>
  <c r="U212" i="15"/>
  <c r="T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AH208" i="15"/>
  <c r="AG208" i="15"/>
  <c r="AF208" i="15"/>
  <c r="AE208" i="15"/>
  <c r="AD208" i="15"/>
  <c r="AC208" i="15"/>
  <c r="AB208" i="15"/>
  <c r="AA208" i="15"/>
  <c r="Z208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AH204" i="15"/>
  <c r="AG204" i="15"/>
  <c r="AF204" i="15"/>
  <c r="AE204" i="15"/>
  <c r="AD204" i="15"/>
  <c r="AC204" i="15"/>
  <c r="AB204" i="15"/>
  <c r="AA204" i="15"/>
  <c r="Z204" i="15"/>
  <c r="Y204" i="15"/>
  <c r="X204" i="15"/>
  <c r="W204" i="15"/>
  <c r="V204" i="15"/>
  <c r="U204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AH200" i="15"/>
  <c r="AG200" i="15"/>
  <c r="AF200" i="15"/>
  <c r="AE200" i="15"/>
  <c r="AD200" i="15"/>
  <c r="AC200" i="15"/>
  <c r="AB200" i="15"/>
  <c r="AA200" i="15"/>
  <c r="Z200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AH196" i="15"/>
  <c r="AG196" i="15"/>
  <c r="AF196" i="15"/>
  <c r="AE196" i="15"/>
  <c r="AD196" i="15"/>
  <c r="AC196" i="15"/>
  <c r="AB196" i="15"/>
  <c r="AA196" i="15"/>
  <c r="Z196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AH188" i="15"/>
  <c r="AG188" i="15"/>
  <c r="AF188" i="15"/>
  <c r="AE188" i="15"/>
  <c r="AD188" i="15"/>
  <c r="AC188" i="15"/>
  <c r="AB188" i="15"/>
  <c r="AA188" i="15"/>
  <c r="Z188" i="15"/>
  <c r="Y188" i="15"/>
  <c r="X188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AH184" i="15"/>
  <c r="AG184" i="15"/>
  <c r="AF184" i="15"/>
  <c r="AE184" i="15"/>
  <c r="AD184" i="15"/>
  <c r="AC184" i="15"/>
  <c r="AB184" i="15"/>
  <c r="AA184" i="15"/>
  <c r="Z184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AH176" i="15"/>
  <c r="AG176" i="15"/>
  <c r="AF176" i="15"/>
  <c r="AE176" i="15"/>
  <c r="AD176" i="15"/>
  <c r="AC176" i="15"/>
  <c r="AB176" i="15"/>
  <c r="AA176" i="15"/>
  <c r="Z176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AH172" i="15"/>
  <c r="AG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U172" i="15"/>
  <c r="T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AH168" i="15"/>
  <c r="AG168" i="15"/>
  <c r="AF168" i="15"/>
  <c r="AE168" i="15"/>
  <c r="AD168" i="15"/>
  <c r="AC168" i="15"/>
  <c r="AB168" i="15"/>
  <c r="AA168" i="15"/>
  <c r="Z168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AH164" i="15"/>
  <c r="AG164" i="15"/>
  <c r="AF164" i="15"/>
  <c r="AE164" i="15"/>
  <c r="AD164" i="15"/>
  <c r="AC164" i="15"/>
  <c r="AB164" i="15"/>
  <c r="AA164" i="15"/>
  <c r="Z164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H308" i="13"/>
  <c r="AG308" i="13"/>
  <c r="AF308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S308" i="13"/>
  <c r="R308" i="13"/>
  <c r="Q308" i="13"/>
  <c r="P308" i="13"/>
  <c r="O308" i="13"/>
  <c r="N308" i="13"/>
  <c r="M308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AH304" i="13"/>
  <c r="AG304" i="13"/>
  <c r="AF304" i="13"/>
  <c r="AE304" i="13"/>
  <c r="AD304" i="13"/>
  <c r="AC304" i="13"/>
  <c r="AB304" i="13"/>
  <c r="AA304" i="13"/>
  <c r="Z304" i="13"/>
  <c r="Y304" i="13"/>
  <c r="X304" i="13"/>
  <c r="W304" i="13"/>
  <c r="V304" i="13"/>
  <c r="U304" i="13"/>
  <c r="T304" i="13"/>
  <c r="S304" i="13"/>
  <c r="R304" i="13"/>
  <c r="Q304" i="13"/>
  <c r="P304" i="13"/>
  <c r="O304" i="13"/>
  <c r="N304" i="13"/>
  <c r="M304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AH300" i="13"/>
  <c r="AG300" i="13"/>
  <c r="AF300" i="13"/>
  <c r="AE300" i="13"/>
  <c r="AD300" i="13"/>
  <c r="AC300" i="13"/>
  <c r="AB300" i="13"/>
  <c r="AA300" i="13"/>
  <c r="Z300" i="13"/>
  <c r="Y300" i="13"/>
  <c r="X300" i="13"/>
  <c r="W300" i="13"/>
  <c r="V300" i="13"/>
  <c r="U300" i="13"/>
  <c r="T300" i="13"/>
  <c r="S300" i="13"/>
  <c r="R300" i="13"/>
  <c r="Q300" i="13"/>
  <c r="P300" i="13"/>
  <c r="O300" i="13"/>
  <c r="N300" i="13"/>
  <c r="M300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AH296" i="13"/>
  <c r="AG296" i="13"/>
  <c r="AF296" i="13"/>
  <c r="AE296" i="13"/>
  <c r="AD296" i="13"/>
  <c r="AC296" i="13"/>
  <c r="AB296" i="13"/>
  <c r="AA296" i="13"/>
  <c r="Z296" i="13"/>
  <c r="Y296" i="13"/>
  <c r="X296" i="13"/>
  <c r="W296" i="13"/>
  <c r="V296" i="13"/>
  <c r="U296" i="13"/>
  <c r="T296" i="13"/>
  <c r="S296" i="13"/>
  <c r="R296" i="13"/>
  <c r="Q296" i="13"/>
  <c r="P296" i="13"/>
  <c r="O296" i="13"/>
  <c r="N296" i="13"/>
  <c r="M296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AH292" i="13"/>
  <c r="AG292" i="13"/>
  <c r="AF292" i="13"/>
  <c r="AE292" i="13"/>
  <c r="AD292" i="13"/>
  <c r="AC292" i="13"/>
  <c r="AB292" i="13"/>
  <c r="AA292" i="13"/>
  <c r="Z292" i="13"/>
  <c r="Y292" i="13"/>
  <c r="X292" i="13"/>
  <c r="W292" i="13"/>
  <c r="V292" i="13"/>
  <c r="U292" i="13"/>
  <c r="T292" i="13"/>
  <c r="S292" i="13"/>
  <c r="R292" i="13"/>
  <c r="Q292" i="13"/>
  <c r="P292" i="13"/>
  <c r="O292" i="13"/>
  <c r="N292" i="13"/>
  <c r="M292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AH288" i="13"/>
  <c r="AG288" i="13"/>
  <c r="AF288" i="13"/>
  <c r="AE288" i="13"/>
  <c r="AD288" i="13"/>
  <c r="AC288" i="13"/>
  <c r="AB288" i="13"/>
  <c r="AA288" i="13"/>
  <c r="Z288" i="13"/>
  <c r="Y288" i="13"/>
  <c r="X288" i="13"/>
  <c r="W288" i="13"/>
  <c r="V288" i="13"/>
  <c r="U288" i="13"/>
  <c r="T288" i="13"/>
  <c r="S288" i="13"/>
  <c r="R288" i="13"/>
  <c r="Q288" i="13"/>
  <c r="P288" i="13"/>
  <c r="O288" i="13"/>
  <c r="N288" i="13"/>
  <c r="M288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AH284" i="13"/>
  <c r="AG284" i="13"/>
  <c r="AF284" i="13"/>
  <c r="AE284" i="13"/>
  <c r="AD284" i="13"/>
  <c r="AC284" i="13"/>
  <c r="AB284" i="13"/>
  <c r="AA284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M284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AH280" i="13"/>
  <c r="AG280" i="13"/>
  <c r="AF280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AH276" i="13"/>
  <c r="AG276" i="13"/>
  <c r="AF276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AH272" i="13"/>
  <c r="AG272" i="13"/>
  <c r="AF272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AH268" i="13"/>
  <c r="AG268" i="13"/>
  <c r="AF268" i="13"/>
  <c r="AE268" i="13"/>
  <c r="AD268" i="13"/>
  <c r="AC268" i="13"/>
  <c r="AB268" i="13"/>
  <c r="AA268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AH264" i="13"/>
  <c r="AG264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AH260" i="13"/>
  <c r="AG260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AH256" i="13"/>
  <c r="AG256" i="13"/>
  <c r="AF256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AH252" i="13"/>
  <c r="AG252" i="13"/>
  <c r="AF252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AH248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AH244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AH240" i="13"/>
  <c r="AG240" i="13"/>
  <c r="AF240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AH236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H232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P232" i="13"/>
  <c r="O232" i="13"/>
  <c r="N232" i="13"/>
  <c r="M232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AH22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AH22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R224" i="13"/>
  <c r="Q224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AH220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AH216" i="13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AH212" i="13"/>
  <c r="AG212" i="13"/>
  <c r="AF212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AH208" i="13"/>
  <c r="AG208" i="13"/>
  <c r="AF208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AH204" i="13"/>
  <c r="AG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AH200" i="13"/>
  <c r="AG200" i="13"/>
  <c r="AF200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AH196" i="13"/>
  <c r="AG196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AH192" i="13"/>
  <c r="AG192" i="13"/>
  <c r="AF192" i="13"/>
  <c r="AE192" i="13"/>
  <c r="AD192" i="13"/>
  <c r="AC192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AH188" i="13"/>
  <c r="AG188" i="13"/>
  <c r="AF188" i="13"/>
  <c r="AE188" i="13"/>
  <c r="AD188" i="13"/>
  <c r="AC188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AH184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AH180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AH176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AH172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AH168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AH164" i="13"/>
  <c r="AG164" i="13"/>
  <c r="AF164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AH160" i="13"/>
  <c r="AG160" i="13"/>
  <c r="AF160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AH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AH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AH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H308" i="9"/>
  <c r="AG308" i="9"/>
  <c r="AF308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AH304" i="9"/>
  <c r="AG304" i="9"/>
  <c r="AF304" i="9"/>
  <c r="AE304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AH300" i="9"/>
  <c r="AG300" i="9"/>
  <c r="AF300" i="9"/>
  <c r="AE300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AH296" i="9"/>
  <c r="AG296" i="9"/>
  <c r="AF296" i="9"/>
  <c r="AE296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AH288" i="9"/>
  <c r="AG288" i="9"/>
  <c r="AF288" i="9"/>
  <c r="AE288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AH284" i="9"/>
  <c r="AG284" i="9"/>
  <c r="AF284" i="9"/>
  <c r="AE284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AH280" i="9"/>
  <c r="AG280" i="9"/>
  <c r="AF280" i="9"/>
  <c r="AE280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AH276" i="9"/>
  <c r="AG276" i="9"/>
  <c r="AF276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AH272" i="9"/>
  <c r="AG272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AH268" i="9"/>
  <c r="AG268" i="9"/>
  <c r="AF268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AH264" i="9"/>
  <c r="AG264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AH260" i="9"/>
  <c r="AG260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H256" i="9"/>
  <c r="AG256" i="9"/>
  <c r="AF256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AH252" i="9"/>
  <c r="AG252" i="9"/>
  <c r="AF252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AH248" i="9"/>
  <c r="AG248" i="9"/>
  <c r="AF248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AH244" i="9"/>
  <c r="AG244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AH236" i="9"/>
  <c r="AG236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H23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AH22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AH220" i="9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AH216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AH212" i="9"/>
  <c r="AG212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AH188" i="9"/>
  <c r="AG188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AH180" i="9"/>
  <c r="AG180" i="9"/>
  <c r="AF180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A308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A304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A300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A288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A284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280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252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A248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244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A240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A232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A228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224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220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216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A212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208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A204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B200" i="7"/>
  <c r="A200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A196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A192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A188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A184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A180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176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A172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A168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A164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A160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156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152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148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144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A140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A136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A132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128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108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104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100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96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92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84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80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72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68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A308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304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A280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A232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220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F308" i="3"/>
  <c r="E308" i="3"/>
  <c r="D308" i="3"/>
  <c r="C308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C304" i="3"/>
  <c r="B304" i="3"/>
  <c r="A304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F201" i="1"/>
  <c r="AC5" i="1"/>
  <c r="AA5" i="1"/>
  <c r="Y5" i="1"/>
  <c r="L5" i="1"/>
  <c r="J5" i="1"/>
  <c r="O61" i="1" l="1"/>
  <c r="O188" i="1"/>
  <c r="O48" i="1"/>
  <c r="AF195" i="1"/>
  <c r="O127" i="1"/>
  <c r="O185" i="1"/>
  <c r="O189" i="1"/>
  <c r="O193" i="1"/>
  <c r="AF73" i="1"/>
  <c r="O107" i="1"/>
  <c r="AF191" i="1"/>
  <c r="AF107" i="1"/>
  <c r="AG107" i="1" s="1"/>
  <c r="O59" i="1"/>
  <c r="O182" i="1"/>
  <c r="O184" i="1"/>
  <c r="O195" i="1"/>
  <c r="AG195" i="1" s="1"/>
  <c r="AF189" i="1"/>
  <c r="O105" i="1"/>
  <c r="AF49" i="1"/>
  <c r="O190" i="1"/>
  <c r="AF192" i="1"/>
  <c r="O47" i="1"/>
  <c r="O198" i="1"/>
  <c r="O125" i="1"/>
  <c r="O194" i="1"/>
  <c r="AF198" i="1"/>
  <c r="O103" i="1"/>
  <c r="AF194" i="1"/>
  <c r="O129" i="1"/>
  <c r="AF59" i="1"/>
  <c r="O58" i="1"/>
  <c r="AF54" i="1"/>
  <c r="O54" i="1"/>
  <c r="O49" i="1"/>
  <c r="AA202" i="1"/>
  <c r="L202" i="1"/>
  <c r="O52" i="1"/>
  <c r="W104" i="1"/>
  <c r="AF104" i="1" s="1"/>
  <c r="O104" i="1"/>
  <c r="J202" i="1"/>
  <c r="J201" i="1"/>
  <c r="AC201" i="1"/>
  <c r="AC202" i="1"/>
  <c r="AF188" i="1"/>
  <c r="AG188" i="1" s="1"/>
  <c r="W126" i="1"/>
  <c r="AF126" i="1" s="1"/>
  <c r="O126" i="1"/>
  <c r="W128" i="1"/>
  <c r="AF128" i="1" s="1"/>
  <c r="O128" i="1"/>
  <c r="O136" i="1"/>
  <c r="W106" i="1"/>
  <c r="AF106" i="1" s="1"/>
  <c r="O106" i="1"/>
  <c r="AF46" i="1"/>
  <c r="AF102" i="1"/>
  <c r="AF109" i="1"/>
  <c r="AF185" i="1"/>
  <c r="AG185" i="1" s="1"/>
  <c r="O102" i="1"/>
  <c r="O144" i="1"/>
  <c r="O109" i="1"/>
  <c r="AG191" i="1"/>
  <c r="AF56" i="1"/>
  <c r="AF58" i="1"/>
  <c r="O57" i="1"/>
  <c r="AF129" i="1"/>
  <c r="O46" i="1"/>
  <c r="AF52" i="1"/>
  <c r="AF60" i="1"/>
  <c r="O60" i="1"/>
  <c r="AF186" i="1"/>
  <c r="AG186" i="1" s="1"/>
  <c r="AF62" i="1"/>
  <c r="O192" i="1"/>
  <c r="AF127" i="1"/>
  <c r="AF48" i="1"/>
  <c r="AG48" i="1" s="1"/>
  <c r="AF193" i="1"/>
  <c r="AF144" i="1"/>
  <c r="AF47" i="1"/>
  <c r="AF103" i="1"/>
  <c r="AF55" i="1"/>
  <c r="AF61" i="1"/>
  <c r="AG61" i="1" s="1"/>
  <c r="AF187" i="1"/>
  <c r="AG187" i="1" s="1"/>
  <c r="AF136" i="1"/>
  <c r="AF184" i="1"/>
  <c r="AF190" i="1"/>
  <c r="O56" i="1"/>
  <c r="O62" i="1"/>
  <c r="O55" i="1"/>
  <c r="AG55" i="1" s="1"/>
  <c r="AF125" i="1"/>
  <c r="AF182" i="1"/>
  <c r="AG182" i="1" s="1"/>
  <c r="AF105" i="1"/>
  <c r="U202" i="1"/>
  <c r="AF57" i="1"/>
  <c r="O73" i="1"/>
  <c r="U201" i="1"/>
  <c r="L201" i="1"/>
  <c r="AA201" i="1"/>
  <c r="AG184" i="1" l="1"/>
  <c r="AG189" i="1"/>
  <c r="AG127" i="1"/>
  <c r="AG193" i="1"/>
  <c r="AG73" i="1"/>
  <c r="AG59" i="1"/>
  <c r="AG129" i="1"/>
  <c r="AG190" i="1"/>
  <c r="AG125" i="1"/>
  <c r="AG102" i="1"/>
  <c r="AG49" i="1"/>
  <c r="AG192" i="1"/>
  <c r="AG105" i="1"/>
  <c r="AG198" i="1"/>
  <c r="AG103" i="1"/>
  <c r="AG47" i="1"/>
  <c r="AG106" i="1"/>
  <c r="AG54" i="1"/>
  <c r="AG194" i="1"/>
  <c r="AG62" i="1"/>
  <c r="AG58" i="1"/>
  <c r="AG60" i="1"/>
  <c r="AG56" i="1"/>
  <c r="AG46" i="1"/>
  <c r="AG128" i="1"/>
  <c r="AG52" i="1"/>
  <c r="AG57" i="1"/>
  <c r="AG144" i="1"/>
  <c r="AG126" i="1"/>
  <c r="AG109" i="1"/>
  <c r="AG136" i="1"/>
  <c r="AG104" i="1"/>
  <c r="H199" i="1"/>
  <c r="O199" i="1" s="1"/>
  <c r="H34" i="1"/>
  <c r="O34" i="1" s="1"/>
  <c r="H200" i="1"/>
  <c r="O200" i="1" s="1"/>
  <c r="H197" i="1"/>
  <c r="O197" i="1" s="1"/>
  <c r="H196" i="1"/>
  <c r="O196" i="1" s="1"/>
  <c r="W200" i="1" l="1"/>
  <c r="AF200" i="1" s="1"/>
  <c r="AG200" i="1" s="1"/>
  <c r="W197" i="1"/>
  <c r="AF197" i="1" s="1"/>
  <c r="AG197" i="1" s="1"/>
  <c r="W34" i="1"/>
  <c r="AF34" i="1" s="1"/>
  <c r="AG34" i="1" s="1"/>
  <c r="W196" i="1"/>
  <c r="AF196" i="1" s="1"/>
  <c r="AG196" i="1" s="1"/>
  <c r="W199" i="1"/>
  <c r="AF199" i="1" s="1"/>
  <c r="AG199" i="1" s="1"/>
  <c r="H177" i="1"/>
  <c r="O177" i="1" s="1"/>
  <c r="H173" i="1"/>
  <c r="O173" i="1" s="1"/>
  <c r="H169" i="1"/>
  <c r="O169" i="1" s="1"/>
  <c r="H165" i="1"/>
  <c r="O165" i="1" s="1"/>
  <c r="H153" i="1"/>
  <c r="O153" i="1" s="1"/>
  <c r="H149" i="1"/>
  <c r="O149" i="1" s="1"/>
  <c r="H183" i="1"/>
  <c r="O183" i="1" s="1"/>
  <c r="H175" i="1"/>
  <c r="O175" i="1" s="1"/>
  <c r="W175" i="1" l="1"/>
  <c r="AF175" i="1" s="1"/>
  <c r="AG175" i="1" s="1"/>
  <c r="W149" i="1"/>
  <c r="AF149" i="1" s="1"/>
  <c r="AG149" i="1" s="1"/>
  <c r="W165" i="1"/>
  <c r="AF165" i="1" s="1"/>
  <c r="AG165" i="1" s="1"/>
  <c r="W153" i="1"/>
  <c r="AF153" i="1" s="1"/>
  <c r="AG153" i="1" s="1"/>
  <c r="W169" i="1"/>
  <c r="AF169" i="1" s="1"/>
  <c r="AG169" i="1" s="1"/>
  <c r="W183" i="1"/>
  <c r="AF183" i="1" s="1"/>
  <c r="AG183" i="1" s="1"/>
  <c r="W173" i="1"/>
  <c r="AF173" i="1" s="1"/>
  <c r="AG173" i="1" s="1"/>
  <c r="W177" i="1"/>
  <c r="AF177" i="1" s="1"/>
  <c r="AG177" i="1" s="1"/>
  <c r="H159" i="1"/>
  <c r="O159" i="1" s="1"/>
  <c r="H181" i="1"/>
  <c r="O181" i="1" s="1"/>
  <c r="H157" i="1"/>
  <c r="O157" i="1" s="1"/>
  <c r="H145" i="1"/>
  <c r="O145" i="1" s="1"/>
  <c r="H161" i="1"/>
  <c r="O161" i="1" s="1"/>
  <c r="H163" i="1"/>
  <c r="O163" i="1" s="1"/>
  <c r="H179" i="1"/>
  <c r="O179" i="1" s="1"/>
  <c r="H171" i="1"/>
  <c r="O171" i="1" s="1"/>
  <c r="H167" i="1"/>
  <c r="O167" i="1" s="1"/>
  <c r="H158" i="1"/>
  <c r="O158" i="1" s="1"/>
  <c r="H174" i="1"/>
  <c r="O174" i="1" s="1"/>
  <c r="H148" i="1"/>
  <c r="O148" i="1" s="1"/>
  <c r="H164" i="1"/>
  <c r="O164" i="1" s="1"/>
  <c r="H180" i="1"/>
  <c r="O180" i="1" s="1"/>
  <c r="H146" i="1"/>
  <c r="O146" i="1" s="1"/>
  <c r="H162" i="1"/>
  <c r="O162" i="1" s="1"/>
  <c r="H178" i="1"/>
  <c r="O178" i="1" s="1"/>
  <c r="H152" i="1"/>
  <c r="O152" i="1" s="1"/>
  <c r="H168" i="1"/>
  <c r="O168" i="1" s="1"/>
  <c r="H147" i="1"/>
  <c r="O147" i="1" s="1"/>
  <c r="H155" i="1"/>
  <c r="O155" i="1" s="1"/>
  <c r="H150" i="1"/>
  <c r="O150" i="1" s="1"/>
  <c r="H166" i="1"/>
  <c r="O166" i="1" s="1"/>
  <c r="H156" i="1"/>
  <c r="O156" i="1" s="1"/>
  <c r="H172" i="1"/>
  <c r="O172" i="1" s="1"/>
  <c r="H154" i="1"/>
  <c r="O154" i="1" s="1"/>
  <c r="H170" i="1"/>
  <c r="O170" i="1" s="1"/>
  <c r="H160" i="1"/>
  <c r="O160" i="1" s="1"/>
  <c r="H176" i="1"/>
  <c r="O176" i="1" s="1"/>
  <c r="H151" i="1"/>
  <c r="O151" i="1" s="1"/>
  <c r="W176" i="1" l="1"/>
  <c r="AF176" i="1" s="1"/>
  <c r="AG176" i="1" s="1"/>
  <c r="W147" i="1"/>
  <c r="AF147" i="1" s="1"/>
  <c r="AG147" i="1" s="1"/>
  <c r="W154" i="1"/>
  <c r="AF154" i="1" s="1"/>
  <c r="AG154" i="1" s="1"/>
  <c r="W150" i="1"/>
  <c r="AF150" i="1" s="1"/>
  <c r="AG150" i="1" s="1"/>
  <c r="W162" i="1"/>
  <c r="AF162" i="1" s="1"/>
  <c r="AG162" i="1" s="1"/>
  <c r="W174" i="1"/>
  <c r="AF174" i="1" s="1"/>
  <c r="AG174" i="1" s="1"/>
  <c r="W167" i="1"/>
  <c r="AF167" i="1" s="1"/>
  <c r="AG167" i="1" s="1"/>
  <c r="W159" i="1"/>
  <c r="AF159" i="1" s="1"/>
  <c r="AG159" i="1" s="1"/>
  <c r="W160" i="1"/>
  <c r="AF160" i="1" s="1"/>
  <c r="AG160" i="1" s="1"/>
  <c r="W156" i="1"/>
  <c r="AF156" i="1" s="1"/>
  <c r="AG156" i="1" s="1"/>
  <c r="W155" i="1"/>
  <c r="AF155" i="1" s="1"/>
  <c r="AG155" i="1" s="1"/>
  <c r="W152" i="1"/>
  <c r="AF152" i="1" s="1"/>
  <c r="AG152" i="1" s="1"/>
  <c r="W164" i="1"/>
  <c r="AF164" i="1" s="1"/>
  <c r="AG164" i="1" s="1"/>
  <c r="W171" i="1"/>
  <c r="AF171" i="1" s="1"/>
  <c r="AG171" i="1" s="1"/>
  <c r="W163" i="1"/>
  <c r="AF163" i="1" s="1"/>
  <c r="AG163" i="1" s="1"/>
  <c r="W170" i="1"/>
  <c r="AF170" i="1" s="1"/>
  <c r="AG170" i="1" s="1"/>
  <c r="W166" i="1"/>
  <c r="AF166" i="1" s="1"/>
  <c r="AG166" i="1" s="1"/>
  <c r="W178" i="1"/>
  <c r="AF178" i="1" s="1"/>
  <c r="AG178" i="1" s="1"/>
  <c r="W146" i="1"/>
  <c r="AF146" i="1" s="1"/>
  <c r="AG146" i="1" s="1"/>
  <c r="W158" i="1"/>
  <c r="AF158" i="1" s="1"/>
  <c r="AG158" i="1" s="1"/>
  <c r="W179" i="1"/>
  <c r="AF179" i="1" s="1"/>
  <c r="AG179" i="1" s="1"/>
  <c r="W145" i="1"/>
  <c r="AF145" i="1" s="1"/>
  <c r="AG145" i="1" s="1"/>
  <c r="W157" i="1"/>
  <c r="AF157" i="1" s="1"/>
  <c r="AG157" i="1" s="1"/>
  <c r="W181" i="1"/>
  <c r="AF181" i="1" s="1"/>
  <c r="AG181" i="1" s="1"/>
  <c r="W151" i="1"/>
  <c r="AF151" i="1" s="1"/>
  <c r="AG151" i="1" s="1"/>
  <c r="W172" i="1"/>
  <c r="AF172" i="1" s="1"/>
  <c r="AG172" i="1" s="1"/>
  <c r="W168" i="1"/>
  <c r="AF168" i="1" s="1"/>
  <c r="AG168" i="1" s="1"/>
  <c r="W180" i="1"/>
  <c r="AF180" i="1" s="1"/>
  <c r="AG180" i="1" s="1"/>
  <c r="W148" i="1"/>
  <c r="AF148" i="1" s="1"/>
  <c r="AG148" i="1" s="1"/>
  <c r="W161" i="1"/>
  <c r="AF161" i="1" s="1"/>
  <c r="AG161" i="1" s="1"/>
  <c r="H108" i="1"/>
  <c r="O108" i="1" s="1"/>
  <c r="W108" i="1" l="1"/>
  <c r="AF108" i="1" s="1"/>
  <c r="AG108" i="1" s="1"/>
  <c r="H83" i="1"/>
  <c r="O83" i="1" s="1"/>
  <c r="H110" i="1"/>
  <c r="O110" i="1" s="1"/>
  <c r="H141" i="1"/>
  <c r="O141" i="1" s="1"/>
  <c r="H118" i="1"/>
  <c r="O118" i="1" s="1"/>
  <c r="H133" i="1"/>
  <c r="O133" i="1" s="1"/>
  <c r="H137" i="1"/>
  <c r="O137" i="1" s="1"/>
  <c r="H135" i="1"/>
  <c r="O135" i="1" s="1"/>
  <c r="H134" i="1"/>
  <c r="O134" i="1" s="1"/>
  <c r="H139" i="1"/>
  <c r="O139" i="1" s="1"/>
  <c r="H138" i="1"/>
  <c r="O138" i="1" s="1"/>
  <c r="H140" i="1"/>
  <c r="O140" i="1" s="1"/>
  <c r="H143" i="1"/>
  <c r="O143" i="1" s="1"/>
  <c r="H142" i="1"/>
  <c r="O142" i="1" s="1"/>
  <c r="H131" i="1"/>
  <c r="O131" i="1" s="1"/>
  <c r="H130" i="1"/>
  <c r="O130" i="1" s="1"/>
  <c r="H132" i="1"/>
  <c r="O132" i="1" s="1"/>
  <c r="Y98" i="1"/>
  <c r="W142" i="1" l="1"/>
  <c r="AF142" i="1" s="1"/>
  <c r="AG142" i="1" s="1"/>
  <c r="W134" i="1"/>
  <c r="AF134" i="1" s="1"/>
  <c r="AG134" i="1" s="1"/>
  <c r="W133" i="1"/>
  <c r="AF133" i="1" s="1"/>
  <c r="AG133" i="1" s="1"/>
  <c r="W110" i="1"/>
  <c r="AF110" i="1" s="1"/>
  <c r="AG110" i="1" s="1"/>
  <c r="W83" i="1"/>
  <c r="AF83" i="1" s="1"/>
  <c r="AG83" i="1" s="1"/>
  <c r="W132" i="1"/>
  <c r="AF132" i="1" s="1"/>
  <c r="AG132" i="1" s="1"/>
  <c r="W131" i="1"/>
  <c r="AF131" i="1" s="1"/>
  <c r="AG131" i="1" s="1"/>
  <c r="W143" i="1"/>
  <c r="AF143" i="1" s="1"/>
  <c r="AG143" i="1" s="1"/>
  <c r="W135" i="1"/>
  <c r="AF135" i="1" s="1"/>
  <c r="AG135" i="1" s="1"/>
  <c r="W130" i="1"/>
  <c r="AF130" i="1" s="1"/>
  <c r="AG130" i="1" s="1"/>
  <c r="W138" i="1"/>
  <c r="AF138" i="1" s="1"/>
  <c r="AG138" i="1" s="1"/>
  <c r="W118" i="1"/>
  <c r="AF118" i="1" s="1"/>
  <c r="AG118" i="1" s="1"/>
  <c r="W140" i="1"/>
  <c r="AF140" i="1" s="1"/>
  <c r="AG140" i="1" s="1"/>
  <c r="W139" i="1"/>
  <c r="AF139" i="1" s="1"/>
  <c r="AG139" i="1" s="1"/>
  <c r="W137" i="1"/>
  <c r="AF137" i="1" s="1"/>
  <c r="AG137" i="1" s="1"/>
  <c r="W141" i="1"/>
  <c r="AF141" i="1" s="1"/>
  <c r="AG141" i="1" s="1"/>
  <c r="H93" i="1"/>
  <c r="O93" i="1" s="1"/>
  <c r="H114" i="1"/>
  <c r="O114" i="1" s="1"/>
  <c r="H122" i="1"/>
  <c r="O122" i="1" s="1"/>
  <c r="H117" i="1"/>
  <c r="O117" i="1" s="1"/>
  <c r="H101" i="1"/>
  <c r="O101" i="1" s="1"/>
  <c r="H121" i="1"/>
  <c r="O121" i="1" s="1"/>
  <c r="H116" i="1"/>
  <c r="O116" i="1" s="1"/>
  <c r="H111" i="1"/>
  <c r="O111" i="1" s="1"/>
  <c r="H120" i="1"/>
  <c r="O120" i="1" s="1"/>
  <c r="H115" i="1"/>
  <c r="O115" i="1" s="1"/>
  <c r="H124" i="1"/>
  <c r="O124" i="1" s="1"/>
  <c r="H119" i="1"/>
  <c r="O119" i="1" s="1"/>
  <c r="H112" i="1"/>
  <c r="O112" i="1" s="1"/>
  <c r="H123" i="1"/>
  <c r="O123" i="1" s="1"/>
  <c r="H113" i="1"/>
  <c r="O113" i="1" s="1"/>
  <c r="W111" i="1" l="1"/>
  <c r="AF111" i="1" s="1"/>
  <c r="AG111" i="1" s="1"/>
  <c r="W113" i="1"/>
  <c r="AF113" i="1" s="1"/>
  <c r="AG113" i="1" s="1"/>
  <c r="W119" i="1"/>
  <c r="AF119" i="1" s="1"/>
  <c r="AG119" i="1" s="1"/>
  <c r="W115" i="1"/>
  <c r="AF115" i="1" s="1"/>
  <c r="AG115" i="1" s="1"/>
  <c r="W116" i="1"/>
  <c r="AF116" i="1" s="1"/>
  <c r="AG116" i="1" s="1"/>
  <c r="W117" i="1"/>
  <c r="AF117" i="1" s="1"/>
  <c r="AG117" i="1" s="1"/>
  <c r="W122" i="1"/>
  <c r="AF122" i="1" s="1"/>
  <c r="AG122" i="1" s="1"/>
  <c r="W93" i="1"/>
  <c r="AF93" i="1" s="1"/>
  <c r="AG93" i="1" s="1"/>
  <c r="W123" i="1"/>
  <c r="AF123" i="1" s="1"/>
  <c r="AG123" i="1" s="1"/>
  <c r="W112" i="1"/>
  <c r="AF112" i="1" s="1"/>
  <c r="AG112" i="1" s="1"/>
  <c r="W124" i="1"/>
  <c r="AF124" i="1" s="1"/>
  <c r="AG124" i="1" s="1"/>
  <c r="W120" i="1"/>
  <c r="AF120" i="1" s="1"/>
  <c r="AG120" i="1" s="1"/>
  <c r="W121" i="1"/>
  <c r="AF121" i="1" s="1"/>
  <c r="AG121" i="1" s="1"/>
  <c r="W114" i="1"/>
  <c r="AF114" i="1" s="1"/>
  <c r="AG114" i="1" s="1"/>
  <c r="W101" i="1"/>
  <c r="AF101" i="1" s="1"/>
  <c r="AG101" i="1" s="1"/>
  <c r="H97" i="1"/>
  <c r="O97" i="1" s="1"/>
  <c r="H98" i="1"/>
  <c r="O98" i="1" s="1"/>
  <c r="H92" i="1"/>
  <c r="O92" i="1" s="1"/>
  <c r="H96" i="1"/>
  <c r="O96" i="1" s="1"/>
  <c r="H95" i="1"/>
  <c r="O95" i="1" s="1"/>
  <c r="H53" i="1"/>
  <c r="O53" i="1" s="1"/>
  <c r="H100" i="1"/>
  <c r="O100" i="1" s="1"/>
  <c r="H99" i="1"/>
  <c r="O99" i="1" s="1"/>
  <c r="H94" i="1"/>
  <c r="O94" i="1" s="1"/>
  <c r="Y51" i="1"/>
  <c r="Y201" i="1" l="1"/>
  <c r="Y202" i="1"/>
  <c r="W94" i="1"/>
  <c r="AF94" i="1" s="1"/>
  <c r="AG94" i="1" s="1"/>
  <c r="W100" i="1"/>
  <c r="AF100" i="1" s="1"/>
  <c r="AG100" i="1" s="1"/>
  <c r="W96" i="1"/>
  <c r="AF96" i="1" s="1"/>
  <c r="AG96" i="1" s="1"/>
  <c r="W92" i="1"/>
  <c r="AF92" i="1" s="1"/>
  <c r="AG92" i="1" s="1"/>
  <c r="W97" i="1"/>
  <c r="AF97" i="1" s="1"/>
  <c r="AG97" i="1" s="1"/>
  <c r="W53" i="1"/>
  <c r="AF53" i="1" s="1"/>
  <c r="AG53" i="1" s="1"/>
  <c r="W99" i="1"/>
  <c r="AF99" i="1" s="1"/>
  <c r="AG99" i="1" s="1"/>
  <c r="W95" i="1"/>
  <c r="AF95" i="1" s="1"/>
  <c r="AG95" i="1" s="1"/>
  <c r="W98" i="1"/>
  <c r="AF98" i="1" s="1"/>
  <c r="AG98" i="1" s="1"/>
  <c r="H38" i="1"/>
  <c r="O38" i="1" s="1"/>
  <c r="H33" i="1"/>
  <c r="O33" i="1" s="1"/>
  <c r="H25" i="1"/>
  <c r="O25" i="1" s="1"/>
  <c r="H84" i="1"/>
  <c r="O84" i="1" s="1"/>
  <c r="H79" i="1"/>
  <c r="O79" i="1" s="1"/>
  <c r="H63" i="1"/>
  <c r="O63" i="1" s="1"/>
  <c r="H11" i="1"/>
  <c r="O11" i="1" s="1"/>
  <c r="H90" i="1"/>
  <c r="O90" i="1" s="1"/>
  <c r="H77" i="1"/>
  <c r="O77" i="1" s="1"/>
  <c r="H44" i="1"/>
  <c r="O44" i="1" s="1"/>
  <c r="H36" i="1"/>
  <c r="O36" i="1" s="1"/>
  <c r="H27" i="1"/>
  <c r="O27" i="1" s="1"/>
  <c r="H23" i="1"/>
  <c r="O23" i="1" s="1"/>
  <c r="H16" i="1"/>
  <c r="O16" i="1" s="1"/>
  <c r="H9" i="1"/>
  <c r="O9" i="1" s="1"/>
  <c r="W44" i="1" l="1"/>
  <c r="AF44" i="1" s="1"/>
  <c r="AG44" i="1" s="1"/>
  <c r="W84" i="1"/>
  <c r="AF84" i="1" s="1"/>
  <c r="AG84" i="1" s="1"/>
  <c r="W38" i="1"/>
  <c r="AF38" i="1" s="1"/>
  <c r="AG38" i="1" s="1"/>
  <c r="W16" i="1"/>
  <c r="AF16" i="1" s="1"/>
  <c r="AG16" i="1" s="1"/>
  <c r="W25" i="1"/>
  <c r="AF25" i="1" s="1"/>
  <c r="AG25" i="1" s="1"/>
  <c r="W36" i="1"/>
  <c r="AF36" i="1" s="1"/>
  <c r="AG36" i="1" s="1"/>
  <c r="W9" i="1"/>
  <c r="AF9" i="1" s="1"/>
  <c r="AG9" i="1" s="1"/>
  <c r="W90" i="1"/>
  <c r="AF90" i="1" s="1"/>
  <c r="AG90" i="1" s="1"/>
  <c r="W23" i="1"/>
  <c r="AF23" i="1" s="1"/>
  <c r="AG23" i="1" s="1"/>
  <c r="W77" i="1"/>
  <c r="AF77" i="1" s="1"/>
  <c r="AG77" i="1" s="1"/>
  <c r="W63" i="1"/>
  <c r="AF63" i="1" s="1"/>
  <c r="AG63" i="1" s="1"/>
  <c r="W79" i="1"/>
  <c r="AF79" i="1" s="1"/>
  <c r="AG79" i="1" s="1"/>
  <c r="W33" i="1"/>
  <c r="AF33" i="1" s="1"/>
  <c r="AG33" i="1" s="1"/>
  <c r="W27" i="1"/>
  <c r="AF27" i="1" s="1"/>
  <c r="AG27" i="1" s="1"/>
  <c r="W11" i="1"/>
  <c r="AF11" i="1" s="1"/>
  <c r="AG11" i="1" s="1"/>
  <c r="H31" i="1"/>
  <c r="O31" i="1" s="1"/>
  <c r="H50" i="1"/>
  <c r="O50" i="1" s="1"/>
  <c r="H81" i="1"/>
  <c r="O81" i="1" s="1"/>
  <c r="H88" i="1"/>
  <c r="O88" i="1" s="1"/>
  <c r="H12" i="1"/>
  <c r="O12" i="1" s="1"/>
  <c r="H71" i="1"/>
  <c r="O71" i="1" s="1"/>
  <c r="H75" i="1"/>
  <c r="O75" i="1" s="1"/>
  <c r="H65" i="1"/>
  <c r="O65" i="1" s="1"/>
  <c r="H86" i="1"/>
  <c r="O86" i="1" s="1"/>
  <c r="H69" i="1"/>
  <c r="O69" i="1" s="1"/>
  <c r="H8" i="1"/>
  <c r="O8" i="1" s="1"/>
  <c r="H67" i="1"/>
  <c r="O67" i="1" s="1"/>
  <c r="H18" i="1"/>
  <c r="O18" i="1" s="1"/>
  <c r="H42" i="1"/>
  <c r="O42" i="1" s="1"/>
  <c r="H40" i="1"/>
  <c r="O40" i="1" s="1"/>
  <c r="H29" i="1"/>
  <c r="O29" i="1" s="1"/>
  <c r="H22" i="1"/>
  <c r="O22" i="1" s="1"/>
  <c r="H39" i="1"/>
  <c r="O39" i="1" s="1"/>
  <c r="H72" i="1"/>
  <c r="O72" i="1" s="1"/>
  <c r="H89" i="1"/>
  <c r="O89" i="1" s="1"/>
  <c r="H10" i="1"/>
  <c r="H37" i="1"/>
  <c r="O37" i="1" s="1"/>
  <c r="H70" i="1"/>
  <c r="O70" i="1" s="1"/>
  <c r="H87" i="1"/>
  <c r="O87" i="1" s="1"/>
  <c r="H26" i="1"/>
  <c r="O26" i="1" s="1"/>
  <c r="H43" i="1"/>
  <c r="O43" i="1" s="1"/>
  <c r="H76" i="1"/>
  <c r="O76" i="1" s="1"/>
  <c r="H24" i="1"/>
  <c r="O24" i="1" s="1"/>
  <c r="H41" i="1"/>
  <c r="O41" i="1" s="1"/>
  <c r="H74" i="1"/>
  <c r="O74" i="1" s="1"/>
  <c r="H91" i="1"/>
  <c r="O91" i="1" s="1"/>
  <c r="H30" i="1"/>
  <c r="O30" i="1" s="1"/>
  <c r="H64" i="1"/>
  <c r="O64" i="1" s="1"/>
  <c r="H80" i="1"/>
  <c r="O80" i="1" s="1"/>
  <c r="H15" i="1"/>
  <c r="O15" i="1" s="1"/>
  <c r="H28" i="1"/>
  <c r="O28" i="1" s="1"/>
  <c r="H45" i="1"/>
  <c r="O45" i="1" s="1"/>
  <c r="H78" i="1"/>
  <c r="O78" i="1" s="1"/>
  <c r="H35" i="1"/>
  <c r="O35" i="1" s="1"/>
  <c r="H68" i="1"/>
  <c r="O68" i="1" s="1"/>
  <c r="H85" i="1"/>
  <c r="O85" i="1" s="1"/>
  <c r="H7" i="1"/>
  <c r="O7" i="1" s="1"/>
  <c r="H17" i="1"/>
  <c r="O17" i="1" s="1"/>
  <c r="H32" i="1"/>
  <c r="O32" i="1" s="1"/>
  <c r="H66" i="1"/>
  <c r="O66" i="1" s="1"/>
  <c r="H82" i="1"/>
  <c r="O82" i="1" s="1"/>
  <c r="O10" i="1" l="1"/>
  <c r="W7" i="1"/>
  <c r="AF7" i="1" s="1"/>
  <c r="AG7" i="1" s="1"/>
  <c r="AG201" i="1" s="1"/>
  <c r="W15" i="1"/>
  <c r="AF15" i="1" s="1"/>
  <c r="AG15" i="1" s="1"/>
  <c r="W64" i="1"/>
  <c r="AF64" i="1" s="1"/>
  <c r="AG64" i="1" s="1"/>
  <c r="W30" i="1"/>
  <c r="AF30" i="1" s="1"/>
  <c r="AG30" i="1" s="1"/>
  <c r="W24" i="1"/>
  <c r="AF24" i="1" s="1"/>
  <c r="AG24" i="1" s="1"/>
  <c r="W76" i="1"/>
  <c r="AF76" i="1" s="1"/>
  <c r="AG76" i="1" s="1"/>
  <c r="W70" i="1"/>
  <c r="AF70" i="1" s="1"/>
  <c r="AG70" i="1" s="1"/>
  <c r="W37" i="1"/>
  <c r="AF37" i="1" s="1"/>
  <c r="AG37" i="1" s="1"/>
  <c r="W89" i="1"/>
  <c r="AF89" i="1" s="1"/>
  <c r="AG89" i="1" s="1"/>
  <c r="W29" i="1"/>
  <c r="AF29" i="1" s="1"/>
  <c r="AG29" i="1" s="1"/>
  <c r="W65" i="1"/>
  <c r="AF65" i="1" s="1"/>
  <c r="AG65" i="1" s="1"/>
  <c r="W88" i="1"/>
  <c r="AF88" i="1" s="1"/>
  <c r="AG88" i="1" s="1"/>
  <c r="W50" i="1"/>
  <c r="AF50" i="1" s="1"/>
  <c r="AG50" i="1" s="1"/>
  <c r="W17" i="1"/>
  <c r="AF17" i="1" s="1"/>
  <c r="AG17" i="1" s="1"/>
  <c r="W45" i="1"/>
  <c r="AF45" i="1" s="1"/>
  <c r="AG45" i="1" s="1"/>
  <c r="W91" i="1"/>
  <c r="AF91" i="1" s="1"/>
  <c r="AG91" i="1" s="1"/>
  <c r="W43" i="1"/>
  <c r="AF43" i="1" s="1"/>
  <c r="AG43" i="1" s="1"/>
  <c r="W22" i="1"/>
  <c r="AF22" i="1" s="1"/>
  <c r="AG22" i="1" s="1"/>
  <c r="W40" i="1"/>
  <c r="AF40" i="1" s="1"/>
  <c r="AG40" i="1" s="1"/>
  <c r="W67" i="1"/>
  <c r="AF67" i="1" s="1"/>
  <c r="AG67" i="1" s="1"/>
  <c r="W69" i="1"/>
  <c r="AF69" i="1" s="1"/>
  <c r="AG69" i="1" s="1"/>
  <c r="W71" i="1"/>
  <c r="AF71" i="1" s="1"/>
  <c r="AG71" i="1" s="1"/>
  <c r="W81" i="1"/>
  <c r="AF81" i="1" s="1"/>
  <c r="AG81" i="1" s="1"/>
  <c r="W82" i="1"/>
  <c r="AF82" i="1" s="1"/>
  <c r="AG82" i="1" s="1"/>
  <c r="W68" i="1"/>
  <c r="AF68" i="1" s="1"/>
  <c r="AG68" i="1" s="1"/>
  <c r="W66" i="1"/>
  <c r="AF66" i="1" s="1"/>
  <c r="AG66" i="1" s="1"/>
  <c r="W85" i="1"/>
  <c r="AF85" i="1" s="1"/>
  <c r="AG85" i="1" s="1"/>
  <c r="W80" i="1"/>
  <c r="AF80" i="1" s="1"/>
  <c r="AG80" i="1" s="1"/>
  <c r="W74" i="1"/>
  <c r="AF74" i="1" s="1"/>
  <c r="AG74" i="1" s="1"/>
  <c r="W41" i="1"/>
  <c r="AF41" i="1" s="1"/>
  <c r="AG41" i="1" s="1"/>
  <c r="W26" i="1"/>
  <c r="AF26" i="1" s="1"/>
  <c r="AG26" i="1" s="1"/>
  <c r="W10" i="1"/>
  <c r="W42" i="1"/>
  <c r="AF42" i="1" s="1"/>
  <c r="AG42" i="1" s="1"/>
  <c r="W8" i="1"/>
  <c r="AF8" i="1" s="1"/>
  <c r="AG8" i="1" s="1"/>
  <c r="W86" i="1"/>
  <c r="AF86" i="1" s="1"/>
  <c r="AG86" i="1" s="1"/>
  <c r="W75" i="1"/>
  <c r="AF75" i="1" s="1"/>
  <c r="AG75" i="1" s="1"/>
  <c r="W31" i="1"/>
  <c r="AF31" i="1" s="1"/>
  <c r="AG31" i="1" s="1"/>
  <c r="W78" i="1"/>
  <c r="AF78" i="1" s="1"/>
  <c r="AG78" i="1" s="1"/>
  <c r="W35" i="1"/>
  <c r="AF35" i="1" s="1"/>
  <c r="AG35" i="1" s="1"/>
  <c r="W32" i="1"/>
  <c r="AF32" i="1" s="1"/>
  <c r="AG32" i="1" s="1"/>
  <c r="W28" i="1"/>
  <c r="AF28" i="1" s="1"/>
  <c r="AG28" i="1" s="1"/>
  <c r="W87" i="1"/>
  <c r="AF87" i="1" s="1"/>
  <c r="AG87" i="1" s="1"/>
  <c r="W72" i="1"/>
  <c r="AF72" i="1" s="1"/>
  <c r="AG72" i="1" s="1"/>
  <c r="W39" i="1"/>
  <c r="AF39" i="1" s="1"/>
  <c r="AG39" i="1" s="1"/>
  <c r="W18" i="1"/>
  <c r="AF18" i="1" s="1"/>
  <c r="AG18" i="1" s="1"/>
  <c r="W12" i="1"/>
  <c r="AF12" i="1" s="1"/>
  <c r="AG12" i="1" s="1"/>
  <c r="H51" i="1"/>
  <c r="O51" i="1" s="1"/>
  <c r="AF10" i="1" l="1"/>
  <c r="AG10" i="1" s="1"/>
  <c r="W51" i="1"/>
  <c r="AF51" i="1" s="1"/>
  <c r="AG51" i="1" s="1"/>
  <c r="H5" i="1" l="1"/>
  <c r="H202" i="1" s="1"/>
  <c r="H201" i="1" l="1"/>
  <c r="O201" i="1" s="1"/>
  <c r="O5" i="1"/>
  <c r="W5" i="1"/>
  <c r="W202" i="1" s="1"/>
  <c r="O202" i="1" l="1"/>
  <c r="W201" i="1"/>
  <c r="AF5" i="1"/>
  <c r="AF201" i="1" l="1"/>
  <c r="AF202" i="1"/>
  <c r="AG202" i="1" s="1"/>
  <c r="AH202" i="1" s="1"/>
  <c r="AG5" i="1"/>
</calcChain>
</file>

<file path=xl/sharedStrings.xml><?xml version="1.0" encoding="utf-8"?>
<sst xmlns="http://schemas.openxmlformats.org/spreadsheetml/2006/main" count="22649" uniqueCount="79">
  <si>
    <t xml:space="preserve">الكود </t>
  </si>
  <si>
    <t xml:space="preserve">الاسم </t>
  </si>
  <si>
    <t>الفرع</t>
  </si>
  <si>
    <t xml:space="preserve">الوظيفة </t>
  </si>
  <si>
    <t>ساعات العمل</t>
  </si>
  <si>
    <t xml:space="preserve">الراتب </t>
  </si>
  <si>
    <t>الاستحقاق</t>
  </si>
  <si>
    <t xml:space="preserve">الاستقطاع </t>
  </si>
  <si>
    <t xml:space="preserve">اجمالى الاستقطاع </t>
  </si>
  <si>
    <t xml:space="preserve">صافى الراتب </t>
  </si>
  <si>
    <t xml:space="preserve">ملاحظات </t>
  </si>
  <si>
    <t xml:space="preserve">ايام العمل </t>
  </si>
  <si>
    <t xml:space="preserve">قيمة ايام العمل </t>
  </si>
  <si>
    <t xml:space="preserve">الاضافى بالساعات </t>
  </si>
  <si>
    <t xml:space="preserve">قيمة الاضافى  </t>
  </si>
  <si>
    <t>بدل اجازات</t>
  </si>
  <si>
    <t xml:space="preserve">قيمة بدل الاجازات </t>
  </si>
  <si>
    <t xml:space="preserve">مكافأة </t>
  </si>
  <si>
    <t xml:space="preserve">اخرى </t>
  </si>
  <si>
    <t>اجمالى الاستحقاق</t>
  </si>
  <si>
    <t>ساعات التاخير</t>
  </si>
  <si>
    <t>قيمة ساعات التأخير</t>
  </si>
  <si>
    <t xml:space="preserve">سلف </t>
  </si>
  <si>
    <t>سلفة مرحله</t>
  </si>
  <si>
    <t xml:space="preserve">جزاء ادارى </t>
  </si>
  <si>
    <t>قيمة الجزاء الادارى</t>
  </si>
  <si>
    <t>جزاء البصمه</t>
  </si>
  <si>
    <t>قيمة جزاء البصمه</t>
  </si>
  <si>
    <t xml:space="preserve">غياب بدون اذن </t>
  </si>
  <si>
    <t xml:space="preserve">جزاء غياب بدون اذن </t>
  </si>
  <si>
    <t>المرضى</t>
  </si>
  <si>
    <t xml:space="preserve">قيمة المرضى </t>
  </si>
  <si>
    <t>الراتب التاميني</t>
  </si>
  <si>
    <t>تأمينات وضرائب</t>
  </si>
  <si>
    <t>الانحرافات</t>
  </si>
  <si>
    <t xml:space="preserve">عجز منتجات&amp; عهدة  </t>
  </si>
  <si>
    <t xml:space="preserve">الاجماليات </t>
  </si>
  <si>
    <t>الإجمالي</t>
  </si>
  <si>
    <t>مرتبات الاردنيه عن شهر 1-2025</t>
  </si>
  <si>
    <t xml:space="preserve">ساعات العمل </t>
  </si>
  <si>
    <t xml:space="preserve">كاشير </t>
  </si>
  <si>
    <t xml:space="preserve">احمد هادي ابرهيم متولي </t>
  </si>
  <si>
    <t>مصطفي ابراهيم نبوي دراز</t>
  </si>
  <si>
    <t xml:space="preserve">عضو فريق </t>
  </si>
  <si>
    <t xml:space="preserve">مطبخ </t>
  </si>
  <si>
    <t>تقرير الرواتب عن شهر فبراير 2026</t>
  </si>
  <si>
    <t>استيوارد</t>
  </si>
  <si>
    <t xml:space="preserve">ايه محمد عوضين سليمان </t>
  </si>
  <si>
    <t xml:space="preserve">فرع اسماعليه </t>
  </si>
  <si>
    <t xml:space="preserve">نورسين البغدادي ابراهيم سليم </t>
  </si>
  <si>
    <t xml:space="preserve">مريم </t>
  </si>
  <si>
    <t xml:space="preserve">سيد احمد حسن جاد الرب </t>
  </si>
  <si>
    <t xml:space="preserve">احمد رمضان </t>
  </si>
  <si>
    <t>ابراهيم محمود</t>
  </si>
  <si>
    <t xml:space="preserve">حسن محمد </t>
  </si>
  <si>
    <t>ويتر</t>
  </si>
  <si>
    <t xml:space="preserve">نها </t>
  </si>
  <si>
    <t xml:space="preserve">فادي روماني </t>
  </si>
  <si>
    <t xml:space="preserve">عبدالرحمن احمد محمد احمد مصطفي </t>
  </si>
  <si>
    <t>كريم خالد عبدالمريد دياب محمود</t>
  </si>
  <si>
    <t xml:space="preserve"> مدير فرع اسماعيليه</t>
  </si>
  <si>
    <t xml:space="preserve">علي رفاعي </t>
  </si>
  <si>
    <t xml:space="preserve">محمد علي عفرتو </t>
  </si>
  <si>
    <t xml:space="preserve">عبدالرحمن اوتاكا </t>
  </si>
  <si>
    <t xml:space="preserve">شريف عاطف </t>
  </si>
  <si>
    <t xml:space="preserve">سمير محمد عبدالواحد </t>
  </si>
  <si>
    <t xml:space="preserve">زياد محمد عبدالواحد </t>
  </si>
  <si>
    <t xml:space="preserve">محمود سيد نصرالله </t>
  </si>
  <si>
    <t xml:space="preserve">عصام الدرديري </t>
  </si>
  <si>
    <t xml:space="preserve">مدير التشغيل </t>
  </si>
  <si>
    <t xml:space="preserve">700ج تصليح الزجاج +خصم 2 يوم  </t>
  </si>
  <si>
    <t xml:space="preserve">عدم تنفيذ التعليمات الاداريه المكتوبه + غياب الجمعه  </t>
  </si>
  <si>
    <t xml:space="preserve">مروان الراوي </t>
  </si>
  <si>
    <t xml:space="preserve">خصم 4 قطع هالك </t>
  </si>
  <si>
    <t xml:space="preserve">خصم اوردر  مرتجع  590ج + 1 يوم </t>
  </si>
  <si>
    <t xml:space="preserve">التطاول والمشاجرة مع مستر عصام + عم الالتزام بكتابه الحضور </t>
  </si>
  <si>
    <t>3 +</t>
  </si>
  <si>
    <t xml:space="preserve">يوسف محمد </t>
  </si>
  <si>
    <t>تم الغاء الخصم 810ج تحميل اوردر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</si>
</sst>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_-* #,##0.00\-;_-* &quot;-&quot;??_-;_-@_-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charset val="178"/>
    </font>
    <font>
      <b/>
      <sz val="16"/>
      <color theme="1"/>
      <name val="Calibri"/>
      <family val="2"/>
      <charset val="178"/>
    </font>
    <font>
      <b/>
      <sz val="14"/>
      <name val="Calibri"/>
      <family val="2"/>
      <charset val="178"/>
    </font>
    <font>
      <b/>
      <sz val="16"/>
      <name val="Calibri"/>
      <family val="2"/>
      <charset val="178"/>
      <scheme val="minor"/>
    </font>
    <font>
      <b/>
      <sz val="16"/>
      <name val="Calibri"/>
      <family val="2"/>
      <charset val="178"/>
    </font>
    <font>
      <b/>
      <sz val="16"/>
      <color theme="1"/>
      <name val="Calibri"/>
      <family val="2"/>
      <charset val="178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charset val="178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5" borderId="2" xfId="0" applyFont="1" applyFill="1" applyBorder="1" applyAlignment="1" applyProtection="1">
      <alignment horizontal="center" vertical="center" wrapText="1"/>
      <protection hidden="1"/>
    </xf>
    <xf numFmtId="3" fontId="5" fillId="3" borderId="7" xfId="0" applyNumberFormat="1" applyFont="1" applyFill="1" applyBorder="1" applyAlignment="1" applyProtection="1">
      <alignment horizontal="center" vertical="center" wrapText="1"/>
      <protection locked="0"/>
    </xf>
    <xf numFmtId="3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3" fontId="5" fillId="4" borderId="7" xfId="0" applyNumberFormat="1" applyFont="1" applyFill="1" applyBorder="1" applyAlignment="1" applyProtection="1">
      <alignment horizontal="center" vertical="center" wrapText="1"/>
      <protection hidden="1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0" fontId="6" fillId="2" borderId="6" xfId="0" applyFont="1" applyFill="1" applyBorder="1" applyAlignment="1" applyProtection="1">
      <alignment horizontal="center" vertical="center"/>
      <protection locked="0"/>
    </xf>
    <xf numFmtId="3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0" fontId="6" fillId="5" borderId="6" xfId="0" applyFont="1" applyFill="1" applyBorder="1" applyAlignment="1" applyProtection="1">
      <alignment horizontal="center" vertical="center" wrapText="1"/>
      <protection hidden="1"/>
    </xf>
    <xf numFmtId="3" fontId="7" fillId="6" borderId="7" xfId="0" applyNumberFormat="1" applyFont="1" applyFill="1" applyBorder="1" applyAlignment="1" applyProtection="1">
      <alignment horizontal="center" vertical="center"/>
      <protection locked="0"/>
    </xf>
    <xf numFmtId="3" fontId="2" fillId="6" borderId="7" xfId="1" applyNumberFormat="1" applyFont="1" applyFill="1" applyBorder="1" applyAlignment="1" applyProtection="1">
      <alignment horizontal="center" vertical="center"/>
      <protection locked="0"/>
    </xf>
    <xf numFmtId="3" fontId="2" fillId="6" borderId="7" xfId="1" applyNumberFormat="1" applyFont="1" applyFill="1" applyBorder="1" applyAlignment="1" applyProtection="1">
      <alignment horizontal="center" vertical="center"/>
      <protection hidden="1"/>
    </xf>
    <xf numFmtId="3" fontId="2" fillId="0" borderId="7" xfId="1" applyNumberFormat="1" applyFont="1" applyFill="1" applyBorder="1" applyAlignment="1" applyProtection="1">
      <alignment horizontal="center" vertical="center"/>
      <protection locked="0"/>
    </xf>
    <xf numFmtId="3" fontId="2" fillId="0" borderId="7" xfId="1" applyNumberFormat="1" applyFont="1" applyFill="1" applyBorder="1" applyAlignment="1" applyProtection="1">
      <alignment horizontal="center" vertical="center"/>
      <protection hidden="1"/>
    </xf>
    <xf numFmtId="164" fontId="2" fillId="0" borderId="7" xfId="1" applyFont="1" applyFill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3" fillId="6" borderId="7" xfId="0" applyFont="1" applyFill="1" applyBorder="1" applyAlignment="1" applyProtection="1">
      <alignment horizontal="center" vertical="center" shrinkToFit="1"/>
      <protection locked="0"/>
    </xf>
    <xf numFmtId="3" fontId="10" fillId="8" borderId="7" xfId="0" applyNumberFormat="1" applyFont="1" applyFill="1" applyBorder="1" applyAlignment="1" applyProtection="1">
      <alignment horizontal="center" vertical="center"/>
      <protection locked="0"/>
    </xf>
    <xf numFmtId="3" fontId="5" fillId="0" borderId="7" xfId="1" applyNumberFormat="1" applyFont="1" applyBorder="1" applyAlignment="1" applyProtection="1">
      <alignment horizontal="center" vertical="center"/>
      <protection locked="0"/>
    </xf>
    <xf numFmtId="164" fontId="5" fillId="0" borderId="6" xfId="1" applyFont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>
      <alignment horizontal="center" vertical="center"/>
    </xf>
    <xf numFmtId="3" fontId="7" fillId="4" borderId="8" xfId="0" applyNumberFormat="1" applyFont="1" applyFill="1" applyBorder="1" applyAlignment="1">
      <alignment horizontal="center" vertical="center"/>
    </xf>
    <xf numFmtId="3" fontId="5" fillId="4" borderId="0" xfId="1" applyNumberFormat="1" applyFon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3" fontId="0" fillId="0" borderId="0" xfId="0" applyNumberFormat="1"/>
    <xf numFmtId="0" fontId="0" fillId="0" borderId="0" xfId="0" applyProtection="1">
      <protection hidden="1"/>
    </xf>
    <xf numFmtId="0" fontId="0" fillId="0" borderId="0" xfId="0" applyProtection="1">
      <protection locked="0"/>
    </xf>
    <xf numFmtId="165" fontId="0" fillId="0" borderId="0" xfId="2" applyFont="1" applyProtection="1">
      <protection locked="0"/>
    </xf>
    <xf numFmtId="165" fontId="0" fillId="0" borderId="0" xfId="2" applyFont="1" applyProtection="1">
      <protection hidden="1"/>
    </xf>
    <xf numFmtId="0" fontId="7" fillId="6" borderId="2" xfId="0" applyFont="1" applyFill="1" applyBorder="1" applyAlignment="1" applyProtection="1">
      <alignment horizontal="center" vertical="center"/>
      <protection hidden="1"/>
    </xf>
    <xf numFmtId="3" fontId="7" fillId="6" borderId="2" xfId="0" applyNumberFormat="1" applyFont="1" applyFill="1" applyBorder="1" applyAlignment="1" applyProtection="1">
      <alignment horizontal="center" vertical="center"/>
      <protection hidden="1"/>
    </xf>
    <xf numFmtId="3" fontId="8" fillId="6" borderId="3" xfId="0" applyNumberFormat="1" applyFont="1" applyFill="1" applyBorder="1" applyAlignment="1" applyProtection="1">
      <alignment horizontal="center" vertical="center"/>
      <protection hidden="1"/>
    </xf>
    <xf numFmtId="3" fontId="8" fillId="6" borderId="4" xfId="0" applyNumberFormat="1" applyFont="1" applyFill="1" applyBorder="1" applyAlignment="1" applyProtection="1">
      <alignment horizontal="center" vertical="center"/>
      <protection hidden="1"/>
    </xf>
    <xf numFmtId="3" fontId="8" fillId="6" borderId="5" xfId="0" applyNumberFormat="1" applyFont="1" applyFill="1" applyBorder="1" applyAlignment="1" applyProtection="1">
      <alignment horizontal="center" vertical="center"/>
      <protection hidden="1"/>
    </xf>
    <xf numFmtId="3" fontId="8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6" borderId="0" xfId="0" applyFill="1" applyProtection="1">
      <protection hidden="1"/>
    </xf>
    <xf numFmtId="3" fontId="8" fillId="10" borderId="3" xfId="0" applyNumberFormat="1" applyFont="1" applyFill="1" applyBorder="1" applyAlignment="1" applyProtection="1">
      <alignment horizontal="center" vertical="center"/>
      <protection hidden="1"/>
    </xf>
    <xf numFmtId="3" fontId="8" fillId="10" borderId="4" xfId="0" applyNumberFormat="1" applyFont="1" applyFill="1" applyBorder="1" applyAlignment="1" applyProtection="1">
      <alignment horizontal="center" vertical="center"/>
      <protection hidden="1"/>
    </xf>
    <xf numFmtId="3" fontId="8" fillId="10" borderId="5" xfId="0" applyNumberFormat="1" applyFont="1" applyFill="1" applyBorder="1" applyAlignment="1" applyProtection="1">
      <alignment horizontal="center" vertical="center"/>
      <protection hidden="1"/>
    </xf>
    <xf numFmtId="3" fontId="8" fillId="10" borderId="7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7" xfId="0" applyFont="1" applyFill="1" applyBorder="1" applyAlignment="1" applyProtection="1">
      <alignment horizontal="center" shrinkToFit="1"/>
      <protection hidden="1"/>
    </xf>
    <xf numFmtId="0" fontId="3" fillId="0" borderId="7" xfId="0" applyFont="1" applyBorder="1" applyAlignment="1" applyProtection="1">
      <alignment shrinkToFit="1"/>
      <protection hidden="1"/>
    </xf>
    <xf numFmtId="3" fontId="7" fillId="6" borderId="7" xfId="0" applyNumberFormat="1" applyFont="1" applyFill="1" applyBorder="1" applyAlignment="1" applyProtection="1">
      <alignment horizontal="center" vertical="center" shrinkToFit="1"/>
      <protection hidden="1"/>
    </xf>
    <xf numFmtId="3" fontId="2" fillId="6" borderId="7" xfId="2" applyNumberFormat="1" applyFont="1" applyFill="1" applyBorder="1" applyAlignment="1" applyProtection="1">
      <alignment horizontal="center" vertical="center"/>
      <protection hidden="1"/>
    </xf>
    <xf numFmtId="3" fontId="2" fillId="7" borderId="7" xfId="2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0" fontId="9" fillId="8" borderId="3" xfId="0" applyFont="1" applyFill="1" applyBorder="1" applyAlignment="1" applyProtection="1">
      <alignment vertical="center"/>
      <protection locked="0"/>
    </xf>
    <xf numFmtId="0" fontId="9" fillId="8" borderId="4" xfId="0" applyFont="1" applyFill="1" applyBorder="1" applyAlignment="1" applyProtection="1">
      <alignment vertical="center"/>
      <protection locked="0"/>
    </xf>
    <xf numFmtId="0" fontId="9" fillId="8" borderId="5" xfId="0" applyFont="1" applyFill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horizontal="center" vertical="center" shrinkToFit="1"/>
      <protection hidden="1"/>
    </xf>
    <xf numFmtId="0" fontId="7" fillId="0" borderId="7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 vertical="center" shrinkToFit="1"/>
      <protection hidden="1"/>
    </xf>
    <xf numFmtId="0" fontId="12" fillId="6" borderId="7" xfId="0" applyFont="1" applyFill="1" applyBorder="1" applyAlignment="1" applyProtection="1">
      <alignment horizontal="center" vertical="center" shrinkToFit="1"/>
      <protection hidden="1"/>
    </xf>
    <xf numFmtId="0" fontId="12" fillId="0" borderId="7" xfId="0" applyFont="1" applyBorder="1" applyAlignment="1" applyProtection="1">
      <alignment horizontal="center" vertical="center" shrinkToFit="1"/>
      <protection locked="0"/>
    </xf>
    <xf numFmtId="0" fontId="5" fillId="0" borderId="7" xfId="0" applyFont="1" applyBorder="1" applyAlignment="1" applyProtection="1">
      <alignment horizontal="center" shrinkToFit="1"/>
      <protection locked="0"/>
    </xf>
    <xf numFmtId="0" fontId="3" fillId="0" borderId="7" xfId="0" applyFont="1" applyBorder="1" applyAlignment="1" applyProtection="1">
      <alignment horizont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16" fillId="0" borderId="7" xfId="0" applyFont="1" applyBorder="1" applyAlignment="1" applyProtection="1">
      <alignment horizontal="center" vertical="center" shrinkToFit="1"/>
      <protection hidden="1"/>
    </xf>
    <xf numFmtId="0" fontId="17" fillId="0" borderId="7" xfId="0" applyFont="1" applyBorder="1" applyAlignment="1" applyProtection="1">
      <alignment horizontal="center" shrinkToFit="1"/>
      <protection locked="0"/>
    </xf>
    <xf numFmtId="4" fontId="2" fillId="0" borderId="7" xfId="1" applyNumberFormat="1" applyFont="1" applyFill="1" applyBorder="1" applyAlignment="1" applyProtection="1">
      <alignment horizontal="center" vertical="center"/>
      <protection hidden="1"/>
    </xf>
    <xf numFmtId="4" fontId="2" fillId="0" borderId="7" xfId="1" applyNumberFormat="1" applyFont="1" applyFill="1" applyBorder="1" applyAlignment="1" applyProtection="1">
      <alignment horizontal="center" vertical="center"/>
      <protection locked="0"/>
    </xf>
    <xf numFmtId="166" fontId="2" fillId="0" borderId="7" xfId="1" applyNumberFormat="1" applyFont="1" applyFill="1" applyBorder="1" applyAlignment="1" applyProtection="1">
      <alignment horizontal="center" vertical="center"/>
      <protection hidden="1"/>
    </xf>
    <xf numFmtId="0" fontId="9" fillId="8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8" fillId="0" borderId="7" xfId="0" applyFont="1" applyBorder="1" applyAlignment="1" applyProtection="1">
      <alignment horizontal="center" vertical="center" shrinkToFit="1"/>
      <protection hidden="1"/>
    </xf>
    <xf numFmtId="0" fontId="3" fillId="0" borderId="7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shrinkToFit="1"/>
      <protection hidden="1"/>
    </xf>
    <xf numFmtId="0" fontId="14" fillId="0" borderId="7" xfId="0" applyFont="1" applyBorder="1" applyAlignment="1" applyProtection="1">
      <alignment horizontal="center" vertical="center" shrinkToFit="1"/>
      <protection locked="0"/>
    </xf>
    <xf numFmtId="0" fontId="15" fillId="0" borderId="7" xfId="0" applyFont="1" applyBorder="1" applyAlignment="1" applyProtection="1">
      <alignment horizontal="center" vertical="center" shrinkToFit="1"/>
      <protection locked="0"/>
    </xf>
    <xf numFmtId="0" fontId="15" fillId="0" borderId="7" xfId="0" applyFont="1" applyBorder="1" applyAlignment="1" applyProtection="1">
      <alignment horizontal="center" vertical="center" shrinkToFit="1"/>
      <protection hidden="1"/>
    </xf>
    <xf numFmtId="0" fontId="14" fillId="0" borderId="7" xfId="0" applyFont="1" applyBorder="1" applyAlignment="1" applyProtection="1">
      <alignment horizontal="center" vertical="center" shrinkToFit="1"/>
      <protection hidden="1"/>
    </xf>
    <xf numFmtId="3" fontId="7" fillId="0" borderId="7" xfId="0" applyNumberFormat="1" applyFont="1" applyBorder="1" applyAlignment="1" applyProtection="1">
      <alignment horizontal="center" vertical="center"/>
      <protection locked="0"/>
    </xf>
    <xf numFmtId="164" fontId="2" fillId="7" borderId="7" xfId="1" applyFont="1" applyFill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shrinkToFit="1"/>
      <protection hidden="1"/>
    </xf>
    <xf numFmtId="0" fontId="11" fillId="7" borderId="7" xfId="0" applyFont="1" applyFill="1" applyBorder="1" applyAlignment="1" applyProtection="1">
      <alignment horizontal="center" vertical="center" shrinkToFit="1"/>
      <protection hidden="1"/>
    </xf>
    <xf numFmtId="0" fontId="3" fillId="7" borderId="7" xfId="0" applyFont="1" applyFill="1" applyBorder="1" applyAlignment="1" applyProtection="1">
      <alignment horizontal="center"/>
      <protection locked="0"/>
    </xf>
    <xf numFmtId="0" fontId="7" fillId="7" borderId="7" xfId="0" applyFont="1" applyFill="1" applyBorder="1" applyAlignment="1" applyProtection="1">
      <alignment horizontal="center"/>
      <protection locked="0"/>
    </xf>
    <xf numFmtId="3" fontId="7" fillId="7" borderId="7" xfId="0" applyNumberFormat="1" applyFont="1" applyFill="1" applyBorder="1" applyAlignment="1" applyProtection="1">
      <alignment horizontal="center" vertical="center"/>
      <protection locked="0"/>
    </xf>
    <xf numFmtId="3" fontId="2" fillId="7" borderId="7" xfId="1" applyNumberFormat="1" applyFont="1" applyFill="1" applyBorder="1" applyAlignment="1" applyProtection="1">
      <alignment horizontal="center" vertical="center"/>
      <protection locked="0"/>
    </xf>
    <xf numFmtId="3" fontId="2" fillId="7" borderId="7" xfId="1" applyNumberFormat="1" applyFont="1" applyFill="1" applyBorder="1" applyAlignment="1" applyProtection="1">
      <alignment horizontal="center" vertical="center"/>
      <protection hidden="1"/>
    </xf>
    <xf numFmtId="166" fontId="2" fillId="7" borderId="7" xfId="1" applyNumberFormat="1" applyFont="1" applyFill="1" applyBorder="1" applyAlignment="1" applyProtection="1">
      <alignment horizontal="center" vertical="center"/>
      <protection hidden="1"/>
    </xf>
    <xf numFmtId="0" fontId="8" fillId="7" borderId="6" xfId="0" applyFont="1" applyFill="1" applyBorder="1" applyAlignment="1" applyProtection="1">
      <alignment horizontal="center" vertical="center" wrapText="1"/>
      <protection hidden="1"/>
    </xf>
    <xf numFmtId="0" fontId="0" fillId="7" borderId="0" xfId="0" applyFill="1"/>
    <xf numFmtId="0" fontId="18" fillId="7" borderId="7" xfId="0" applyFont="1" applyFill="1" applyBorder="1" applyAlignment="1" applyProtection="1">
      <alignment horizontal="center" vertical="center" shrinkToFit="1"/>
      <protection hidden="1"/>
    </xf>
    <xf numFmtId="0" fontId="3" fillId="7" borderId="7" xfId="0" applyFont="1" applyFill="1" applyBorder="1" applyAlignment="1" applyProtection="1">
      <alignment horizontal="center" shrinkToFit="1"/>
      <protection locked="0"/>
    </xf>
    <xf numFmtId="0" fontId="7" fillId="0" borderId="7" xfId="0" applyFont="1" applyBorder="1" applyAlignment="1" applyProtection="1">
      <alignment horizontal="center" shrinkToFit="1"/>
      <protection locked="0"/>
    </xf>
    <xf numFmtId="0" fontId="12" fillId="7" borderId="7" xfId="0" applyFont="1" applyFill="1" applyBorder="1" applyAlignment="1" applyProtection="1">
      <alignment horizontal="center" vertical="center" shrinkToFit="1"/>
      <protection locked="0"/>
    </xf>
    <xf numFmtId="0" fontId="10" fillId="7" borderId="7" xfId="0" applyFont="1" applyFill="1" applyBorder="1" applyAlignment="1" applyProtection="1">
      <alignment horizontal="center" shrinkToFit="1"/>
      <protection hidden="1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3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3" fontId="4" fillId="2" borderId="2" xfId="0" applyNumberFormat="1" applyFont="1" applyFill="1" applyBorder="1" applyAlignment="1" applyProtection="1">
      <alignment horizontal="center" vertical="center"/>
      <protection locked="0"/>
    </xf>
    <xf numFmtId="3" fontId="4" fillId="2" borderId="6" xfId="0" applyNumberFormat="1" applyFont="1" applyFill="1" applyBorder="1" applyAlignment="1" applyProtection="1">
      <alignment horizontal="center" vertical="center"/>
      <protection locked="0"/>
    </xf>
    <xf numFmtId="3" fontId="5" fillId="3" borderId="3" xfId="0" applyNumberFormat="1" applyFont="1" applyFill="1" applyBorder="1" applyAlignment="1" applyProtection="1">
      <alignment horizontal="center" vertical="center"/>
      <protection locked="0"/>
    </xf>
    <xf numFmtId="3" fontId="5" fillId="3" borderId="4" xfId="0" applyNumberFormat="1" applyFont="1" applyFill="1" applyBorder="1" applyAlignment="1" applyProtection="1">
      <alignment horizontal="center" vertical="center"/>
      <protection locked="0"/>
    </xf>
    <xf numFmtId="3" fontId="5" fillId="3" borderId="5" xfId="0" applyNumberFormat="1" applyFont="1" applyFill="1" applyBorder="1" applyAlignment="1" applyProtection="1">
      <alignment horizontal="center" vertical="center"/>
      <protection locked="0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5" fillId="4" borderId="4" xfId="0" applyNumberFormat="1" applyFont="1" applyFill="1" applyBorder="1" applyAlignment="1" applyProtection="1">
      <alignment horizontal="center" vertical="center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hidden="1"/>
    </xf>
    <xf numFmtId="0" fontId="5" fillId="4" borderId="6" xfId="0" applyFont="1" applyFill="1" applyBorder="1" applyAlignment="1" applyProtection="1">
      <alignment horizontal="center" vertical="center" wrapText="1"/>
      <protection hidden="1"/>
    </xf>
    <xf numFmtId="0" fontId="5" fillId="5" borderId="2" xfId="0" applyFont="1" applyFill="1" applyBorder="1" applyAlignment="1" applyProtection="1">
      <alignment horizontal="center" vertical="center" wrapText="1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0" fontId="7" fillId="9" borderId="2" xfId="0" applyFont="1" applyFill="1" applyBorder="1" applyAlignment="1" applyProtection="1">
      <alignment horizontal="center" vertical="center"/>
      <protection hidden="1"/>
    </xf>
    <xf numFmtId="0" fontId="7" fillId="9" borderId="6" xfId="0" applyFont="1" applyFill="1" applyBorder="1" applyAlignment="1" applyProtection="1">
      <alignment horizontal="center" vertical="center"/>
      <protection hidden="1"/>
    </xf>
    <xf numFmtId="3" fontId="7" fillId="9" borderId="2" xfId="0" applyNumberFormat="1" applyFont="1" applyFill="1" applyBorder="1" applyAlignment="1" applyProtection="1">
      <alignment horizontal="center" vertical="center"/>
      <protection hidden="1"/>
    </xf>
    <xf numFmtId="3" fontId="7" fillId="9" borderId="6" xfId="0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8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2"/>
  <sheetViews>
    <sheetView rightToLeft="1" tabSelected="1" zoomScale="69" zoomScaleNormal="69" workbookViewId="0">
      <pane xSplit="6" ySplit="4" topLeftCell="G15" activePane="bottomRight" state="frozen"/>
      <selection pane="topRight" activeCell="G1" sqref="G1"/>
      <selection pane="bottomLeft" activeCell="A5" sqref="A5"/>
      <selection pane="bottomRight" activeCell="A19" sqref="A19:XFD19"/>
    </sheetView>
  </sheetViews>
  <sheetFormatPr defaultRowHeight="15" x14ac:dyDescent="0.25"/>
  <cols>
    <col min="1" max="1" width="7.5703125" bestFit="1" customWidth="1"/>
    <col min="2" max="2" width="37.42578125" style="66" bestFit="1" customWidth="1"/>
    <col min="3" max="3" width="16.42578125" customWidth="1"/>
    <col min="4" max="4" width="27.140625" bestFit="1" customWidth="1"/>
    <col min="5" max="5" width="11.7109375" style="27" customWidth="1"/>
    <col min="6" max="6" width="15.140625" style="27" bestFit="1" customWidth="1"/>
    <col min="7" max="7" width="7.42578125" style="27" bestFit="1" customWidth="1"/>
    <col min="8" max="8" width="10.42578125" style="27" customWidth="1"/>
    <col min="9" max="9" width="10.28515625" style="27" customWidth="1"/>
    <col min="10" max="10" width="10.42578125" style="27" customWidth="1"/>
    <col min="11" max="11" width="8.42578125" style="27" bestFit="1" customWidth="1"/>
    <col min="12" max="12" width="10.140625" style="27" customWidth="1"/>
    <col min="13" max="13" width="7.140625" style="27" customWidth="1"/>
    <col min="14" max="14" width="9" style="27" bestFit="1" customWidth="1"/>
    <col min="15" max="15" width="9.5703125" style="27" customWidth="1"/>
    <col min="16" max="16" width="7.85546875" style="27" customWidth="1"/>
    <col min="17" max="17" width="9.42578125" style="27" customWidth="1"/>
    <col min="18" max="19" width="9.5703125" style="27" customWidth="1"/>
    <col min="20" max="20" width="7.42578125" style="27" customWidth="1"/>
    <col min="21" max="21" width="8.85546875" style="27" customWidth="1"/>
    <col min="22" max="22" width="7.42578125" style="27" customWidth="1"/>
    <col min="23" max="24" width="8.42578125" style="27" bestFit="1" customWidth="1"/>
    <col min="25" max="25" width="8.85546875" style="27" bestFit="1" customWidth="1"/>
    <col min="26" max="26" width="8.7109375" style="27" customWidth="1"/>
    <col min="27" max="27" width="8.140625" style="27" customWidth="1"/>
    <col min="28" max="28" width="7.5703125" style="27" bestFit="1" customWidth="1"/>
    <col min="29" max="29" width="8.28515625" style="27" customWidth="1"/>
    <col min="30" max="30" width="8.7109375" style="27" customWidth="1"/>
    <col min="31" max="31" width="7.5703125" style="27" bestFit="1" customWidth="1"/>
    <col min="32" max="32" width="13.85546875" bestFit="1" customWidth="1"/>
    <col min="33" max="33" width="12.140625" bestFit="1" customWidth="1"/>
    <col min="34" max="34" width="23.42578125" customWidth="1"/>
  </cols>
  <sheetData>
    <row r="1" spans="1:34" ht="21" x14ac:dyDescent="0.25">
      <c r="A1" s="91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1"/>
    </row>
    <row r="2" spans="1:34" ht="15.75" x14ac:dyDescent="0.25">
      <c r="A2" s="92" t="s">
        <v>76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2" t="s">
        <v>9</v>
      </c>
      <c r="AH2" s="2" t="s">
        <v>10</v>
      </c>
    </row>
    <row r="3" spans="1:34" ht="47.25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7"/>
      <c r="AH3" s="7"/>
    </row>
    <row r="4" spans="1:34" ht="15.75" x14ac:dyDescent="0.25">
      <c r="A4" s="8"/>
      <c r="B4" s="8"/>
      <c r="C4" s="8"/>
      <c r="D4" s="8"/>
      <c r="E4" s="9"/>
      <c r="F4" s="9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5"/>
      <c r="AC4" s="5"/>
      <c r="AD4" s="6"/>
      <c r="AE4" s="4"/>
      <c r="AF4" s="10"/>
      <c r="AG4" s="11"/>
      <c r="AH4" s="11"/>
    </row>
    <row r="5" spans="1:34" s="85" customFormat="1" ht="21" x14ac:dyDescent="0.35">
      <c r="A5" s="77">
        <v>1</v>
      </c>
      <c r="B5" s="87" t="s">
        <v>47</v>
      </c>
      <c r="C5" s="77" t="s">
        <v>48</v>
      </c>
      <c r="D5" s="79" t="s">
        <v>43</v>
      </c>
      <c r="E5" s="80">
        <v>9</v>
      </c>
      <c r="F5" s="80">
        <v>7000</v>
      </c>
      <c r="G5" s="81">
        <v>29</v>
      </c>
      <c r="H5" s="82">
        <f t="shared" ref="H5:H61" si="0">+F5/30*G5</f>
        <v>6766.666666666667</v>
      </c>
      <c r="I5" s="81">
        <v>12</v>
      </c>
      <c r="J5" s="82">
        <f t="shared" ref="J5:J63" si="1">+I5*F5/30/E5</f>
        <v>311.11111111111109</v>
      </c>
      <c r="K5" s="81"/>
      <c r="L5" s="82">
        <f t="shared" ref="L5:L61" si="2">+K5*F5/30</f>
        <v>0</v>
      </c>
      <c r="M5" s="81"/>
      <c r="N5" s="81"/>
      <c r="O5" s="82">
        <f t="shared" ref="O5:O63" si="3">+N5+M5+L5+J5+H5</f>
        <v>7077.7777777777783</v>
      </c>
      <c r="P5" s="81"/>
      <c r="Q5" s="82">
        <f t="shared" ref="Q5:Q61" si="4">+F5/30/E5*P5</f>
        <v>0</v>
      </c>
      <c r="R5" s="81">
        <v>1600</v>
      </c>
      <c r="S5" s="81"/>
      <c r="T5" s="81"/>
      <c r="U5" s="82">
        <f t="shared" ref="U5:U61" si="5">+F5/30*T5</f>
        <v>0</v>
      </c>
      <c r="V5" s="82"/>
      <c r="W5" s="82">
        <f t="shared" ref="W5" si="6">+H5/30*V5</f>
        <v>0</v>
      </c>
      <c r="X5" s="81"/>
      <c r="Y5" s="82">
        <f t="shared" ref="Y5:Y61" si="7">+F5/30*X5*1</f>
        <v>0</v>
      </c>
      <c r="Z5" s="81"/>
      <c r="AA5" s="82">
        <f t="shared" ref="AA5:AA61" si="8">+(F5/30*Z5)*0.25</f>
        <v>0</v>
      </c>
      <c r="AB5" s="82"/>
      <c r="AC5" s="82">
        <f>AB5*11%</f>
        <v>0</v>
      </c>
      <c r="AD5" s="81"/>
      <c r="AE5" s="81"/>
      <c r="AF5" s="83">
        <f>+AE5+AD5+Y5+U5+R5+Q5+AA5+S5+W5+AC5</f>
        <v>1600</v>
      </c>
      <c r="AG5" s="75">
        <f>+O5-AF5</f>
        <v>5477.7777777777783</v>
      </c>
      <c r="AH5" s="84"/>
    </row>
    <row r="6" spans="1:34" s="85" customFormat="1" ht="20.25" customHeight="1" x14ac:dyDescent="0.35">
      <c r="A6" s="77">
        <v>3</v>
      </c>
      <c r="B6" s="87" t="s">
        <v>49</v>
      </c>
      <c r="C6" s="77" t="s">
        <v>48</v>
      </c>
      <c r="D6" s="79" t="s">
        <v>43</v>
      </c>
      <c r="E6" s="80">
        <v>9</v>
      </c>
      <c r="F6" s="80">
        <v>7000</v>
      </c>
      <c r="G6" s="81">
        <v>29</v>
      </c>
      <c r="H6" s="82">
        <f t="shared" si="0"/>
        <v>6766.666666666667</v>
      </c>
      <c r="I6" s="81">
        <v>12</v>
      </c>
      <c r="J6" s="82">
        <f t="shared" si="1"/>
        <v>311.11111111111109</v>
      </c>
      <c r="K6" s="81"/>
      <c r="L6" s="82">
        <f t="shared" si="2"/>
        <v>0</v>
      </c>
      <c r="M6" s="81"/>
      <c r="N6" s="81"/>
      <c r="O6" s="82">
        <f t="shared" si="3"/>
        <v>7077.7777777777783</v>
      </c>
      <c r="P6" s="81"/>
      <c r="Q6" s="82">
        <f t="shared" si="4"/>
        <v>0</v>
      </c>
      <c r="R6" s="81">
        <v>500</v>
      </c>
      <c r="S6" s="81"/>
      <c r="T6" s="81"/>
      <c r="U6" s="82">
        <f t="shared" si="5"/>
        <v>0</v>
      </c>
      <c r="V6" s="82"/>
      <c r="W6" s="82">
        <f t="shared" ref="W6:W62" si="9">+H6/30*V6</f>
        <v>0</v>
      </c>
      <c r="X6" s="81"/>
      <c r="Y6" s="82">
        <f t="shared" si="7"/>
        <v>0</v>
      </c>
      <c r="Z6" s="81"/>
      <c r="AA6" s="82">
        <f t="shared" si="8"/>
        <v>0</v>
      </c>
      <c r="AB6" s="82"/>
      <c r="AC6" s="82">
        <f t="shared" ref="AC6:AC62" si="10">AB6*11%</f>
        <v>0</v>
      </c>
      <c r="AD6" s="81"/>
      <c r="AE6" s="81"/>
      <c r="AF6" s="83">
        <f t="shared" ref="AF6:AF64" si="11">+AE6+AD6+Y6+U6+R6+Q6+AA6+S6+W6+AC6</f>
        <v>500</v>
      </c>
      <c r="AG6" s="75">
        <f t="shared" ref="AG6:AG24" si="12">+O6-AF6</f>
        <v>6577.7777777777783</v>
      </c>
      <c r="AH6" s="84"/>
    </row>
    <row r="7" spans="1:34" s="85" customFormat="1" ht="21" x14ac:dyDescent="0.35">
      <c r="A7" s="77">
        <v>4</v>
      </c>
      <c r="B7" s="78" t="s">
        <v>50</v>
      </c>
      <c r="C7" s="77" t="s">
        <v>48</v>
      </c>
      <c r="D7" s="79" t="s">
        <v>40</v>
      </c>
      <c r="E7" s="80">
        <v>9</v>
      </c>
      <c r="F7" s="80">
        <v>6500</v>
      </c>
      <c r="G7" s="81">
        <v>30</v>
      </c>
      <c r="H7" s="82">
        <f t="shared" si="0"/>
        <v>6500</v>
      </c>
      <c r="I7" s="81">
        <v>10</v>
      </c>
      <c r="J7" s="82">
        <f t="shared" si="1"/>
        <v>240.74074074074073</v>
      </c>
      <c r="K7" s="81"/>
      <c r="L7" s="82">
        <f t="shared" si="2"/>
        <v>0</v>
      </c>
      <c r="M7" s="81"/>
      <c r="N7" s="81"/>
      <c r="O7" s="82">
        <f t="shared" si="3"/>
        <v>6740.7407407407409</v>
      </c>
      <c r="P7" s="81">
        <v>6</v>
      </c>
      <c r="Q7" s="82">
        <f t="shared" si="4"/>
        <v>144.44444444444443</v>
      </c>
      <c r="R7" s="81"/>
      <c r="S7" s="81"/>
      <c r="T7" s="81"/>
      <c r="U7" s="82">
        <f t="shared" si="5"/>
        <v>0</v>
      </c>
      <c r="V7" s="82"/>
      <c r="W7" s="82">
        <f t="shared" si="9"/>
        <v>0</v>
      </c>
      <c r="X7" s="81"/>
      <c r="Y7" s="82">
        <f t="shared" si="7"/>
        <v>0</v>
      </c>
      <c r="Z7" s="81"/>
      <c r="AA7" s="82">
        <f t="shared" si="8"/>
        <v>0</v>
      </c>
      <c r="AB7" s="82"/>
      <c r="AC7" s="82">
        <f t="shared" si="10"/>
        <v>0</v>
      </c>
      <c r="AD7" s="81"/>
      <c r="AE7" s="81"/>
      <c r="AF7" s="83">
        <f t="shared" si="11"/>
        <v>144.44444444444443</v>
      </c>
      <c r="AG7" s="75">
        <f t="shared" si="12"/>
        <v>6596.2962962962965</v>
      </c>
      <c r="AH7" s="84"/>
    </row>
    <row r="8" spans="1:34" s="85" customFormat="1" ht="30.75" customHeight="1" x14ac:dyDescent="0.35">
      <c r="A8" s="77">
        <v>5</v>
      </c>
      <c r="B8" s="78" t="s">
        <v>51</v>
      </c>
      <c r="C8" s="77" t="s">
        <v>48</v>
      </c>
      <c r="D8" s="79" t="s">
        <v>43</v>
      </c>
      <c r="E8" s="80">
        <v>9</v>
      </c>
      <c r="F8" s="80">
        <v>6000</v>
      </c>
      <c r="G8" s="81">
        <v>29</v>
      </c>
      <c r="H8" s="82">
        <f t="shared" si="0"/>
        <v>5800</v>
      </c>
      <c r="I8" s="81">
        <v>21</v>
      </c>
      <c r="J8" s="82">
        <f t="shared" si="1"/>
        <v>466.66666666666669</v>
      </c>
      <c r="K8" s="81"/>
      <c r="L8" s="82">
        <f t="shared" si="2"/>
        <v>0</v>
      </c>
      <c r="M8" s="81"/>
      <c r="N8" s="81"/>
      <c r="O8" s="82">
        <f t="shared" si="3"/>
        <v>6266.666666666667</v>
      </c>
      <c r="P8" s="81">
        <v>4</v>
      </c>
      <c r="Q8" s="82">
        <f t="shared" si="4"/>
        <v>88.888888888888886</v>
      </c>
      <c r="R8" s="81">
        <v>400</v>
      </c>
      <c r="S8" s="81"/>
      <c r="T8" s="81"/>
      <c r="U8" s="82">
        <f t="shared" si="5"/>
        <v>0</v>
      </c>
      <c r="V8" s="82"/>
      <c r="W8" s="82">
        <f t="shared" si="9"/>
        <v>0</v>
      </c>
      <c r="X8" s="81"/>
      <c r="Y8" s="82">
        <f t="shared" si="7"/>
        <v>0</v>
      </c>
      <c r="Z8" s="81"/>
      <c r="AA8" s="82">
        <f t="shared" si="8"/>
        <v>0</v>
      </c>
      <c r="AB8" s="82"/>
      <c r="AC8" s="82">
        <f t="shared" si="10"/>
        <v>0</v>
      </c>
      <c r="AD8" s="81"/>
      <c r="AE8" s="81"/>
      <c r="AF8" s="83">
        <f t="shared" si="11"/>
        <v>488.88888888888891</v>
      </c>
      <c r="AG8" s="75">
        <f t="shared" si="12"/>
        <v>5777.7777777777783</v>
      </c>
      <c r="AH8" s="84" t="s">
        <v>78</v>
      </c>
    </row>
    <row r="9" spans="1:34" s="85" customFormat="1" ht="26.25" customHeight="1" x14ac:dyDescent="0.3">
      <c r="A9" s="77">
        <v>6</v>
      </c>
      <c r="B9" s="77" t="s">
        <v>52</v>
      </c>
      <c r="C9" s="77" t="s">
        <v>48</v>
      </c>
      <c r="D9" s="79" t="s">
        <v>43</v>
      </c>
      <c r="E9" s="80">
        <v>9</v>
      </c>
      <c r="F9" s="80">
        <v>6500</v>
      </c>
      <c r="G9" s="81">
        <v>29</v>
      </c>
      <c r="H9" s="82">
        <f t="shared" si="0"/>
        <v>6283.333333333333</v>
      </c>
      <c r="I9" s="81">
        <v>2</v>
      </c>
      <c r="J9" s="82">
        <f t="shared" si="1"/>
        <v>48.148148148148145</v>
      </c>
      <c r="K9" s="81"/>
      <c r="L9" s="82">
        <f t="shared" si="2"/>
        <v>0</v>
      </c>
      <c r="M9" s="81"/>
      <c r="N9" s="81"/>
      <c r="O9" s="82">
        <f t="shared" si="3"/>
        <v>6331.4814814814808</v>
      </c>
      <c r="P9" s="81">
        <v>2</v>
      </c>
      <c r="Q9" s="82">
        <f t="shared" si="4"/>
        <v>48.148148148148145</v>
      </c>
      <c r="R9" s="81">
        <v>3300</v>
      </c>
      <c r="S9" s="81"/>
      <c r="T9" s="81">
        <v>2</v>
      </c>
      <c r="U9" s="82">
        <f t="shared" si="5"/>
        <v>433.33333333333331</v>
      </c>
      <c r="V9" s="82"/>
      <c r="W9" s="82">
        <f t="shared" si="9"/>
        <v>0</v>
      </c>
      <c r="X9" s="81"/>
      <c r="Y9" s="82">
        <f t="shared" si="7"/>
        <v>0</v>
      </c>
      <c r="Z9" s="81"/>
      <c r="AA9" s="82">
        <f t="shared" si="8"/>
        <v>0</v>
      </c>
      <c r="AB9" s="82"/>
      <c r="AC9" s="82">
        <f t="shared" si="10"/>
        <v>0</v>
      </c>
      <c r="AD9" s="81"/>
      <c r="AE9" s="81">
        <v>700</v>
      </c>
      <c r="AF9" s="83">
        <f t="shared" si="11"/>
        <v>4481.4814814814808</v>
      </c>
      <c r="AG9" s="75">
        <f t="shared" si="12"/>
        <v>1850</v>
      </c>
      <c r="AH9" s="84" t="s">
        <v>70</v>
      </c>
    </row>
    <row r="10" spans="1:34" s="85" customFormat="1" ht="18.75" x14ac:dyDescent="0.3">
      <c r="A10" s="77">
        <v>7</v>
      </c>
      <c r="B10" s="77" t="s">
        <v>53</v>
      </c>
      <c r="C10" s="77" t="s">
        <v>48</v>
      </c>
      <c r="D10" s="79" t="s">
        <v>43</v>
      </c>
      <c r="E10" s="80">
        <v>9</v>
      </c>
      <c r="F10" s="80">
        <v>6000</v>
      </c>
      <c r="G10" s="81">
        <v>29</v>
      </c>
      <c r="H10" s="82">
        <f t="shared" si="0"/>
        <v>5800</v>
      </c>
      <c r="I10" s="81">
        <v>22</v>
      </c>
      <c r="J10" s="82">
        <f t="shared" si="1"/>
        <v>488.88888888888891</v>
      </c>
      <c r="K10" s="81"/>
      <c r="L10" s="82">
        <f t="shared" si="2"/>
        <v>0</v>
      </c>
      <c r="M10" s="81"/>
      <c r="N10" s="81"/>
      <c r="O10" s="82">
        <f t="shared" si="3"/>
        <v>6288.8888888888887</v>
      </c>
      <c r="P10" s="81"/>
      <c r="Q10" s="82">
        <f t="shared" si="4"/>
        <v>0</v>
      </c>
      <c r="R10" s="81">
        <v>400</v>
      </c>
      <c r="S10" s="81"/>
      <c r="T10" s="81"/>
      <c r="U10" s="82">
        <f t="shared" si="5"/>
        <v>0</v>
      </c>
      <c r="V10" s="82"/>
      <c r="W10" s="82">
        <f t="shared" si="9"/>
        <v>0</v>
      </c>
      <c r="X10" s="81"/>
      <c r="Y10" s="82">
        <f t="shared" si="7"/>
        <v>0</v>
      </c>
      <c r="Z10" s="81"/>
      <c r="AA10" s="82">
        <f t="shared" si="8"/>
        <v>0</v>
      </c>
      <c r="AB10" s="82"/>
      <c r="AC10" s="82">
        <f t="shared" si="10"/>
        <v>0</v>
      </c>
      <c r="AD10" s="81"/>
      <c r="AE10" s="81"/>
      <c r="AF10" s="83">
        <f t="shared" si="11"/>
        <v>400</v>
      </c>
      <c r="AG10" s="75">
        <f t="shared" si="12"/>
        <v>5888.8888888888887</v>
      </c>
      <c r="AH10" s="84"/>
    </row>
    <row r="11" spans="1:34" s="85" customFormat="1" ht="27.75" customHeight="1" x14ac:dyDescent="0.3">
      <c r="A11" s="77">
        <v>8</v>
      </c>
      <c r="B11" s="77" t="s">
        <v>54</v>
      </c>
      <c r="C11" s="77" t="s">
        <v>48</v>
      </c>
      <c r="D11" s="79" t="s">
        <v>55</v>
      </c>
      <c r="E11" s="80">
        <v>9</v>
      </c>
      <c r="F11" s="80">
        <v>6000</v>
      </c>
      <c r="G11" s="81">
        <v>26</v>
      </c>
      <c r="H11" s="82">
        <f t="shared" si="0"/>
        <v>5200</v>
      </c>
      <c r="I11" s="81"/>
      <c r="J11" s="82">
        <f t="shared" si="1"/>
        <v>0</v>
      </c>
      <c r="K11" s="81"/>
      <c r="L11" s="82">
        <f t="shared" si="2"/>
        <v>0</v>
      </c>
      <c r="M11" s="81"/>
      <c r="N11" s="81"/>
      <c r="O11" s="82">
        <f t="shared" si="3"/>
        <v>5200</v>
      </c>
      <c r="P11" s="81">
        <v>7</v>
      </c>
      <c r="Q11" s="82">
        <f t="shared" si="4"/>
        <v>155.55555555555554</v>
      </c>
      <c r="R11" s="81">
        <v>1030</v>
      </c>
      <c r="S11" s="81"/>
      <c r="T11" s="81"/>
      <c r="U11" s="82">
        <f t="shared" si="5"/>
        <v>0</v>
      </c>
      <c r="V11" s="82"/>
      <c r="W11" s="82">
        <f t="shared" si="9"/>
        <v>0</v>
      </c>
      <c r="X11" s="81">
        <v>3</v>
      </c>
      <c r="Y11" s="82">
        <f t="shared" si="7"/>
        <v>600</v>
      </c>
      <c r="Z11" s="81"/>
      <c r="AA11" s="82">
        <f t="shared" si="8"/>
        <v>0</v>
      </c>
      <c r="AB11" s="82"/>
      <c r="AC11" s="82">
        <f t="shared" si="10"/>
        <v>0</v>
      </c>
      <c r="AD11" s="81"/>
      <c r="AE11" s="81"/>
      <c r="AF11" s="83">
        <f t="shared" si="11"/>
        <v>1785.5555555555557</v>
      </c>
      <c r="AG11" s="75">
        <f t="shared" si="12"/>
        <v>3414.4444444444443</v>
      </c>
      <c r="AH11" s="84" t="s">
        <v>71</v>
      </c>
    </row>
    <row r="12" spans="1:34" s="85" customFormat="1" ht="21" x14ac:dyDescent="0.3">
      <c r="A12" s="77">
        <v>9</v>
      </c>
      <c r="B12" s="89" t="s">
        <v>56</v>
      </c>
      <c r="C12" s="77" t="s">
        <v>48</v>
      </c>
      <c r="D12" s="79" t="s">
        <v>40</v>
      </c>
      <c r="E12" s="80">
        <v>9</v>
      </c>
      <c r="F12" s="80">
        <v>6000</v>
      </c>
      <c r="G12" s="81">
        <v>29</v>
      </c>
      <c r="H12" s="82">
        <f t="shared" si="0"/>
        <v>5800</v>
      </c>
      <c r="I12" s="81">
        <v>4</v>
      </c>
      <c r="J12" s="82">
        <f t="shared" si="1"/>
        <v>88.888888888888886</v>
      </c>
      <c r="K12" s="81"/>
      <c r="L12" s="82">
        <f t="shared" si="2"/>
        <v>0</v>
      </c>
      <c r="M12" s="81"/>
      <c r="N12" s="81"/>
      <c r="O12" s="82">
        <f t="shared" si="3"/>
        <v>5888.8888888888887</v>
      </c>
      <c r="P12" s="81"/>
      <c r="Q12" s="82">
        <f t="shared" si="4"/>
        <v>0</v>
      </c>
      <c r="R12" s="81">
        <v>2210</v>
      </c>
      <c r="S12" s="81"/>
      <c r="T12" s="81"/>
      <c r="U12" s="82">
        <f t="shared" si="5"/>
        <v>0</v>
      </c>
      <c r="V12" s="82"/>
      <c r="W12" s="82">
        <f t="shared" si="9"/>
        <v>0</v>
      </c>
      <c r="X12" s="81"/>
      <c r="Y12" s="82">
        <f t="shared" si="7"/>
        <v>0</v>
      </c>
      <c r="Z12" s="81"/>
      <c r="AA12" s="82">
        <f t="shared" si="8"/>
        <v>0</v>
      </c>
      <c r="AB12" s="82"/>
      <c r="AC12" s="82">
        <f t="shared" si="10"/>
        <v>0</v>
      </c>
      <c r="AD12" s="81"/>
      <c r="AE12" s="81"/>
      <c r="AF12" s="83">
        <f t="shared" si="11"/>
        <v>2210</v>
      </c>
      <c r="AG12" s="75">
        <f t="shared" si="12"/>
        <v>3678.8888888888887</v>
      </c>
      <c r="AH12" s="84"/>
    </row>
    <row r="13" spans="1:34" s="85" customFormat="1" ht="18.75" customHeight="1" x14ac:dyDescent="0.3">
      <c r="A13" s="77">
        <v>14</v>
      </c>
      <c r="B13" s="77" t="s">
        <v>41</v>
      </c>
      <c r="C13" s="77" t="s">
        <v>48</v>
      </c>
      <c r="D13" s="79" t="s">
        <v>44</v>
      </c>
      <c r="E13" s="80">
        <v>9</v>
      </c>
      <c r="F13" s="80">
        <v>10000</v>
      </c>
      <c r="G13" s="81">
        <v>30</v>
      </c>
      <c r="H13" s="82">
        <f t="shared" ref="H13:H14" si="13">+F13/30*G13</f>
        <v>10000</v>
      </c>
      <c r="I13" s="81"/>
      <c r="J13" s="82">
        <f t="shared" ref="J13:J14" si="14">+I13*F13/30/E13</f>
        <v>0</v>
      </c>
      <c r="K13" s="81"/>
      <c r="L13" s="82">
        <f t="shared" ref="L13:L14" si="15">+K13*F13/30</f>
        <v>0</v>
      </c>
      <c r="M13" s="81">
        <v>2000</v>
      </c>
      <c r="N13" s="81"/>
      <c r="O13" s="82">
        <f t="shared" ref="O13:O14" si="16">+N13+M13+L13+J13+H13</f>
        <v>12000</v>
      </c>
      <c r="P13" s="81">
        <v>3</v>
      </c>
      <c r="Q13" s="82">
        <f t="shared" ref="Q13:Q14" si="17">+F13/30/E13*P13</f>
        <v>111.11111111111111</v>
      </c>
      <c r="R13" s="81">
        <v>3440</v>
      </c>
      <c r="S13" s="81"/>
      <c r="T13" s="81">
        <v>1</v>
      </c>
      <c r="U13" s="82">
        <f t="shared" ref="U13:U14" si="18">+F13/30*T13</f>
        <v>333.33333333333331</v>
      </c>
      <c r="V13" s="82"/>
      <c r="W13" s="82">
        <f t="shared" ref="W13:W14" si="19">+H13/30*V13</f>
        <v>0</v>
      </c>
      <c r="X13" s="81"/>
      <c r="Y13" s="82">
        <f t="shared" ref="Y13:Y14" si="20">+F13/30*X13*1</f>
        <v>0</v>
      </c>
      <c r="Z13" s="81"/>
      <c r="AA13" s="82">
        <f t="shared" ref="AA13:AA14" si="21">+(F13/30*Z13)*0.25</f>
        <v>0</v>
      </c>
      <c r="AB13" s="82"/>
      <c r="AC13" s="82">
        <f t="shared" ref="AC13:AC14" si="22">AB13*11%</f>
        <v>0</v>
      </c>
      <c r="AD13" s="81"/>
      <c r="AE13" s="81">
        <v>175</v>
      </c>
      <c r="AF13" s="83">
        <f t="shared" ref="AF13:AF14" si="23">+AE13+AD13+Y13+U13+R13+Q13+AA13+S13+W13+AC13</f>
        <v>4059.4444444444448</v>
      </c>
      <c r="AG13" s="75">
        <f t="shared" ref="AG13:AG14" si="24">+O13-AF13</f>
        <v>7940.5555555555547</v>
      </c>
      <c r="AH13" s="84" t="s">
        <v>73</v>
      </c>
    </row>
    <row r="14" spans="1:34" s="85" customFormat="1" ht="18.75" x14ac:dyDescent="0.3">
      <c r="A14" s="77">
        <v>15</v>
      </c>
      <c r="B14" s="77" t="s">
        <v>42</v>
      </c>
      <c r="C14" s="77" t="s">
        <v>48</v>
      </c>
      <c r="D14" s="79" t="s">
        <v>60</v>
      </c>
      <c r="E14" s="80">
        <v>9</v>
      </c>
      <c r="F14" s="80">
        <v>10000</v>
      </c>
      <c r="G14" s="81">
        <v>30</v>
      </c>
      <c r="H14" s="82">
        <f t="shared" si="13"/>
        <v>10000</v>
      </c>
      <c r="I14" s="81"/>
      <c r="J14" s="82">
        <f t="shared" si="14"/>
        <v>0</v>
      </c>
      <c r="K14" s="81"/>
      <c r="L14" s="82">
        <f t="shared" si="15"/>
        <v>0</v>
      </c>
      <c r="M14" s="81">
        <v>2000</v>
      </c>
      <c r="N14" s="81"/>
      <c r="O14" s="82">
        <f t="shared" si="16"/>
        <v>12000</v>
      </c>
      <c r="P14" s="81"/>
      <c r="Q14" s="82">
        <f t="shared" si="17"/>
        <v>0</v>
      </c>
      <c r="R14" s="81">
        <v>1600</v>
      </c>
      <c r="S14" s="81"/>
      <c r="T14" s="81"/>
      <c r="U14" s="82">
        <f t="shared" si="18"/>
        <v>0</v>
      </c>
      <c r="V14" s="82"/>
      <c r="W14" s="82">
        <f t="shared" si="19"/>
        <v>0</v>
      </c>
      <c r="X14" s="81"/>
      <c r="Y14" s="82">
        <f t="shared" si="20"/>
        <v>0</v>
      </c>
      <c r="Z14" s="81"/>
      <c r="AA14" s="82">
        <f t="shared" si="21"/>
        <v>0</v>
      </c>
      <c r="AB14" s="82"/>
      <c r="AC14" s="82">
        <f t="shared" si="22"/>
        <v>0</v>
      </c>
      <c r="AD14" s="81"/>
      <c r="AE14" s="81"/>
      <c r="AF14" s="83">
        <f t="shared" si="23"/>
        <v>1600</v>
      </c>
      <c r="AG14" s="75">
        <f t="shared" si="24"/>
        <v>10400</v>
      </c>
      <c r="AH14" s="84"/>
    </row>
    <row r="15" spans="1:34" s="85" customFormat="1" ht="28.5" customHeight="1" x14ac:dyDescent="0.3">
      <c r="A15" s="77">
        <v>13</v>
      </c>
      <c r="B15" s="77" t="s">
        <v>59</v>
      </c>
      <c r="C15" s="77" t="s">
        <v>48</v>
      </c>
      <c r="D15" s="79" t="s">
        <v>43</v>
      </c>
      <c r="E15" s="80">
        <v>9</v>
      </c>
      <c r="F15" s="80">
        <v>7500</v>
      </c>
      <c r="G15" s="81">
        <v>27</v>
      </c>
      <c r="H15" s="82">
        <f t="shared" si="0"/>
        <v>6750</v>
      </c>
      <c r="I15" s="81"/>
      <c r="J15" s="82">
        <f t="shared" si="1"/>
        <v>0</v>
      </c>
      <c r="K15" s="81"/>
      <c r="L15" s="82">
        <f t="shared" si="2"/>
        <v>0</v>
      </c>
      <c r="M15" s="81">
        <v>2000</v>
      </c>
      <c r="N15" s="81"/>
      <c r="O15" s="82">
        <f t="shared" si="3"/>
        <v>8750</v>
      </c>
      <c r="P15" s="81"/>
      <c r="Q15" s="82">
        <f t="shared" si="4"/>
        <v>0</v>
      </c>
      <c r="R15" s="81">
        <v>4725</v>
      </c>
      <c r="S15" s="81"/>
      <c r="T15" s="81">
        <v>2</v>
      </c>
      <c r="U15" s="82">
        <f t="shared" si="5"/>
        <v>500</v>
      </c>
      <c r="V15" s="82"/>
      <c r="W15" s="82">
        <f t="shared" si="9"/>
        <v>0</v>
      </c>
      <c r="X15" s="81"/>
      <c r="Y15" s="82">
        <f t="shared" si="7"/>
        <v>0</v>
      </c>
      <c r="Z15" s="81"/>
      <c r="AA15" s="82">
        <f t="shared" si="8"/>
        <v>0</v>
      </c>
      <c r="AB15" s="82"/>
      <c r="AC15" s="82">
        <f t="shared" si="10"/>
        <v>0</v>
      </c>
      <c r="AD15" s="81"/>
      <c r="AE15" s="81"/>
      <c r="AF15" s="83">
        <f t="shared" si="11"/>
        <v>5225</v>
      </c>
      <c r="AG15" s="75">
        <f t="shared" si="12"/>
        <v>3525</v>
      </c>
      <c r="AH15" s="84" t="s">
        <v>75</v>
      </c>
    </row>
    <row r="16" spans="1:34" s="85" customFormat="1" ht="23.25" x14ac:dyDescent="0.35">
      <c r="A16" s="77">
        <v>16</v>
      </c>
      <c r="B16" s="90" t="s">
        <v>63</v>
      </c>
      <c r="C16" s="77" t="s">
        <v>48</v>
      </c>
      <c r="D16" s="79" t="s">
        <v>40</v>
      </c>
      <c r="E16" s="80">
        <v>9</v>
      </c>
      <c r="F16" s="80">
        <v>6000</v>
      </c>
      <c r="G16" s="81">
        <v>21</v>
      </c>
      <c r="H16" s="82">
        <f t="shared" si="0"/>
        <v>4200</v>
      </c>
      <c r="I16" s="81">
        <v>10</v>
      </c>
      <c r="J16" s="82">
        <f t="shared" si="1"/>
        <v>222.22222222222223</v>
      </c>
      <c r="K16" s="81"/>
      <c r="L16" s="82">
        <f t="shared" si="2"/>
        <v>0</v>
      </c>
      <c r="M16" s="81"/>
      <c r="N16" s="81"/>
      <c r="O16" s="82">
        <f t="shared" si="3"/>
        <v>4422.2222222222226</v>
      </c>
      <c r="P16" s="81">
        <v>2</v>
      </c>
      <c r="Q16" s="82">
        <f t="shared" si="4"/>
        <v>44.444444444444443</v>
      </c>
      <c r="R16" s="81">
        <v>635</v>
      </c>
      <c r="S16" s="81"/>
      <c r="T16" s="81"/>
      <c r="U16" s="82">
        <f t="shared" si="5"/>
        <v>0</v>
      </c>
      <c r="V16" s="82"/>
      <c r="W16" s="82">
        <f t="shared" si="9"/>
        <v>0</v>
      </c>
      <c r="X16" s="81"/>
      <c r="Y16" s="82">
        <f t="shared" si="7"/>
        <v>0</v>
      </c>
      <c r="Z16" s="81"/>
      <c r="AA16" s="82">
        <f t="shared" si="8"/>
        <v>0</v>
      </c>
      <c r="AB16" s="82"/>
      <c r="AC16" s="82">
        <f t="shared" si="10"/>
        <v>0</v>
      </c>
      <c r="AD16" s="81"/>
      <c r="AE16" s="81"/>
      <c r="AF16" s="83">
        <f t="shared" si="11"/>
        <v>679.44444444444446</v>
      </c>
      <c r="AG16" s="75">
        <f t="shared" si="12"/>
        <v>3742.7777777777783</v>
      </c>
      <c r="AH16" s="84"/>
    </row>
    <row r="17" spans="1:34" s="85" customFormat="1" ht="23.25" x14ac:dyDescent="0.3">
      <c r="A17" s="77">
        <v>17</v>
      </c>
      <c r="B17" s="86" t="s">
        <v>64</v>
      </c>
      <c r="C17" s="77" t="s">
        <v>48</v>
      </c>
      <c r="D17" s="79" t="s">
        <v>44</v>
      </c>
      <c r="E17" s="80">
        <v>9</v>
      </c>
      <c r="F17" s="80">
        <v>10000</v>
      </c>
      <c r="G17" s="81">
        <v>30</v>
      </c>
      <c r="H17" s="82">
        <f t="shared" si="0"/>
        <v>10000</v>
      </c>
      <c r="I17" s="81">
        <v>50</v>
      </c>
      <c r="J17" s="82">
        <f t="shared" si="1"/>
        <v>1851.851851851852</v>
      </c>
      <c r="K17" s="81"/>
      <c r="L17" s="82">
        <f t="shared" si="2"/>
        <v>0</v>
      </c>
      <c r="M17" s="81"/>
      <c r="N17" s="81"/>
      <c r="O17" s="82">
        <f t="shared" si="3"/>
        <v>11851.851851851852</v>
      </c>
      <c r="P17" s="81"/>
      <c r="Q17" s="82">
        <f t="shared" si="4"/>
        <v>0</v>
      </c>
      <c r="R17" s="81">
        <v>3200</v>
      </c>
      <c r="S17" s="81"/>
      <c r="T17" s="81"/>
      <c r="U17" s="82">
        <f t="shared" si="5"/>
        <v>0</v>
      </c>
      <c r="V17" s="82"/>
      <c r="W17" s="82">
        <f t="shared" si="9"/>
        <v>0</v>
      </c>
      <c r="X17" s="81"/>
      <c r="Y17" s="82">
        <f t="shared" si="7"/>
        <v>0</v>
      </c>
      <c r="Z17" s="81"/>
      <c r="AA17" s="82">
        <f t="shared" si="8"/>
        <v>0</v>
      </c>
      <c r="AB17" s="82"/>
      <c r="AC17" s="82">
        <f t="shared" si="10"/>
        <v>0</v>
      </c>
      <c r="AD17" s="81"/>
      <c r="AE17" s="81"/>
      <c r="AF17" s="83">
        <f t="shared" si="11"/>
        <v>3200</v>
      </c>
      <c r="AG17" s="75">
        <f t="shared" si="12"/>
        <v>8651.8518518518522</v>
      </c>
      <c r="AH17" s="84"/>
    </row>
    <row r="18" spans="1:34" s="85" customFormat="1" ht="23.25" x14ac:dyDescent="0.3">
      <c r="A18" s="77">
        <v>18</v>
      </c>
      <c r="B18" s="86" t="s">
        <v>61</v>
      </c>
      <c r="C18" s="77" t="s">
        <v>48</v>
      </c>
      <c r="D18" s="79" t="s">
        <v>44</v>
      </c>
      <c r="E18" s="80">
        <v>9</v>
      </c>
      <c r="F18" s="80">
        <v>8000</v>
      </c>
      <c r="G18" s="81">
        <v>21</v>
      </c>
      <c r="H18" s="82">
        <f t="shared" si="0"/>
        <v>5600</v>
      </c>
      <c r="I18" s="81">
        <v>28</v>
      </c>
      <c r="J18" s="82">
        <f t="shared" si="1"/>
        <v>829.62962962962968</v>
      </c>
      <c r="K18" s="81"/>
      <c r="L18" s="82">
        <f t="shared" si="2"/>
        <v>0</v>
      </c>
      <c r="M18" s="81"/>
      <c r="N18" s="81"/>
      <c r="O18" s="82">
        <f t="shared" si="3"/>
        <v>6429.6296296296296</v>
      </c>
      <c r="P18" s="81"/>
      <c r="Q18" s="82">
        <f t="shared" si="4"/>
        <v>0</v>
      </c>
      <c r="R18" s="81">
        <v>3895</v>
      </c>
      <c r="S18" s="81"/>
      <c r="T18" s="81"/>
      <c r="U18" s="82">
        <f t="shared" si="5"/>
        <v>0</v>
      </c>
      <c r="V18" s="82"/>
      <c r="W18" s="82">
        <f t="shared" si="9"/>
        <v>0</v>
      </c>
      <c r="X18" s="81"/>
      <c r="Y18" s="82">
        <f t="shared" si="7"/>
        <v>0</v>
      </c>
      <c r="Z18" s="81"/>
      <c r="AA18" s="82">
        <f t="shared" si="8"/>
        <v>0</v>
      </c>
      <c r="AB18" s="82"/>
      <c r="AC18" s="82">
        <f t="shared" si="10"/>
        <v>0</v>
      </c>
      <c r="AD18" s="81"/>
      <c r="AE18" s="81"/>
      <c r="AF18" s="83">
        <f t="shared" si="11"/>
        <v>3895</v>
      </c>
      <c r="AG18" s="75">
        <f t="shared" si="12"/>
        <v>2534.6296296296296</v>
      </c>
      <c r="AH18" s="84"/>
    </row>
    <row r="19" spans="1:34" s="85" customFormat="1" ht="33" customHeight="1" x14ac:dyDescent="0.3">
      <c r="A19" s="77">
        <v>12</v>
      </c>
      <c r="B19" s="77" t="s">
        <v>62</v>
      </c>
      <c r="C19" s="77" t="s">
        <v>48</v>
      </c>
      <c r="D19" s="79" t="s">
        <v>43</v>
      </c>
      <c r="E19" s="80">
        <v>9</v>
      </c>
      <c r="F19" s="80">
        <v>7000</v>
      </c>
      <c r="G19" s="81">
        <v>29</v>
      </c>
      <c r="H19" s="82">
        <f t="shared" si="0"/>
        <v>6766.666666666667</v>
      </c>
      <c r="I19" s="81"/>
      <c r="J19" s="82">
        <f t="shared" si="1"/>
        <v>0</v>
      </c>
      <c r="K19" s="81"/>
      <c r="L19" s="82">
        <f t="shared" si="2"/>
        <v>0</v>
      </c>
      <c r="M19" s="81"/>
      <c r="N19" s="81"/>
      <c r="O19" s="82">
        <f t="shared" si="3"/>
        <v>6766.666666666667</v>
      </c>
      <c r="P19" s="81"/>
      <c r="Q19" s="82">
        <f t="shared" si="4"/>
        <v>0</v>
      </c>
      <c r="R19" s="81">
        <v>3910</v>
      </c>
      <c r="S19" s="81"/>
      <c r="T19" s="81">
        <v>1</v>
      </c>
      <c r="U19" s="82">
        <f t="shared" si="5"/>
        <v>233.33333333333334</v>
      </c>
      <c r="V19" s="82"/>
      <c r="W19" s="82">
        <f t="shared" si="9"/>
        <v>0</v>
      </c>
      <c r="X19" s="81"/>
      <c r="Y19" s="82">
        <f t="shared" si="7"/>
        <v>0</v>
      </c>
      <c r="Z19" s="81"/>
      <c r="AA19" s="82">
        <f t="shared" si="8"/>
        <v>0</v>
      </c>
      <c r="AB19" s="82"/>
      <c r="AC19" s="82">
        <f t="shared" si="10"/>
        <v>0</v>
      </c>
      <c r="AD19" s="81"/>
      <c r="AE19" s="81">
        <v>590</v>
      </c>
      <c r="AF19" s="83">
        <f t="shared" si="11"/>
        <v>4733.333333333333</v>
      </c>
      <c r="AG19" s="75">
        <f t="shared" si="12"/>
        <v>2033.3333333333339</v>
      </c>
      <c r="AH19" s="84" t="s">
        <v>74</v>
      </c>
    </row>
    <row r="20" spans="1:34" s="85" customFormat="1" ht="18.75" x14ac:dyDescent="0.3">
      <c r="A20" s="77">
        <v>11</v>
      </c>
      <c r="B20" s="77" t="s">
        <v>58</v>
      </c>
      <c r="C20" s="77" t="s">
        <v>48</v>
      </c>
      <c r="D20" s="79" t="s">
        <v>40</v>
      </c>
      <c r="E20" s="80">
        <v>9</v>
      </c>
      <c r="F20" s="80">
        <v>6500</v>
      </c>
      <c r="G20" s="81">
        <v>13</v>
      </c>
      <c r="H20" s="82">
        <f t="shared" ref="H20" si="25">+F20/30*G20</f>
        <v>2816.6666666666665</v>
      </c>
      <c r="I20" s="81"/>
      <c r="J20" s="82">
        <f t="shared" ref="J20" si="26">+I20*F20/30/E20</f>
        <v>0</v>
      </c>
      <c r="K20" s="81"/>
      <c r="L20" s="82">
        <f t="shared" ref="L20" si="27">+K20*F20/30</f>
        <v>0</v>
      </c>
      <c r="M20" s="81"/>
      <c r="N20" s="81"/>
      <c r="O20" s="82">
        <f t="shared" ref="O20" si="28">+N20+M20+L20+J20+H20</f>
        <v>2816.6666666666665</v>
      </c>
      <c r="P20" s="81"/>
      <c r="Q20" s="82">
        <f t="shared" ref="Q20" si="29">+F20/30/E20*P20</f>
        <v>0</v>
      </c>
      <c r="R20" s="81">
        <v>700</v>
      </c>
      <c r="S20" s="81"/>
      <c r="T20" s="81"/>
      <c r="U20" s="82">
        <f t="shared" ref="U20" si="30">+F20/30*T20</f>
        <v>0</v>
      </c>
      <c r="V20" s="82"/>
      <c r="W20" s="82">
        <f t="shared" ref="W20" si="31">+H20/30*V20</f>
        <v>0</v>
      </c>
      <c r="X20" s="81"/>
      <c r="Y20" s="82">
        <f t="shared" ref="Y20" si="32">+F20/30*X20*1</f>
        <v>0</v>
      </c>
      <c r="Z20" s="81"/>
      <c r="AA20" s="82">
        <f t="shared" ref="AA20" si="33">+(F20/30*Z20)*0.25</f>
        <v>0</v>
      </c>
      <c r="AB20" s="82"/>
      <c r="AC20" s="82">
        <f t="shared" ref="AC20" si="34">AB20*11%</f>
        <v>0</v>
      </c>
      <c r="AD20" s="81"/>
      <c r="AE20" s="81"/>
      <c r="AF20" s="83">
        <f t="shared" ref="AF20" si="35">+AE20+AD20+Y20+U20+R20+Q20+AA20+S20+W20+AC20</f>
        <v>700</v>
      </c>
      <c r="AG20" s="75">
        <f t="shared" ref="AG20" si="36">+O20-AF20</f>
        <v>2116.6666666666665</v>
      </c>
      <c r="AH20" s="84"/>
    </row>
    <row r="21" spans="1:34" s="85" customFormat="1" ht="18.75" x14ac:dyDescent="0.3">
      <c r="A21" s="77">
        <v>10</v>
      </c>
      <c r="B21" s="77" t="s">
        <v>57</v>
      </c>
      <c r="C21" s="77" t="s">
        <v>48</v>
      </c>
      <c r="D21" s="79" t="s">
        <v>43</v>
      </c>
      <c r="E21" s="80">
        <v>9</v>
      </c>
      <c r="F21" s="80">
        <v>5500</v>
      </c>
      <c r="G21" s="81">
        <v>7</v>
      </c>
      <c r="H21" s="82">
        <f t="shared" ref="H21" si="37">+F21/30*G21</f>
        <v>1283.3333333333335</v>
      </c>
      <c r="I21" s="81"/>
      <c r="J21" s="82">
        <f t="shared" ref="J21" si="38">+I21*F21/30/E21</f>
        <v>0</v>
      </c>
      <c r="K21" s="81"/>
      <c r="L21" s="82">
        <f t="shared" ref="L21" si="39">+K21*F21/30</f>
        <v>0</v>
      </c>
      <c r="M21" s="81"/>
      <c r="N21" s="81"/>
      <c r="O21" s="82">
        <f t="shared" ref="O21" si="40">+N21+M21+L21+J21+H21</f>
        <v>1283.3333333333335</v>
      </c>
      <c r="P21" s="81"/>
      <c r="Q21" s="82">
        <f t="shared" ref="Q21" si="41">+F21/30/E21*P21</f>
        <v>0</v>
      </c>
      <c r="R21" s="81"/>
      <c r="S21" s="81"/>
      <c r="T21" s="81"/>
      <c r="U21" s="82">
        <f t="shared" ref="U21" si="42">+F21/30*T21</f>
        <v>0</v>
      </c>
      <c r="V21" s="82"/>
      <c r="W21" s="82">
        <f t="shared" ref="W21" si="43">+H21/30*V21</f>
        <v>0</v>
      </c>
      <c r="X21" s="81"/>
      <c r="Y21" s="82">
        <f t="shared" ref="Y21" si="44">+F21/30*X21*1</f>
        <v>0</v>
      </c>
      <c r="Z21" s="81"/>
      <c r="AA21" s="82">
        <f t="shared" ref="AA21" si="45">+(F21/30*Z21)*0.25</f>
        <v>0</v>
      </c>
      <c r="AB21" s="82"/>
      <c r="AC21" s="82">
        <f t="shared" ref="AC21" si="46">AB21*11%</f>
        <v>0</v>
      </c>
      <c r="AD21" s="81"/>
      <c r="AE21" s="81"/>
      <c r="AF21" s="83">
        <f t="shared" ref="AF21" si="47">+AE21+AD21+Y21+U21+R21+Q21+AA21+S21+W21+AC21</f>
        <v>0</v>
      </c>
      <c r="AG21" s="75">
        <f t="shared" ref="AG21" si="48">+O21-AF21</f>
        <v>1283.3333333333335</v>
      </c>
      <c r="AH21" s="84"/>
    </row>
    <row r="22" spans="1:34" s="85" customFormat="1" ht="23.25" x14ac:dyDescent="0.25">
      <c r="A22" s="77">
        <v>23</v>
      </c>
      <c r="B22" s="86" t="s">
        <v>65</v>
      </c>
      <c r="C22" s="77" t="s">
        <v>48</v>
      </c>
      <c r="D22" s="86" t="s">
        <v>46</v>
      </c>
      <c r="E22" s="80">
        <v>9</v>
      </c>
      <c r="F22" s="80">
        <v>4000</v>
      </c>
      <c r="G22" s="81">
        <v>27</v>
      </c>
      <c r="H22" s="82">
        <f t="shared" si="0"/>
        <v>3600.0000000000005</v>
      </c>
      <c r="I22" s="81"/>
      <c r="J22" s="82">
        <f t="shared" si="1"/>
        <v>0</v>
      </c>
      <c r="K22" s="81"/>
      <c r="L22" s="82">
        <f t="shared" si="2"/>
        <v>0</v>
      </c>
      <c r="M22" s="81"/>
      <c r="N22" s="81"/>
      <c r="O22" s="82">
        <f t="shared" si="3"/>
        <v>3600.0000000000005</v>
      </c>
      <c r="P22" s="81"/>
      <c r="Q22" s="82">
        <f t="shared" si="4"/>
        <v>0</v>
      </c>
      <c r="R22" s="81"/>
      <c r="S22" s="81"/>
      <c r="T22" s="81"/>
      <c r="U22" s="82">
        <f t="shared" si="5"/>
        <v>0</v>
      </c>
      <c r="V22" s="82"/>
      <c r="W22" s="82">
        <f t="shared" si="9"/>
        <v>0</v>
      </c>
      <c r="X22" s="81"/>
      <c r="Y22" s="82">
        <f t="shared" si="7"/>
        <v>0</v>
      </c>
      <c r="Z22" s="81"/>
      <c r="AA22" s="82">
        <f t="shared" si="8"/>
        <v>0</v>
      </c>
      <c r="AB22" s="82"/>
      <c r="AC22" s="82">
        <f t="shared" si="10"/>
        <v>0</v>
      </c>
      <c r="AD22" s="81"/>
      <c r="AE22" s="81"/>
      <c r="AF22" s="83">
        <f t="shared" si="11"/>
        <v>0</v>
      </c>
      <c r="AG22" s="75">
        <f t="shared" si="12"/>
        <v>3600.0000000000005</v>
      </c>
      <c r="AH22" s="84"/>
    </row>
    <row r="23" spans="1:34" s="85" customFormat="1" ht="23.25" x14ac:dyDescent="0.25">
      <c r="A23" s="77">
        <v>24</v>
      </c>
      <c r="B23" s="86" t="s">
        <v>66</v>
      </c>
      <c r="C23" s="77" t="s">
        <v>48</v>
      </c>
      <c r="D23" s="86" t="s">
        <v>46</v>
      </c>
      <c r="E23" s="80">
        <v>9</v>
      </c>
      <c r="F23" s="80">
        <v>4000</v>
      </c>
      <c r="G23" s="81">
        <v>27</v>
      </c>
      <c r="H23" s="82">
        <f t="shared" si="0"/>
        <v>3600.0000000000005</v>
      </c>
      <c r="I23" s="81"/>
      <c r="J23" s="82">
        <f t="shared" si="1"/>
        <v>0</v>
      </c>
      <c r="K23" s="81"/>
      <c r="L23" s="82">
        <f t="shared" si="2"/>
        <v>0</v>
      </c>
      <c r="M23" s="81"/>
      <c r="N23" s="81"/>
      <c r="O23" s="82">
        <f t="shared" si="3"/>
        <v>3600.0000000000005</v>
      </c>
      <c r="P23" s="81"/>
      <c r="Q23" s="82">
        <f t="shared" si="4"/>
        <v>0</v>
      </c>
      <c r="R23" s="81"/>
      <c r="S23" s="81"/>
      <c r="T23" s="81"/>
      <c r="U23" s="82">
        <f t="shared" si="5"/>
        <v>0</v>
      </c>
      <c r="V23" s="82"/>
      <c r="W23" s="82">
        <f t="shared" si="9"/>
        <v>0</v>
      </c>
      <c r="X23" s="81"/>
      <c r="Y23" s="82">
        <f t="shared" si="7"/>
        <v>0</v>
      </c>
      <c r="Z23" s="81"/>
      <c r="AA23" s="82">
        <f t="shared" si="8"/>
        <v>0</v>
      </c>
      <c r="AB23" s="82"/>
      <c r="AC23" s="82">
        <f t="shared" si="10"/>
        <v>0</v>
      </c>
      <c r="AD23" s="81"/>
      <c r="AE23" s="81"/>
      <c r="AF23" s="83">
        <f t="shared" si="11"/>
        <v>0</v>
      </c>
      <c r="AG23" s="75">
        <f t="shared" si="12"/>
        <v>3600.0000000000005</v>
      </c>
      <c r="AH23" s="84"/>
    </row>
    <row r="24" spans="1:34" s="85" customFormat="1" ht="23.25" x14ac:dyDescent="0.25">
      <c r="A24" s="77">
        <v>25</v>
      </c>
      <c r="B24" s="86" t="s">
        <v>67</v>
      </c>
      <c r="C24" s="77" t="s">
        <v>48</v>
      </c>
      <c r="D24" s="86" t="s">
        <v>43</v>
      </c>
      <c r="E24" s="80">
        <v>9</v>
      </c>
      <c r="F24" s="80">
        <v>5000</v>
      </c>
      <c r="G24" s="81">
        <v>23</v>
      </c>
      <c r="H24" s="82">
        <f t="shared" si="0"/>
        <v>3833.333333333333</v>
      </c>
      <c r="I24" s="81"/>
      <c r="J24" s="82">
        <f t="shared" si="1"/>
        <v>0</v>
      </c>
      <c r="K24" s="81"/>
      <c r="L24" s="82">
        <f t="shared" si="2"/>
        <v>0</v>
      </c>
      <c r="M24" s="81"/>
      <c r="N24" s="81"/>
      <c r="O24" s="82">
        <f t="shared" si="3"/>
        <v>3833.333333333333</v>
      </c>
      <c r="P24" s="81"/>
      <c r="Q24" s="82">
        <f t="shared" si="4"/>
        <v>0</v>
      </c>
      <c r="R24" s="81">
        <v>500</v>
      </c>
      <c r="S24" s="81"/>
      <c r="T24" s="81">
        <v>2</v>
      </c>
      <c r="U24" s="82">
        <f t="shared" si="5"/>
        <v>333.33333333333331</v>
      </c>
      <c r="V24" s="82"/>
      <c r="W24" s="82">
        <f t="shared" si="9"/>
        <v>0</v>
      </c>
      <c r="X24" s="81"/>
      <c r="Y24" s="82">
        <f t="shared" si="7"/>
        <v>0</v>
      </c>
      <c r="Z24" s="81"/>
      <c r="AA24" s="82">
        <f t="shared" si="8"/>
        <v>0</v>
      </c>
      <c r="AB24" s="82"/>
      <c r="AC24" s="82">
        <f t="shared" si="10"/>
        <v>0</v>
      </c>
      <c r="AD24" s="81"/>
      <c r="AE24" s="81"/>
      <c r="AF24" s="83">
        <f t="shared" si="11"/>
        <v>833.33333333333326</v>
      </c>
      <c r="AG24" s="75">
        <f t="shared" si="12"/>
        <v>3000</v>
      </c>
      <c r="AH24" s="84"/>
    </row>
    <row r="25" spans="1:34" s="85" customFormat="1" ht="23.25" x14ac:dyDescent="0.25">
      <c r="A25" s="77">
        <v>26</v>
      </c>
      <c r="B25" s="86" t="s">
        <v>72</v>
      </c>
      <c r="C25" s="77" t="s">
        <v>48</v>
      </c>
      <c r="D25" s="86" t="s">
        <v>43</v>
      </c>
      <c r="E25" s="80">
        <v>9</v>
      </c>
      <c r="F25" s="80">
        <v>6000</v>
      </c>
      <c r="G25" s="81">
        <v>30</v>
      </c>
      <c r="H25" s="82">
        <f t="shared" si="0"/>
        <v>6000</v>
      </c>
      <c r="I25" s="81">
        <v>33</v>
      </c>
      <c r="J25" s="82">
        <f t="shared" si="1"/>
        <v>733.33333333333337</v>
      </c>
      <c r="K25" s="81"/>
      <c r="L25" s="82">
        <f t="shared" si="2"/>
        <v>0</v>
      </c>
      <c r="M25" s="81"/>
      <c r="N25" s="81"/>
      <c r="O25" s="82">
        <f t="shared" si="3"/>
        <v>6733.333333333333</v>
      </c>
      <c r="P25" s="81">
        <v>11</v>
      </c>
      <c r="Q25" s="82">
        <f t="shared" si="4"/>
        <v>244.44444444444443</v>
      </c>
      <c r="R25" s="81">
        <v>3155</v>
      </c>
      <c r="S25" s="81"/>
      <c r="T25" s="81"/>
      <c r="U25" s="82">
        <f t="shared" si="5"/>
        <v>0</v>
      </c>
      <c r="V25" s="82"/>
      <c r="W25" s="82">
        <f t="shared" si="9"/>
        <v>0</v>
      </c>
      <c r="X25" s="81"/>
      <c r="Y25" s="82">
        <f t="shared" si="7"/>
        <v>0</v>
      </c>
      <c r="Z25" s="81"/>
      <c r="AA25" s="82">
        <f t="shared" si="8"/>
        <v>0</v>
      </c>
      <c r="AB25" s="82"/>
      <c r="AC25" s="82">
        <f t="shared" si="10"/>
        <v>0</v>
      </c>
      <c r="AD25" s="81"/>
      <c r="AE25" s="81"/>
      <c r="AF25" s="83">
        <f t="shared" si="11"/>
        <v>3399.4444444444443</v>
      </c>
      <c r="AG25" s="75">
        <f t="shared" ref="AG25:AG64" si="49">+O25-AF25</f>
        <v>3333.8888888888887</v>
      </c>
      <c r="AH25" s="84"/>
    </row>
    <row r="26" spans="1:34" s="85" customFormat="1" ht="23.25" x14ac:dyDescent="0.25">
      <c r="A26" s="77">
        <v>27</v>
      </c>
      <c r="B26" s="86" t="s">
        <v>68</v>
      </c>
      <c r="C26" s="77" t="s">
        <v>48</v>
      </c>
      <c r="D26" s="86" t="s">
        <v>69</v>
      </c>
      <c r="E26" s="80">
        <v>9</v>
      </c>
      <c r="F26" s="80">
        <v>20000</v>
      </c>
      <c r="G26" s="81">
        <v>30</v>
      </c>
      <c r="H26" s="82">
        <f t="shared" si="0"/>
        <v>20000</v>
      </c>
      <c r="I26" s="81"/>
      <c r="J26" s="82">
        <f t="shared" si="1"/>
        <v>0</v>
      </c>
      <c r="K26" s="81"/>
      <c r="L26" s="82">
        <f t="shared" si="2"/>
        <v>0</v>
      </c>
      <c r="M26" s="81"/>
      <c r="N26" s="81"/>
      <c r="O26" s="82">
        <f t="shared" si="3"/>
        <v>20000</v>
      </c>
      <c r="P26" s="81"/>
      <c r="Q26" s="82">
        <f t="shared" si="4"/>
        <v>0</v>
      </c>
      <c r="R26" s="81">
        <v>1785</v>
      </c>
      <c r="S26" s="81"/>
      <c r="T26" s="81"/>
      <c r="U26" s="82">
        <f t="shared" si="5"/>
        <v>0</v>
      </c>
      <c r="V26" s="82"/>
      <c r="W26" s="82">
        <f t="shared" si="9"/>
        <v>0</v>
      </c>
      <c r="X26" s="81"/>
      <c r="Y26" s="82">
        <f t="shared" si="7"/>
        <v>0</v>
      </c>
      <c r="Z26" s="81"/>
      <c r="AA26" s="82">
        <f t="shared" si="8"/>
        <v>0</v>
      </c>
      <c r="AB26" s="82"/>
      <c r="AC26" s="82">
        <f t="shared" si="10"/>
        <v>0</v>
      </c>
      <c r="AD26" s="81"/>
      <c r="AE26" s="81"/>
      <c r="AF26" s="83">
        <f t="shared" si="11"/>
        <v>1785</v>
      </c>
      <c r="AG26" s="75">
        <f t="shared" si="49"/>
        <v>18215</v>
      </c>
      <c r="AH26" s="84"/>
    </row>
    <row r="27" spans="1:34" s="85" customFormat="1" ht="23.25" x14ac:dyDescent="0.25">
      <c r="A27" s="77">
        <v>28</v>
      </c>
      <c r="B27" s="86" t="s">
        <v>77</v>
      </c>
      <c r="C27" s="77" t="s">
        <v>48</v>
      </c>
      <c r="D27" s="86" t="s">
        <v>46</v>
      </c>
      <c r="E27" s="80">
        <v>9</v>
      </c>
      <c r="F27" s="80">
        <v>2000</v>
      </c>
      <c r="G27" s="81">
        <v>30</v>
      </c>
      <c r="H27" s="82">
        <f t="shared" si="0"/>
        <v>2000.0000000000002</v>
      </c>
      <c r="I27" s="81"/>
      <c r="J27" s="82">
        <f t="shared" si="1"/>
        <v>0</v>
      </c>
      <c r="K27" s="81"/>
      <c r="L27" s="82">
        <f t="shared" si="2"/>
        <v>0</v>
      </c>
      <c r="M27" s="81"/>
      <c r="N27" s="81"/>
      <c r="O27" s="82">
        <f t="shared" si="3"/>
        <v>2000.0000000000002</v>
      </c>
      <c r="P27" s="81"/>
      <c r="Q27" s="82">
        <f t="shared" si="4"/>
        <v>0</v>
      </c>
      <c r="R27" s="81">
        <v>500</v>
      </c>
      <c r="S27" s="81"/>
      <c r="T27" s="81"/>
      <c r="U27" s="82">
        <f t="shared" si="5"/>
        <v>0</v>
      </c>
      <c r="V27" s="82"/>
      <c r="W27" s="82">
        <f t="shared" si="9"/>
        <v>0</v>
      </c>
      <c r="X27" s="81"/>
      <c r="Y27" s="82">
        <f t="shared" si="7"/>
        <v>0</v>
      </c>
      <c r="Z27" s="81"/>
      <c r="AA27" s="82">
        <f t="shared" si="8"/>
        <v>0</v>
      </c>
      <c r="AB27" s="82"/>
      <c r="AC27" s="82">
        <f t="shared" si="10"/>
        <v>0</v>
      </c>
      <c r="AD27" s="81"/>
      <c r="AE27" s="81"/>
      <c r="AF27" s="83">
        <f t="shared" si="11"/>
        <v>500</v>
      </c>
      <c r="AG27" s="75">
        <f t="shared" si="49"/>
        <v>1500.0000000000002</v>
      </c>
      <c r="AH27" s="84"/>
    </row>
    <row r="28" spans="1:34" ht="23.25" x14ac:dyDescent="0.25">
      <c r="A28" s="52">
        <v>29</v>
      </c>
      <c r="B28" s="54"/>
      <c r="C28" s="52"/>
      <c r="D28" s="67"/>
      <c r="E28" s="74">
        <v>9</v>
      </c>
      <c r="F28" s="74"/>
      <c r="G28" s="15"/>
      <c r="H28" s="16">
        <f t="shared" si="0"/>
        <v>0</v>
      </c>
      <c r="I28" s="15"/>
      <c r="J28" s="16">
        <f t="shared" si="1"/>
        <v>0</v>
      </c>
      <c r="K28" s="15"/>
      <c r="L28" s="16">
        <f t="shared" si="2"/>
        <v>0</v>
      </c>
      <c r="M28" s="15"/>
      <c r="N28" s="15"/>
      <c r="O28" s="16">
        <f t="shared" si="3"/>
        <v>0</v>
      </c>
      <c r="P28" s="15"/>
      <c r="Q28" s="16">
        <f t="shared" si="4"/>
        <v>0</v>
      </c>
      <c r="R28" s="15"/>
      <c r="S28" s="15"/>
      <c r="T28" s="15"/>
      <c r="U28" s="16">
        <f t="shared" si="5"/>
        <v>0</v>
      </c>
      <c r="V28" s="16"/>
      <c r="W28" s="16">
        <f t="shared" si="9"/>
        <v>0</v>
      </c>
      <c r="X28" s="15"/>
      <c r="Y28" s="16">
        <f t="shared" si="7"/>
        <v>0</v>
      </c>
      <c r="Z28" s="15"/>
      <c r="AA28" s="16">
        <f t="shared" si="8"/>
        <v>0</v>
      </c>
      <c r="AB28" s="16"/>
      <c r="AC28" s="16">
        <f t="shared" si="10"/>
        <v>0</v>
      </c>
      <c r="AD28" s="15"/>
      <c r="AE28" s="15"/>
      <c r="AF28" s="64">
        <f t="shared" si="11"/>
        <v>0</v>
      </c>
      <c r="AG28" s="17">
        <f t="shared" si="49"/>
        <v>0</v>
      </c>
      <c r="AH28" s="18"/>
    </row>
    <row r="29" spans="1:34" ht="23.25" x14ac:dyDescent="0.25">
      <c r="A29" s="52">
        <v>30</v>
      </c>
      <c r="B29" s="54"/>
      <c r="C29" s="52"/>
      <c r="D29" s="67"/>
      <c r="E29" s="74">
        <v>9</v>
      </c>
      <c r="F29" s="74"/>
      <c r="G29" s="15"/>
      <c r="H29" s="16">
        <f t="shared" si="0"/>
        <v>0</v>
      </c>
      <c r="I29" s="15"/>
      <c r="J29" s="16">
        <f t="shared" si="1"/>
        <v>0</v>
      </c>
      <c r="K29" s="15"/>
      <c r="L29" s="16">
        <f t="shared" si="2"/>
        <v>0</v>
      </c>
      <c r="M29" s="15"/>
      <c r="N29" s="15"/>
      <c r="O29" s="16">
        <f t="shared" si="3"/>
        <v>0</v>
      </c>
      <c r="P29" s="15"/>
      <c r="Q29" s="16">
        <f t="shared" si="4"/>
        <v>0</v>
      </c>
      <c r="R29" s="15"/>
      <c r="S29" s="15"/>
      <c r="T29" s="15"/>
      <c r="U29" s="16">
        <f t="shared" si="5"/>
        <v>0</v>
      </c>
      <c r="V29" s="16"/>
      <c r="W29" s="16">
        <f t="shared" si="9"/>
        <v>0</v>
      </c>
      <c r="X29" s="15"/>
      <c r="Y29" s="16">
        <f t="shared" si="7"/>
        <v>0</v>
      </c>
      <c r="Z29" s="15"/>
      <c r="AA29" s="16">
        <f t="shared" si="8"/>
        <v>0</v>
      </c>
      <c r="AB29" s="16"/>
      <c r="AC29" s="16">
        <f t="shared" si="10"/>
        <v>0</v>
      </c>
      <c r="AD29" s="15"/>
      <c r="AE29" s="15"/>
      <c r="AF29" s="64">
        <f t="shared" si="11"/>
        <v>0</v>
      </c>
      <c r="AG29" s="17">
        <f t="shared" si="49"/>
        <v>0</v>
      </c>
      <c r="AH29" s="18"/>
    </row>
    <row r="30" spans="1:34" ht="21" x14ac:dyDescent="0.3">
      <c r="A30" s="52">
        <v>31</v>
      </c>
      <c r="B30" s="54"/>
      <c r="C30" s="52"/>
      <c r="D30" s="53"/>
      <c r="E30" s="74">
        <v>9</v>
      </c>
      <c r="F30" s="74"/>
      <c r="G30" s="15"/>
      <c r="H30" s="16">
        <f t="shared" si="0"/>
        <v>0</v>
      </c>
      <c r="I30" s="15"/>
      <c r="J30" s="16">
        <f t="shared" si="1"/>
        <v>0</v>
      </c>
      <c r="K30" s="15"/>
      <c r="L30" s="16">
        <f t="shared" si="2"/>
        <v>0</v>
      </c>
      <c r="M30" s="15"/>
      <c r="N30" s="15"/>
      <c r="O30" s="16">
        <f t="shared" si="3"/>
        <v>0</v>
      </c>
      <c r="P30" s="15"/>
      <c r="Q30" s="16">
        <f t="shared" si="4"/>
        <v>0</v>
      </c>
      <c r="R30" s="15"/>
      <c r="S30" s="15"/>
      <c r="T30" s="15"/>
      <c r="U30" s="16">
        <f t="shared" si="5"/>
        <v>0</v>
      </c>
      <c r="V30" s="16"/>
      <c r="W30" s="16">
        <f t="shared" si="9"/>
        <v>0</v>
      </c>
      <c r="X30" s="15"/>
      <c r="Y30" s="16">
        <f t="shared" si="7"/>
        <v>0</v>
      </c>
      <c r="Z30" s="15"/>
      <c r="AA30" s="16">
        <f t="shared" si="8"/>
        <v>0</v>
      </c>
      <c r="AB30" s="16"/>
      <c r="AC30" s="16">
        <f t="shared" si="10"/>
        <v>0</v>
      </c>
      <c r="AD30" s="15"/>
      <c r="AE30" s="15"/>
      <c r="AF30" s="64">
        <f t="shared" si="11"/>
        <v>0</v>
      </c>
      <c r="AG30" s="17">
        <f t="shared" si="49"/>
        <v>0</v>
      </c>
      <c r="AH30" s="18"/>
    </row>
    <row r="31" spans="1:34" ht="21" x14ac:dyDescent="0.3">
      <c r="A31" s="52">
        <v>32</v>
      </c>
      <c r="B31" s="54"/>
      <c r="C31" s="52"/>
      <c r="D31" s="53"/>
      <c r="E31" s="74">
        <v>9</v>
      </c>
      <c r="F31" s="74"/>
      <c r="G31" s="15"/>
      <c r="H31" s="16">
        <f t="shared" si="0"/>
        <v>0</v>
      </c>
      <c r="I31" s="15"/>
      <c r="J31" s="16">
        <f t="shared" si="1"/>
        <v>0</v>
      </c>
      <c r="K31" s="15"/>
      <c r="L31" s="16">
        <f t="shared" si="2"/>
        <v>0</v>
      </c>
      <c r="M31" s="15"/>
      <c r="N31" s="15"/>
      <c r="O31" s="16">
        <f t="shared" si="3"/>
        <v>0</v>
      </c>
      <c r="P31" s="15"/>
      <c r="Q31" s="16">
        <f t="shared" si="4"/>
        <v>0</v>
      </c>
      <c r="R31" s="15"/>
      <c r="S31" s="15"/>
      <c r="T31" s="15"/>
      <c r="U31" s="16">
        <f t="shared" si="5"/>
        <v>0</v>
      </c>
      <c r="V31" s="16"/>
      <c r="W31" s="16">
        <f t="shared" si="9"/>
        <v>0</v>
      </c>
      <c r="X31" s="15"/>
      <c r="Y31" s="16">
        <f t="shared" si="7"/>
        <v>0</v>
      </c>
      <c r="Z31" s="15"/>
      <c r="AA31" s="16">
        <f t="shared" si="8"/>
        <v>0</v>
      </c>
      <c r="AB31" s="16"/>
      <c r="AC31" s="16">
        <f t="shared" si="10"/>
        <v>0</v>
      </c>
      <c r="AD31" s="15"/>
      <c r="AE31" s="15"/>
      <c r="AF31" s="64">
        <f t="shared" si="11"/>
        <v>0</v>
      </c>
      <c r="AG31" s="17">
        <f t="shared" si="49"/>
        <v>0</v>
      </c>
      <c r="AH31" s="18"/>
    </row>
    <row r="32" spans="1:34" ht="23.25" x14ac:dyDescent="0.25">
      <c r="A32" s="52">
        <v>33</v>
      </c>
      <c r="B32" s="67"/>
      <c r="C32" s="52"/>
      <c r="D32" s="67"/>
      <c r="E32" s="74">
        <v>9</v>
      </c>
      <c r="F32" s="74"/>
      <c r="G32" s="15"/>
      <c r="H32" s="16">
        <f t="shared" si="0"/>
        <v>0</v>
      </c>
      <c r="I32" s="15"/>
      <c r="J32" s="16">
        <f t="shared" si="1"/>
        <v>0</v>
      </c>
      <c r="K32" s="15"/>
      <c r="L32" s="16">
        <f t="shared" si="2"/>
        <v>0</v>
      </c>
      <c r="M32" s="15"/>
      <c r="N32" s="15"/>
      <c r="O32" s="16">
        <f t="shared" si="3"/>
        <v>0</v>
      </c>
      <c r="P32" s="15"/>
      <c r="Q32" s="16">
        <f t="shared" si="4"/>
        <v>0</v>
      </c>
      <c r="R32" s="15"/>
      <c r="S32" s="15"/>
      <c r="T32" s="15"/>
      <c r="U32" s="16">
        <f t="shared" si="5"/>
        <v>0</v>
      </c>
      <c r="V32" s="16"/>
      <c r="W32" s="16">
        <f t="shared" si="9"/>
        <v>0</v>
      </c>
      <c r="X32" s="15"/>
      <c r="Y32" s="16">
        <f t="shared" si="7"/>
        <v>0</v>
      </c>
      <c r="Z32" s="15"/>
      <c r="AA32" s="16">
        <f t="shared" si="8"/>
        <v>0</v>
      </c>
      <c r="AB32" s="16"/>
      <c r="AC32" s="16">
        <f t="shared" si="10"/>
        <v>0</v>
      </c>
      <c r="AD32" s="15"/>
      <c r="AE32" s="15"/>
      <c r="AF32" s="64">
        <f t="shared" si="11"/>
        <v>0</v>
      </c>
      <c r="AG32" s="17">
        <f t="shared" si="49"/>
        <v>0</v>
      </c>
      <c r="AH32" s="18"/>
    </row>
    <row r="33" spans="1:34" ht="21" x14ac:dyDescent="0.3">
      <c r="A33" s="52">
        <v>34</v>
      </c>
      <c r="B33" s="54"/>
      <c r="C33" s="52"/>
      <c r="D33" s="53"/>
      <c r="E33" s="74">
        <v>9</v>
      </c>
      <c r="F33" s="74"/>
      <c r="G33" s="15"/>
      <c r="H33" s="16">
        <f t="shared" si="0"/>
        <v>0</v>
      </c>
      <c r="I33" s="15"/>
      <c r="J33" s="16">
        <f t="shared" si="1"/>
        <v>0</v>
      </c>
      <c r="K33" s="15"/>
      <c r="L33" s="16">
        <f t="shared" si="2"/>
        <v>0</v>
      </c>
      <c r="M33" s="15"/>
      <c r="N33" s="15"/>
      <c r="O33" s="16">
        <f t="shared" si="3"/>
        <v>0</v>
      </c>
      <c r="P33" s="15"/>
      <c r="Q33" s="16">
        <f t="shared" si="4"/>
        <v>0</v>
      </c>
      <c r="R33" s="15"/>
      <c r="S33" s="15"/>
      <c r="T33" s="15"/>
      <c r="U33" s="16">
        <f t="shared" si="5"/>
        <v>0</v>
      </c>
      <c r="V33" s="16"/>
      <c r="W33" s="16">
        <f t="shared" si="9"/>
        <v>0</v>
      </c>
      <c r="X33" s="15"/>
      <c r="Y33" s="16">
        <f t="shared" si="7"/>
        <v>0</v>
      </c>
      <c r="Z33" s="15"/>
      <c r="AA33" s="16">
        <f t="shared" si="8"/>
        <v>0</v>
      </c>
      <c r="AB33" s="16"/>
      <c r="AC33" s="16">
        <f t="shared" si="10"/>
        <v>0</v>
      </c>
      <c r="AD33" s="15"/>
      <c r="AE33" s="15"/>
      <c r="AF33" s="64">
        <f t="shared" si="11"/>
        <v>0</v>
      </c>
      <c r="AG33" s="17">
        <f t="shared" si="49"/>
        <v>0</v>
      </c>
      <c r="AH33" s="18"/>
    </row>
    <row r="34" spans="1:34" ht="21" x14ac:dyDescent="0.3">
      <c r="A34" s="52">
        <v>35</v>
      </c>
      <c r="B34" s="56"/>
      <c r="C34" s="52"/>
      <c r="D34" s="53"/>
      <c r="E34" s="74">
        <v>9</v>
      </c>
      <c r="F34" s="74"/>
      <c r="G34" s="15"/>
      <c r="H34" s="16">
        <f t="shared" si="0"/>
        <v>0</v>
      </c>
      <c r="I34" s="15"/>
      <c r="J34" s="16">
        <f t="shared" si="1"/>
        <v>0</v>
      </c>
      <c r="K34" s="15"/>
      <c r="L34" s="16">
        <f t="shared" si="2"/>
        <v>0</v>
      </c>
      <c r="M34" s="15"/>
      <c r="N34" s="15"/>
      <c r="O34" s="16">
        <f t="shared" si="3"/>
        <v>0</v>
      </c>
      <c r="P34" s="15"/>
      <c r="Q34" s="16">
        <f t="shared" si="4"/>
        <v>0</v>
      </c>
      <c r="R34" s="15"/>
      <c r="S34" s="15"/>
      <c r="T34" s="15"/>
      <c r="U34" s="16">
        <f t="shared" si="5"/>
        <v>0</v>
      </c>
      <c r="V34" s="16"/>
      <c r="W34" s="16">
        <f t="shared" si="9"/>
        <v>0</v>
      </c>
      <c r="X34" s="15"/>
      <c r="Y34" s="16">
        <f t="shared" si="7"/>
        <v>0</v>
      </c>
      <c r="Z34" s="15"/>
      <c r="AA34" s="16">
        <f t="shared" si="8"/>
        <v>0</v>
      </c>
      <c r="AB34" s="16"/>
      <c r="AC34" s="16">
        <f t="shared" si="10"/>
        <v>0</v>
      </c>
      <c r="AD34" s="15"/>
      <c r="AE34" s="15"/>
      <c r="AF34" s="64">
        <f t="shared" si="11"/>
        <v>0</v>
      </c>
      <c r="AG34" s="17">
        <f t="shared" si="49"/>
        <v>0</v>
      </c>
      <c r="AH34" s="18"/>
    </row>
    <row r="35" spans="1:34" ht="21" x14ac:dyDescent="0.3">
      <c r="A35" s="52">
        <v>36</v>
      </c>
      <c r="B35" s="54"/>
      <c r="C35" s="52"/>
      <c r="D35" s="53"/>
      <c r="E35" s="74">
        <v>9</v>
      </c>
      <c r="F35" s="74"/>
      <c r="G35" s="15"/>
      <c r="H35" s="16">
        <f t="shared" si="0"/>
        <v>0</v>
      </c>
      <c r="I35" s="15"/>
      <c r="J35" s="16">
        <f t="shared" si="1"/>
        <v>0</v>
      </c>
      <c r="K35" s="15"/>
      <c r="L35" s="16">
        <f t="shared" si="2"/>
        <v>0</v>
      </c>
      <c r="M35" s="15"/>
      <c r="N35" s="15"/>
      <c r="O35" s="16">
        <f t="shared" si="3"/>
        <v>0</v>
      </c>
      <c r="P35" s="15"/>
      <c r="Q35" s="16">
        <f t="shared" si="4"/>
        <v>0</v>
      </c>
      <c r="R35" s="15"/>
      <c r="S35" s="15"/>
      <c r="T35" s="15"/>
      <c r="U35" s="16">
        <f t="shared" si="5"/>
        <v>0</v>
      </c>
      <c r="V35" s="16"/>
      <c r="W35" s="16">
        <f t="shared" si="9"/>
        <v>0</v>
      </c>
      <c r="X35" s="15"/>
      <c r="Y35" s="16">
        <f t="shared" si="7"/>
        <v>0</v>
      </c>
      <c r="Z35" s="15"/>
      <c r="AA35" s="16">
        <f t="shared" si="8"/>
        <v>0</v>
      </c>
      <c r="AB35" s="16"/>
      <c r="AC35" s="16">
        <f t="shared" si="10"/>
        <v>0</v>
      </c>
      <c r="AD35" s="15"/>
      <c r="AE35" s="15"/>
      <c r="AF35" s="64">
        <f t="shared" si="11"/>
        <v>0</v>
      </c>
      <c r="AG35" s="17">
        <f t="shared" si="49"/>
        <v>0</v>
      </c>
      <c r="AH35" s="18"/>
    </row>
    <row r="36" spans="1:34" ht="21" x14ac:dyDescent="0.3">
      <c r="A36" s="52">
        <v>37</v>
      </c>
      <c r="B36" s="54"/>
      <c r="C36" s="52"/>
      <c r="D36" s="53"/>
      <c r="E36" s="74">
        <v>9</v>
      </c>
      <c r="F36" s="74"/>
      <c r="G36" s="15"/>
      <c r="H36" s="16">
        <f t="shared" si="0"/>
        <v>0</v>
      </c>
      <c r="I36" s="15"/>
      <c r="J36" s="16">
        <f t="shared" si="1"/>
        <v>0</v>
      </c>
      <c r="K36" s="15"/>
      <c r="L36" s="16">
        <f t="shared" si="2"/>
        <v>0</v>
      </c>
      <c r="M36" s="15"/>
      <c r="N36" s="15"/>
      <c r="O36" s="16">
        <f t="shared" si="3"/>
        <v>0</v>
      </c>
      <c r="P36" s="15"/>
      <c r="Q36" s="16">
        <f t="shared" si="4"/>
        <v>0</v>
      </c>
      <c r="R36" s="15"/>
      <c r="S36" s="15"/>
      <c r="T36" s="15"/>
      <c r="U36" s="16">
        <f t="shared" si="5"/>
        <v>0</v>
      </c>
      <c r="V36" s="16"/>
      <c r="W36" s="16">
        <f t="shared" si="9"/>
        <v>0</v>
      </c>
      <c r="X36" s="15"/>
      <c r="Y36" s="16">
        <f t="shared" si="7"/>
        <v>0</v>
      </c>
      <c r="Z36" s="15"/>
      <c r="AA36" s="16">
        <f t="shared" si="8"/>
        <v>0</v>
      </c>
      <c r="AB36" s="16"/>
      <c r="AC36" s="16">
        <f t="shared" si="10"/>
        <v>0</v>
      </c>
      <c r="AD36" s="15"/>
      <c r="AE36" s="15"/>
      <c r="AF36" s="64">
        <f t="shared" si="11"/>
        <v>0</v>
      </c>
      <c r="AG36" s="17">
        <f t="shared" si="49"/>
        <v>0</v>
      </c>
      <c r="AH36" s="18"/>
    </row>
    <row r="37" spans="1:34" ht="21" x14ac:dyDescent="0.3">
      <c r="A37" s="52">
        <v>38</v>
      </c>
      <c r="B37" s="54"/>
      <c r="C37" s="52"/>
      <c r="D37" s="53"/>
      <c r="E37" s="74">
        <v>9</v>
      </c>
      <c r="F37" s="74"/>
      <c r="G37" s="15"/>
      <c r="H37" s="16">
        <f t="shared" si="0"/>
        <v>0</v>
      </c>
      <c r="I37" s="15"/>
      <c r="J37" s="16">
        <f t="shared" si="1"/>
        <v>0</v>
      </c>
      <c r="K37" s="15"/>
      <c r="L37" s="16">
        <f t="shared" si="2"/>
        <v>0</v>
      </c>
      <c r="M37" s="15"/>
      <c r="N37" s="15"/>
      <c r="O37" s="16">
        <f t="shared" si="3"/>
        <v>0</v>
      </c>
      <c r="P37" s="15"/>
      <c r="Q37" s="16">
        <f t="shared" si="4"/>
        <v>0</v>
      </c>
      <c r="R37" s="15"/>
      <c r="S37" s="15"/>
      <c r="T37" s="15"/>
      <c r="U37" s="16">
        <f t="shared" si="5"/>
        <v>0</v>
      </c>
      <c r="V37" s="16"/>
      <c r="W37" s="16">
        <f t="shared" si="9"/>
        <v>0</v>
      </c>
      <c r="X37" s="15"/>
      <c r="Y37" s="16">
        <f t="shared" si="7"/>
        <v>0</v>
      </c>
      <c r="Z37" s="15"/>
      <c r="AA37" s="16">
        <f t="shared" si="8"/>
        <v>0</v>
      </c>
      <c r="AB37" s="16"/>
      <c r="AC37" s="16">
        <f t="shared" si="10"/>
        <v>0</v>
      </c>
      <c r="AD37" s="15"/>
      <c r="AE37" s="15"/>
      <c r="AF37" s="64">
        <f t="shared" si="11"/>
        <v>0</v>
      </c>
      <c r="AG37" s="17">
        <f t="shared" si="49"/>
        <v>0</v>
      </c>
      <c r="AH37" s="18"/>
    </row>
    <row r="38" spans="1:34" ht="21" x14ac:dyDescent="0.3">
      <c r="A38" s="52">
        <v>39</v>
      </c>
      <c r="B38" s="54"/>
      <c r="C38" s="52"/>
      <c r="D38" s="53"/>
      <c r="E38" s="74">
        <v>9</v>
      </c>
      <c r="F38" s="74"/>
      <c r="G38" s="15"/>
      <c r="H38" s="16">
        <f t="shared" si="0"/>
        <v>0</v>
      </c>
      <c r="I38" s="15"/>
      <c r="J38" s="16">
        <f t="shared" si="1"/>
        <v>0</v>
      </c>
      <c r="K38" s="15"/>
      <c r="L38" s="16">
        <f t="shared" si="2"/>
        <v>0</v>
      </c>
      <c r="M38" s="15"/>
      <c r="N38" s="15"/>
      <c r="O38" s="16">
        <f t="shared" si="3"/>
        <v>0</v>
      </c>
      <c r="P38" s="15"/>
      <c r="Q38" s="16">
        <f t="shared" si="4"/>
        <v>0</v>
      </c>
      <c r="R38" s="15"/>
      <c r="S38" s="15"/>
      <c r="T38" s="15"/>
      <c r="U38" s="16">
        <f t="shared" si="5"/>
        <v>0</v>
      </c>
      <c r="V38" s="16"/>
      <c r="W38" s="16">
        <f t="shared" si="9"/>
        <v>0</v>
      </c>
      <c r="X38" s="15"/>
      <c r="Y38" s="16">
        <f t="shared" si="7"/>
        <v>0</v>
      </c>
      <c r="Z38" s="15"/>
      <c r="AA38" s="16">
        <f t="shared" si="8"/>
        <v>0</v>
      </c>
      <c r="AB38" s="16"/>
      <c r="AC38" s="16">
        <f t="shared" si="10"/>
        <v>0</v>
      </c>
      <c r="AD38" s="15"/>
      <c r="AE38" s="15"/>
      <c r="AF38" s="64">
        <f t="shared" si="11"/>
        <v>0</v>
      </c>
      <c r="AG38" s="17">
        <f t="shared" si="49"/>
        <v>0</v>
      </c>
      <c r="AH38" s="18"/>
    </row>
    <row r="39" spans="1:34" ht="21" x14ac:dyDescent="0.3">
      <c r="A39" s="52">
        <v>40</v>
      </c>
      <c r="B39" s="54"/>
      <c r="C39" s="52"/>
      <c r="D39" s="53"/>
      <c r="E39" s="74">
        <v>9</v>
      </c>
      <c r="F39" s="74"/>
      <c r="G39" s="15"/>
      <c r="H39" s="16">
        <f t="shared" si="0"/>
        <v>0</v>
      </c>
      <c r="I39" s="15"/>
      <c r="J39" s="16">
        <f t="shared" si="1"/>
        <v>0</v>
      </c>
      <c r="K39" s="15"/>
      <c r="L39" s="16">
        <f t="shared" si="2"/>
        <v>0</v>
      </c>
      <c r="M39" s="15"/>
      <c r="N39" s="15"/>
      <c r="O39" s="16">
        <f t="shared" si="3"/>
        <v>0</v>
      </c>
      <c r="P39" s="15"/>
      <c r="Q39" s="16">
        <f t="shared" si="4"/>
        <v>0</v>
      </c>
      <c r="R39" s="15"/>
      <c r="S39" s="15"/>
      <c r="T39" s="15"/>
      <c r="U39" s="16">
        <f t="shared" si="5"/>
        <v>0</v>
      </c>
      <c r="V39" s="16"/>
      <c r="W39" s="16">
        <f t="shared" si="9"/>
        <v>0</v>
      </c>
      <c r="X39" s="15"/>
      <c r="Y39" s="16">
        <f t="shared" si="7"/>
        <v>0</v>
      </c>
      <c r="Z39" s="15"/>
      <c r="AA39" s="16">
        <f t="shared" si="8"/>
        <v>0</v>
      </c>
      <c r="AB39" s="16"/>
      <c r="AC39" s="16">
        <f t="shared" si="10"/>
        <v>0</v>
      </c>
      <c r="AD39" s="15"/>
      <c r="AE39" s="15"/>
      <c r="AF39" s="64">
        <f t="shared" si="11"/>
        <v>0</v>
      </c>
      <c r="AG39" s="17">
        <f t="shared" si="49"/>
        <v>0</v>
      </c>
      <c r="AH39" s="18"/>
    </row>
    <row r="40" spans="1:34" ht="21" x14ac:dyDescent="0.25">
      <c r="A40" s="52">
        <v>41</v>
      </c>
      <c r="B40" s="54"/>
      <c r="C40" s="52"/>
      <c r="D40" s="52"/>
      <c r="E40" s="74">
        <v>9</v>
      </c>
      <c r="F40" s="74"/>
      <c r="G40" s="15"/>
      <c r="H40" s="16">
        <f t="shared" si="0"/>
        <v>0</v>
      </c>
      <c r="I40" s="15"/>
      <c r="J40" s="16">
        <f t="shared" si="1"/>
        <v>0</v>
      </c>
      <c r="K40" s="15"/>
      <c r="L40" s="16">
        <f t="shared" si="2"/>
        <v>0</v>
      </c>
      <c r="M40" s="15"/>
      <c r="N40" s="15"/>
      <c r="O40" s="16">
        <f t="shared" si="3"/>
        <v>0</v>
      </c>
      <c r="P40" s="15"/>
      <c r="Q40" s="16">
        <f t="shared" si="4"/>
        <v>0</v>
      </c>
      <c r="R40" s="15"/>
      <c r="S40" s="15"/>
      <c r="T40" s="15"/>
      <c r="U40" s="16">
        <f t="shared" si="5"/>
        <v>0</v>
      </c>
      <c r="V40" s="16"/>
      <c r="W40" s="16">
        <f t="shared" si="9"/>
        <v>0</v>
      </c>
      <c r="X40" s="15"/>
      <c r="Y40" s="16">
        <f t="shared" si="7"/>
        <v>0</v>
      </c>
      <c r="Z40" s="15"/>
      <c r="AA40" s="16">
        <f t="shared" si="8"/>
        <v>0</v>
      </c>
      <c r="AB40" s="16"/>
      <c r="AC40" s="16">
        <f t="shared" si="10"/>
        <v>0</v>
      </c>
      <c r="AD40" s="15"/>
      <c r="AE40" s="15"/>
      <c r="AF40" s="64">
        <f t="shared" si="11"/>
        <v>0</v>
      </c>
      <c r="AG40" s="17">
        <f t="shared" si="49"/>
        <v>0</v>
      </c>
      <c r="AH40" s="18"/>
    </row>
    <row r="41" spans="1:34" ht="21" x14ac:dyDescent="0.25">
      <c r="A41" s="52">
        <v>42</v>
      </c>
      <c r="B41" s="54"/>
      <c r="C41" s="52"/>
      <c r="D41" s="52"/>
      <c r="E41" s="74">
        <v>9</v>
      </c>
      <c r="F41" s="74"/>
      <c r="G41" s="15"/>
      <c r="H41" s="16">
        <f t="shared" si="0"/>
        <v>0</v>
      </c>
      <c r="I41" s="15"/>
      <c r="J41" s="16">
        <f t="shared" si="1"/>
        <v>0</v>
      </c>
      <c r="K41" s="15"/>
      <c r="L41" s="16">
        <f t="shared" si="2"/>
        <v>0</v>
      </c>
      <c r="M41" s="15"/>
      <c r="N41" s="15"/>
      <c r="O41" s="16">
        <f t="shared" si="3"/>
        <v>0</v>
      </c>
      <c r="P41" s="15"/>
      <c r="Q41" s="16">
        <f t="shared" si="4"/>
        <v>0</v>
      </c>
      <c r="R41" s="15"/>
      <c r="S41" s="15"/>
      <c r="T41" s="15"/>
      <c r="U41" s="16">
        <f t="shared" si="5"/>
        <v>0</v>
      </c>
      <c r="V41" s="16"/>
      <c r="W41" s="16">
        <f t="shared" si="9"/>
        <v>0</v>
      </c>
      <c r="X41" s="15"/>
      <c r="Y41" s="16">
        <f t="shared" si="7"/>
        <v>0</v>
      </c>
      <c r="Z41" s="15"/>
      <c r="AA41" s="16">
        <f t="shared" si="8"/>
        <v>0</v>
      </c>
      <c r="AB41" s="16"/>
      <c r="AC41" s="16">
        <f t="shared" si="10"/>
        <v>0</v>
      </c>
      <c r="AD41" s="15"/>
      <c r="AE41" s="15"/>
      <c r="AF41" s="64">
        <f t="shared" si="11"/>
        <v>0</v>
      </c>
      <c r="AG41" s="17">
        <f t="shared" si="49"/>
        <v>0</v>
      </c>
      <c r="AH41" s="18"/>
    </row>
    <row r="42" spans="1:34" ht="21" x14ac:dyDescent="0.3">
      <c r="A42" s="52">
        <v>43</v>
      </c>
      <c r="B42" s="54"/>
      <c r="C42" s="52"/>
      <c r="D42" s="53"/>
      <c r="E42" s="74">
        <v>9</v>
      </c>
      <c r="F42" s="74"/>
      <c r="G42" s="15"/>
      <c r="H42" s="16">
        <f t="shared" si="0"/>
        <v>0</v>
      </c>
      <c r="I42" s="15"/>
      <c r="J42" s="16">
        <f t="shared" si="1"/>
        <v>0</v>
      </c>
      <c r="K42" s="15"/>
      <c r="L42" s="16">
        <f t="shared" si="2"/>
        <v>0</v>
      </c>
      <c r="M42" s="15"/>
      <c r="N42" s="15"/>
      <c r="O42" s="16">
        <f t="shared" si="3"/>
        <v>0</v>
      </c>
      <c r="P42" s="15"/>
      <c r="Q42" s="16">
        <f t="shared" si="4"/>
        <v>0</v>
      </c>
      <c r="R42" s="15"/>
      <c r="S42" s="15"/>
      <c r="T42" s="15"/>
      <c r="U42" s="16">
        <f t="shared" si="5"/>
        <v>0</v>
      </c>
      <c r="V42" s="16"/>
      <c r="W42" s="16">
        <f t="shared" si="9"/>
        <v>0</v>
      </c>
      <c r="X42" s="15"/>
      <c r="Y42" s="16">
        <f t="shared" si="7"/>
        <v>0</v>
      </c>
      <c r="Z42" s="15"/>
      <c r="AA42" s="16">
        <f t="shared" si="8"/>
        <v>0</v>
      </c>
      <c r="AB42" s="16"/>
      <c r="AC42" s="16">
        <f t="shared" si="10"/>
        <v>0</v>
      </c>
      <c r="AD42" s="15"/>
      <c r="AE42" s="15"/>
      <c r="AF42" s="64">
        <f t="shared" si="11"/>
        <v>0</v>
      </c>
      <c r="AG42" s="17">
        <f t="shared" si="49"/>
        <v>0</v>
      </c>
      <c r="AH42" s="18"/>
    </row>
    <row r="43" spans="1:34" ht="30" customHeight="1" x14ac:dyDescent="0.3">
      <c r="A43" s="52">
        <v>44</v>
      </c>
      <c r="B43" s="54"/>
      <c r="C43" s="52"/>
      <c r="D43" s="53"/>
      <c r="E43" s="74">
        <v>9</v>
      </c>
      <c r="F43" s="74"/>
      <c r="G43" s="15"/>
      <c r="H43" s="16">
        <f t="shared" si="0"/>
        <v>0</v>
      </c>
      <c r="I43" s="15"/>
      <c r="J43" s="16">
        <f t="shared" si="1"/>
        <v>0</v>
      </c>
      <c r="K43" s="15"/>
      <c r="L43" s="16">
        <f t="shared" si="2"/>
        <v>0</v>
      </c>
      <c r="M43" s="15"/>
      <c r="N43" s="15"/>
      <c r="O43" s="16">
        <f t="shared" si="3"/>
        <v>0</v>
      </c>
      <c r="P43" s="15"/>
      <c r="Q43" s="16">
        <f t="shared" si="4"/>
        <v>0</v>
      </c>
      <c r="R43" s="15"/>
      <c r="S43" s="15"/>
      <c r="T43" s="15"/>
      <c r="U43" s="16">
        <f t="shared" si="5"/>
        <v>0</v>
      </c>
      <c r="V43" s="16"/>
      <c r="W43" s="16">
        <f t="shared" si="9"/>
        <v>0</v>
      </c>
      <c r="X43" s="15"/>
      <c r="Y43" s="16">
        <f t="shared" si="7"/>
        <v>0</v>
      </c>
      <c r="Z43" s="15"/>
      <c r="AA43" s="16">
        <f t="shared" si="8"/>
        <v>0</v>
      </c>
      <c r="AB43" s="16"/>
      <c r="AC43" s="16">
        <f t="shared" si="10"/>
        <v>0</v>
      </c>
      <c r="AD43" s="15"/>
      <c r="AE43" s="15"/>
      <c r="AF43" s="64">
        <f t="shared" si="11"/>
        <v>0</v>
      </c>
      <c r="AG43" s="17">
        <f t="shared" si="49"/>
        <v>0</v>
      </c>
      <c r="AH43" s="18"/>
    </row>
    <row r="44" spans="1:34" ht="21" x14ac:dyDescent="0.3">
      <c r="A44" s="52">
        <v>45</v>
      </c>
      <c r="B44" s="54"/>
      <c r="C44" s="52"/>
      <c r="D44" s="53"/>
      <c r="E44" s="74">
        <v>9</v>
      </c>
      <c r="F44" s="74"/>
      <c r="G44" s="15"/>
      <c r="H44" s="16">
        <f t="shared" si="0"/>
        <v>0</v>
      </c>
      <c r="I44" s="15"/>
      <c r="J44" s="16">
        <f t="shared" si="1"/>
        <v>0</v>
      </c>
      <c r="K44" s="15"/>
      <c r="L44" s="16">
        <f t="shared" si="2"/>
        <v>0</v>
      </c>
      <c r="M44" s="15"/>
      <c r="N44" s="15"/>
      <c r="O44" s="16">
        <f t="shared" si="3"/>
        <v>0</v>
      </c>
      <c r="P44" s="15"/>
      <c r="Q44" s="16">
        <f t="shared" si="4"/>
        <v>0</v>
      </c>
      <c r="R44" s="15"/>
      <c r="S44" s="15"/>
      <c r="T44" s="15"/>
      <c r="U44" s="16">
        <f t="shared" si="5"/>
        <v>0</v>
      </c>
      <c r="V44" s="16"/>
      <c r="W44" s="16">
        <f t="shared" si="9"/>
        <v>0</v>
      </c>
      <c r="X44" s="15"/>
      <c r="Y44" s="16">
        <f t="shared" si="7"/>
        <v>0</v>
      </c>
      <c r="Z44" s="15"/>
      <c r="AA44" s="16">
        <f t="shared" si="8"/>
        <v>0</v>
      </c>
      <c r="AB44" s="16"/>
      <c r="AC44" s="16">
        <f t="shared" si="10"/>
        <v>0</v>
      </c>
      <c r="AD44" s="15"/>
      <c r="AE44" s="15"/>
      <c r="AF44" s="64">
        <f t="shared" si="11"/>
        <v>0</v>
      </c>
      <c r="AG44" s="17">
        <f t="shared" si="49"/>
        <v>0</v>
      </c>
      <c r="AH44" s="18"/>
    </row>
    <row r="45" spans="1:34" ht="21" x14ac:dyDescent="0.25">
      <c r="A45" s="52">
        <v>46</v>
      </c>
      <c r="B45" s="54"/>
      <c r="C45" s="52"/>
      <c r="D45" s="52"/>
      <c r="E45" s="74">
        <v>9</v>
      </c>
      <c r="F45" s="74"/>
      <c r="G45" s="15"/>
      <c r="H45" s="16">
        <f t="shared" si="0"/>
        <v>0</v>
      </c>
      <c r="I45" s="15"/>
      <c r="J45" s="16">
        <f t="shared" si="1"/>
        <v>0</v>
      </c>
      <c r="K45" s="15"/>
      <c r="L45" s="16">
        <f t="shared" si="2"/>
        <v>0</v>
      </c>
      <c r="M45" s="15"/>
      <c r="N45" s="15"/>
      <c r="O45" s="16">
        <f t="shared" si="3"/>
        <v>0</v>
      </c>
      <c r="P45" s="15"/>
      <c r="Q45" s="16">
        <f t="shared" si="4"/>
        <v>0</v>
      </c>
      <c r="R45" s="15"/>
      <c r="S45" s="15"/>
      <c r="T45" s="15"/>
      <c r="U45" s="16">
        <f t="shared" si="5"/>
        <v>0</v>
      </c>
      <c r="V45" s="16"/>
      <c r="W45" s="16">
        <f t="shared" si="9"/>
        <v>0</v>
      </c>
      <c r="X45" s="15"/>
      <c r="Y45" s="16">
        <f t="shared" si="7"/>
        <v>0</v>
      </c>
      <c r="Z45" s="15"/>
      <c r="AA45" s="16">
        <f t="shared" si="8"/>
        <v>0</v>
      </c>
      <c r="AB45" s="16"/>
      <c r="AC45" s="16">
        <f t="shared" si="10"/>
        <v>0</v>
      </c>
      <c r="AD45" s="15"/>
      <c r="AE45" s="15"/>
      <c r="AF45" s="64">
        <f t="shared" si="11"/>
        <v>0</v>
      </c>
      <c r="AG45" s="17">
        <f t="shared" si="49"/>
        <v>0</v>
      </c>
      <c r="AH45" s="18"/>
    </row>
    <row r="46" spans="1:34" ht="18.75" x14ac:dyDescent="0.3">
      <c r="A46" s="52">
        <v>47</v>
      </c>
      <c r="B46" s="88"/>
      <c r="C46" s="52"/>
      <c r="D46" s="52"/>
      <c r="E46" s="74">
        <v>9</v>
      </c>
      <c r="F46" s="74"/>
      <c r="G46" s="15"/>
      <c r="H46" s="16">
        <f t="shared" si="0"/>
        <v>0</v>
      </c>
      <c r="I46" s="15"/>
      <c r="J46" s="16">
        <f t="shared" si="1"/>
        <v>0</v>
      </c>
      <c r="K46" s="15"/>
      <c r="L46" s="16">
        <f t="shared" si="2"/>
        <v>0</v>
      </c>
      <c r="M46" s="15"/>
      <c r="N46" s="15"/>
      <c r="O46" s="16">
        <f t="shared" si="3"/>
        <v>0</v>
      </c>
      <c r="P46" s="15"/>
      <c r="Q46" s="16">
        <f t="shared" si="4"/>
        <v>0</v>
      </c>
      <c r="R46" s="15"/>
      <c r="S46" s="15"/>
      <c r="T46" s="15"/>
      <c r="U46" s="16">
        <f t="shared" si="5"/>
        <v>0</v>
      </c>
      <c r="V46" s="16"/>
      <c r="W46" s="16">
        <f t="shared" si="9"/>
        <v>0</v>
      </c>
      <c r="X46" s="15"/>
      <c r="Y46" s="16">
        <f t="shared" si="7"/>
        <v>0</v>
      </c>
      <c r="Z46" s="15"/>
      <c r="AA46" s="16">
        <f t="shared" si="8"/>
        <v>0</v>
      </c>
      <c r="AB46" s="16"/>
      <c r="AC46" s="16">
        <f t="shared" si="10"/>
        <v>0</v>
      </c>
      <c r="AD46" s="15"/>
      <c r="AE46" s="15"/>
      <c r="AF46" s="64">
        <f t="shared" si="11"/>
        <v>0</v>
      </c>
      <c r="AG46" s="17">
        <f t="shared" si="49"/>
        <v>0</v>
      </c>
      <c r="AH46" s="18"/>
    </row>
    <row r="47" spans="1:34" ht="21" x14ac:dyDescent="0.35">
      <c r="A47" s="52">
        <v>48</v>
      </c>
      <c r="B47" s="58"/>
      <c r="C47" s="52"/>
      <c r="D47" s="53"/>
      <c r="E47" s="74">
        <v>9</v>
      </c>
      <c r="F47" s="74"/>
      <c r="G47" s="15"/>
      <c r="H47" s="16">
        <f t="shared" si="0"/>
        <v>0</v>
      </c>
      <c r="I47" s="15"/>
      <c r="J47" s="16">
        <f t="shared" si="1"/>
        <v>0</v>
      </c>
      <c r="K47" s="15"/>
      <c r="L47" s="16">
        <f t="shared" si="2"/>
        <v>0</v>
      </c>
      <c r="M47" s="15"/>
      <c r="N47" s="15"/>
      <c r="O47" s="16">
        <f t="shared" si="3"/>
        <v>0</v>
      </c>
      <c r="P47" s="15"/>
      <c r="Q47" s="16">
        <f t="shared" si="4"/>
        <v>0</v>
      </c>
      <c r="R47" s="15"/>
      <c r="S47" s="15"/>
      <c r="T47" s="15"/>
      <c r="U47" s="16">
        <f t="shared" si="5"/>
        <v>0</v>
      </c>
      <c r="V47" s="16"/>
      <c r="W47" s="16">
        <f t="shared" si="9"/>
        <v>0</v>
      </c>
      <c r="X47" s="15"/>
      <c r="Y47" s="16">
        <f t="shared" si="7"/>
        <v>0</v>
      </c>
      <c r="Z47" s="15"/>
      <c r="AA47" s="16">
        <f t="shared" si="8"/>
        <v>0</v>
      </c>
      <c r="AB47" s="16"/>
      <c r="AC47" s="16">
        <f t="shared" si="10"/>
        <v>0</v>
      </c>
      <c r="AD47" s="15"/>
      <c r="AE47" s="15"/>
      <c r="AF47" s="64">
        <f t="shared" si="11"/>
        <v>0</v>
      </c>
      <c r="AG47" s="17">
        <f t="shared" si="49"/>
        <v>0</v>
      </c>
      <c r="AH47" s="18"/>
    </row>
    <row r="48" spans="1:34" ht="21" x14ac:dyDescent="0.35">
      <c r="A48" s="52">
        <v>49</v>
      </c>
      <c r="B48" s="58"/>
      <c r="C48" s="52"/>
      <c r="D48" s="53"/>
      <c r="E48" s="74">
        <v>9</v>
      </c>
      <c r="F48" s="74"/>
      <c r="G48" s="15"/>
      <c r="H48" s="16">
        <f t="shared" si="0"/>
        <v>0</v>
      </c>
      <c r="I48" s="15"/>
      <c r="J48" s="16">
        <f t="shared" si="1"/>
        <v>0</v>
      </c>
      <c r="K48" s="15"/>
      <c r="L48" s="16">
        <f t="shared" si="2"/>
        <v>0</v>
      </c>
      <c r="M48" s="15"/>
      <c r="N48" s="15"/>
      <c r="O48" s="16">
        <f t="shared" si="3"/>
        <v>0</v>
      </c>
      <c r="P48" s="15"/>
      <c r="Q48" s="16">
        <f t="shared" si="4"/>
        <v>0</v>
      </c>
      <c r="R48" s="15"/>
      <c r="S48" s="15"/>
      <c r="T48" s="15"/>
      <c r="U48" s="16">
        <f t="shared" si="5"/>
        <v>0</v>
      </c>
      <c r="V48" s="16"/>
      <c r="W48" s="16">
        <f t="shared" si="9"/>
        <v>0</v>
      </c>
      <c r="X48" s="15"/>
      <c r="Y48" s="16">
        <f t="shared" si="7"/>
        <v>0</v>
      </c>
      <c r="Z48" s="15"/>
      <c r="AA48" s="16">
        <f t="shared" si="8"/>
        <v>0</v>
      </c>
      <c r="AB48" s="16"/>
      <c r="AC48" s="16">
        <f t="shared" si="10"/>
        <v>0</v>
      </c>
      <c r="AD48" s="15"/>
      <c r="AE48" s="15"/>
      <c r="AF48" s="64">
        <f t="shared" si="11"/>
        <v>0</v>
      </c>
      <c r="AG48" s="17">
        <f t="shared" si="49"/>
        <v>0</v>
      </c>
      <c r="AH48" s="18"/>
    </row>
    <row r="49" spans="1:34" ht="21" x14ac:dyDescent="0.35">
      <c r="A49" s="52">
        <v>50</v>
      </c>
      <c r="B49" s="58"/>
      <c r="C49" s="52"/>
      <c r="D49" s="52"/>
      <c r="E49" s="74">
        <v>9</v>
      </c>
      <c r="F49" s="74"/>
      <c r="G49" s="15"/>
      <c r="H49" s="16">
        <f t="shared" si="0"/>
        <v>0</v>
      </c>
      <c r="I49" s="15"/>
      <c r="J49" s="16">
        <f t="shared" si="1"/>
        <v>0</v>
      </c>
      <c r="K49" s="15"/>
      <c r="L49" s="16">
        <f t="shared" si="2"/>
        <v>0</v>
      </c>
      <c r="M49" s="15"/>
      <c r="N49" s="15"/>
      <c r="O49" s="16">
        <f t="shared" si="3"/>
        <v>0</v>
      </c>
      <c r="P49" s="15"/>
      <c r="Q49" s="16">
        <f t="shared" si="4"/>
        <v>0</v>
      </c>
      <c r="R49" s="15"/>
      <c r="S49" s="15"/>
      <c r="T49" s="15"/>
      <c r="U49" s="16">
        <f t="shared" si="5"/>
        <v>0</v>
      </c>
      <c r="V49" s="16"/>
      <c r="W49" s="16">
        <f t="shared" si="9"/>
        <v>0</v>
      </c>
      <c r="X49" s="15"/>
      <c r="Y49" s="16">
        <f t="shared" si="7"/>
        <v>0</v>
      </c>
      <c r="Z49" s="15"/>
      <c r="AA49" s="16">
        <f t="shared" si="8"/>
        <v>0</v>
      </c>
      <c r="AB49" s="16"/>
      <c r="AC49" s="16">
        <f t="shared" si="10"/>
        <v>0</v>
      </c>
      <c r="AD49" s="15"/>
      <c r="AE49" s="15"/>
      <c r="AF49" s="64">
        <f t="shared" si="11"/>
        <v>0</v>
      </c>
      <c r="AG49" s="17">
        <f t="shared" si="49"/>
        <v>0</v>
      </c>
      <c r="AH49" s="18"/>
    </row>
    <row r="50" spans="1:34" ht="21" x14ac:dyDescent="0.35">
      <c r="A50" s="52">
        <v>51</v>
      </c>
      <c r="B50" s="58"/>
      <c r="C50" s="52"/>
      <c r="D50" s="52"/>
      <c r="E50" s="74">
        <v>9</v>
      </c>
      <c r="F50" s="74"/>
      <c r="G50" s="15"/>
      <c r="H50" s="16">
        <f t="shared" si="0"/>
        <v>0</v>
      </c>
      <c r="I50" s="15"/>
      <c r="J50" s="16">
        <f t="shared" si="1"/>
        <v>0</v>
      </c>
      <c r="K50" s="15"/>
      <c r="L50" s="16">
        <f t="shared" si="2"/>
        <v>0</v>
      </c>
      <c r="M50" s="15"/>
      <c r="N50" s="15"/>
      <c r="O50" s="16">
        <f t="shared" si="3"/>
        <v>0</v>
      </c>
      <c r="P50" s="15"/>
      <c r="Q50" s="16">
        <f t="shared" si="4"/>
        <v>0</v>
      </c>
      <c r="R50" s="15"/>
      <c r="S50" s="15"/>
      <c r="T50" s="15"/>
      <c r="U50" s="16">
        <f t="shared" si="5"/>
        <v>0</v>
      </c>
      <c r="V50" s="16"/>
      <c r="W50" s="16">
        <f t="shared" si="9"/>
        <v>0</v>
      </c>
      <c r="X50" s="15"/>
      <c r="Y50" s="16">
        <f t="shared" si="7"/>
        <v>0</v>
      </c>
      <c r="Z50" s="15"/>
      <c r="AA50" s="16">
        <f t="shared" si="8"/>
        <v>0</v>
      </c>
      <c r="AB50" s="16"/>
      <c r="AC50" s="16">
        <f t="shared" si="10"/>
        <v>0</v>
      </c>
      <c r="AD50" s="15"/>
      <c r="AE50" s="15"/>
      <c r="AF50" s="64">
        <f t="shared" si="11"/>
        <v>0</v>
      </c>
      <c r="AG50" s="17">
        <f t="shared" si="49"/>
        <v>0</v>
      </c>
      <c r="AH50" s="18"/>
    </row>
    <row r="51" spans="1:34" ht="21" x14ac:dyDescent="0.35">
      <c r="A51" s="52">
        <v>52</v>
      </c>
      <c r="B51" s="58"/>
      <c r="C51" s="52"/>
      <c r="D51" s="53"/>
      <c r="E51" s="74">
        <v>9</v>
      </c>
      <c r="F51" s="74"/>
      <c r="G51" s="15"/>
      <c r="H51" s="16">
        <f t="shared" si="0"/>
        <v>0</v>
      </c>
      <c r="I51" s="15"/>
      <c r="J51" s="16">
        <f t="shared" si="1"/>
        <v>0</v>
      </c>
      <c r="K51" s="15"/>
      <c r="L51" s="16">
        <f t="shared" si="2"/>
        <v>0</v>
      </c>
      <c r="M51" s="15"/>
      <c r="N51" s="15"/>
      <c r="O51" s="16">
        <f t="shared" si="3"/>
        <v>0</v>
      </c>
      <c r="P51" s="15"/>
      <c r="Q51" s="16">
        <f t="shared" si="4"/>
        <v>0</v>
      </c>
      <c r="R51" s="15"/>
      <c r="S51" s="15"/>
      <c r="T51" s="15"/>
      <c r="U51" s="16">
        <f t="shared" si="5"/>
        <v>0</v>
      </c>
      <c r="V51" s="16"/>
      <c r="W51" s="16">
        <f t="shared" si="9"/>
        <v>0</v>
      </c>
      <c r="X51" s="15"/>
      <c r="Y51" s="16">
        <f t="shared" si="7"/>
        <v>0</v>
      </c>
      <c r="Z51" s="15"/>
      <c r="AA51" s="16">
        <f t="shared" si="8"/>
        <v>0</v>
      </c>
      <c r="AB51" s="16"/>
      <c r="AC51" s="16">
        <f t="shared" si="10"/>
        <v>0</v>
      </c>
      <c r="AD51" s="15"/>
      <c r="AE51" s="15"/>
      <c r="AF51" s="64">
        <f t="shared" si="11"/>
        <v>0</v>
      </c>
      <c r="AG51" s="17">
        <f t="shared" si="49"/>
        <v>0</v>
      </c>
      <c r="AH51" s="18"/>
    </row>
    <row r="52" spans="1:34" ht="21" x14ac:dyDescent="0.35">
      <c r="A52" s="52">
        <v>53</v>
      </c>
      <c r="B52" s="58"/>
      <c r="C52" s="52"/>
      <c r="D52" s="53"/>
      <c r="E52" s="74">
        <v>9</v>
      </c>
      <c r="F52" s="74"/>
      <c r="G52" s="15"/>
      <c r="H52" s="16">
        <f t="shared" si="0"/>
        <v>0</v>
      </c>
      <c r="I52" s="15"/>
      <c r="J52" s="16">
        <f t="shared" si="1"/>
        <v>0</v>
      </c>
      <c r="K52" s="15"/>
      <c r="L52" s="16">
        <f t="shared" si="2"/>
        <v>0</v>
      </c>
      <c r="M52" s="15"/>
      <c r="N52" s="15"/>
      <c r="O52" s="16">
        <f t="shared" si="3"/>
        <v>0</v>
      </c>
      <c r="P52" s="15"/>
      <c r="Q52" s="16">
        <f t="shared" si="4"/>
        <v>0</v>
      </c>
      <c r="R52" s="15"/>
      <c r="S52" s="15"/>
      <c r="T52" s="15"/>
      <c r="U52" s="16">
        <f t="shared" si="5"/>
        <v>0</v>
      </c>
      <c r="V52" s="16"/>
      <c r="W52" s="16">
        <f t="shared" si="9"/>
        <v>0</v>
      </c>
      <c r="X52" s="15"/>
      <c r="Y52" s="16">
        <f t="shared" si="7"/>
        <v>0</v>
      </c>
      <c r="Z52" s="15"/>
      <c r="AA52" s="16">
        <f t="shared" si="8"/>
        <v>0</v>
      </c>
      <c r="AB52" s="16"/>
      <c r="AC52" s="16">
        <f t="shared" si="10"/>
        <v>0</v>
      </c>
      <c r="AD52" s="15"/>
      <c r="AE52" s="15"/>
      <c r="AF52" s="64">
        <f t="shared" si="11"/>
        <v>0</v>
      </c>
      <c r="AG52" s="17">
        <f t="shared" si="49"/>
        <v>0</v>
      </c>
      <c r="AH52" s="18"/>
    </row>
    <row r="53" spans="1:34" ht="21" x14ac:dyDescent="0.3">
      <c r="A53" s="52">
        <v>54</v>
      </c>
      <c r="B53" s="56"/>
      <c r="C53" s="52"/>
      <c r="D53" s="53"/>
      <c r="E53" s="74">
        <v>9</v>
      </c>
      <c r="F53" s="74"/>
      <c r="G53" s="15"/>
      <c r="H53" s="16">
        <f t="shared" si="0"/>
        <v>0</v>
      </c>
      <c r="I53" s="15"/>
      <c r="J53" s="16">
        <f t="shared" si="1"/>
        <v>0</v>
      </c>
      <c r="K53" s="15"/>
      <c r="L53" s="16">
        <f t="shared" si="2"/>
        <v>0</v>
      </c>
      <c r="M53" s="15"/>
      <c r="N53" s="15"/>
      <c r="O53" s="16">
        <f t="shared" si="3"/>
        <v>0</v>
      </c>
      <c r="P53" s="15"/>
      <c r="Q53" s="16">
        <f t="shared" si="4"/>
        <v>0</v>
      </c>
      <c r="R53" s="15"/>
      <c r="S53" s="15"/>
      <c r="T53" s="15"/>
      <c r="U53" s="16">
        <f t="shared" si="5"/>
        <v>0</v>
      </c>
      <c r="V53" s="16"/>
      <c r="W53" s="16">
        <f t="shared" si="9"/>
        <v>0</v>
      </c>
      <c r="X53" s="15"/>
      <c r="Y53" s="16">
        <f t="shared" si="7"/>
        <v>0</v>
      </c>
      <c r="Z53" s="15"/>
      <c r="AA53" s="16">
        <f t="shared" si="8"/>
        <v>0</v>
      </c>
      <c r="AB53" s="16"/>
      <c r="AC53" s="16">
        <f t="shared" si="10"/>
        <v>0</v>
      </c>
      <c r="AD53" s="15"/>
      <c r="AE53" s="15"/>
      <c r="AF53" s="64">
        <f t="shared" si="11"/>
        <v>0</v>
      </c>
      <c r="AG53" s="17">
        <f t="shared" si="49"/>
        <v>0</v>
      </c>
      <c r="AH53" s="18"/>
    </row>
    <row r="54" spans="1:34" ht="21" x14ac:dyDescent="0.35">
      <c r="A54" s="52">
        <v>55</v>
      </c>
      <c r="B54" s="58"/>
      <c r="C54" s="52"/>
      <c r="D54" s="53"/>
      <c r="E54" s="74">
        <v>9</v>
      </c>
      <c r="F54" s="74"/>
      <c r="G54" s="15"/>
      <c r="H54" s="16">
        <f t="shared" si="0"/>
        <v>0</v>
      </c>
      <c r="I54" s="15"/>
      <c r="J54" s="16">
        <f t="shared" si="1"/>
        <v>0</v>
      </c>
      <c r="K54" s="15"/>
      <c r="L54" s="16">
        <f t="shared" si="2"/>
        <v>0</v>
      </c>
      <c r="M54" s="15"/>
      <c r="N54" s="15"/>
      <c r="O54" s="16">
        <f t="shared" si="3"/>
        <v>0</v>
      </c>
      <c r="P54" s="15"/>
      <c r="Q54" s="16">
        <f t="shared" si="4"/>
        <v>0</v>
      </c>
      <c r="R54" s="15"/>
      <c r="S54" s="15"/>
      <c r="T54" s="15"/>
      <c r="U54" s="16">
        <f t="shared" si="5"/>
        <v>0</v>
      </c>
      <c r="V54" s="16"/>
      <c r="W54" s="16">
        <f t="shared" si="9"/>
        <v>0</v>
      </c>
      <c r="X54" s="15"/>
      <c r="Y54" s="16">
        <f t="shared" si="7"/>
        <v>0</v>
      </c>
      <c r="Z54" s="15"/>
      <c r="AA54" s="16">
        <f t="shared" si="8"/>
        <v>0</v>
      </c>
      <c r="AB54" s="16"/>
      <c r="AC54" s="16">
        <f t="shared" si="10"/>
        <v>0</v>
      </c>
      <c r="AD54" s="15"/>
      <c r="AE54" s="15"/>
      <c r="AF54" s="64">
        <f t="shared" si="11"/>
        <v>0</v>
      </c>
      <c r="AG54" s="17">
        <f t="shared" si="49"/>
        <v>0</v>
      </c>
      <c r="AH54" s="18"/>
    </row>
    <row r="55" spans="1:34" ht="21" x14ac:dyDescent="0.35">
      <c r="A55" s="52">
        <v>56</v>
      </c>
      <c r="B55" s="58"/>
      <c r="C55" s="52"/>
      <c r="D55" s="53"/>
      <c r="E55" s="74">
        <v>9</v>
      </c>
      <c r="F55" s="74"/>
      <c r="G55" s="15"/>
      <c r="H55" s="16">
        <f t="shared" si="0"/>
        <v>0</v>
      </c>
      <c r="I55" s="15"/>
      <c r="J55" s="16">
        <f t="shared" si="1"/>
        <v>0</v>
      </c>
      <c r="K55" s="15"/>
      <c r="L55" s="16">
        <f t="shared" si="2"/>
        <v>0</v>
      </c>
      <c r="M55" s="15"/>
      <c r="N55" s="15"/>
      <c r="O55" s="16">
        <f t="shared" si="3"/>
        <v>0</v>
      </c>
      <c r="P55" s="15"/>
      <c r="Q55" s="16">
        <f t="shared" si="4"/>
        <v>0</v>
      </c>
      <c r="R55" s="15"/>
      <c r="S55" s="15"/>
      <c r="T55" s="15"/>
      <c r="U55" s="16">
        <f t="shared" si="5"/>
        <v>0</v>
      </c>
      <c r="V55" s="16"/>
      <c r="W55" s="16">
        <f t="shared" si="9"/>
        <v>0</v>
      </c>
      <c r="X55" s="15"/>
      <c r="Y55" s="16">
        <f t="shared" si="7"/>
        <v>0</v>
      </c>
      <c r="Z55" s="15"/>
      <c r="AA55" s="16">
        <f t="shared" si="8"/>
        <v>0</v>
      </c>
      <c r="AB55" s="16"/>
      <c r="AC55" s="16">
        <f t="shared" si="10"/>
        <v>0</v>
      </c>
      <c r="AD55" s="15"/>
      <c r="AE55" s="15"/>
      <c r="AF55" s="64">
        <f t="shared" si="11"/>
        <v>0</v>
      </c>
      <c r="AG55" s="17">
        <f t="shared" si="49"/>
        <v>0</v>
      </c>
      <c r="AH55" s="18"/>
    </row>
    <row r="56" spans="1:34" ht="21" x14ac:dyDescent="0.35">
      <c r="A56" s="52">
        <v>57</v>
      </c>
      <c r="B56" s="58"/>
      <c r="C56" s="52"/>
      <c r="D56" s="53"/>
      <c r="E56" s="12">
        <v>9</v>
      </c>
      <c r="F56" s="74"/>
      <c r="G56" s="15"/>
      <c r="H56" s="16">
        <f t="shared" si="0"/>
        <v>0</v>
      </c>
      <c r="I56" s="15"/>
      <c r="J56" s="16">
        <f t="shared" si="1"/>
        <v>0</v>
      </c>
      <c r="K56" s="15"/>
      <c r="L56" s="16">
        <f t="shared" si="2"/>
        <v>0</v>
      </c>
      <c r="M56" s="15"/>
      <c r="N56" s="15"/>
      <c r="O56" s="16">
        <f t="shared" si="3"/>
        <v>0</v>
      </c>
      <c r="P56" s="15"/>
      <c r="Q56" s="16">
        <f t="shared" si="4"/>
        <v>0</v>
      </c>
      <c r="R56" s="15"/>
      <c r="S56" s="15"/>
      <c r="T56" s="15"/>
      <c r="U56" s="16">
        <f t="shared" si="5"/>
        <v>0</v>
      </c>
      <c r="V56" s="16"/>
      <c r="W56" s="16">
        <f t="shared" si="9"/>
        <v>0</v>
      </c>
      <c r="X56" s="15"/>
      <c r="Y56" s="16">
        <f t="shared" si="7"/>
        <v>0</v>
      </c>
      <c r="Z56" s="15"/>
      <c r="AA56" s="16">
        <f t="shared" si="8"/>
        <v>0</v>
      </c>
      <c r="AB56" s="16"/>
      <c r="AC56" s="16">
        <f t="shared" si="10"/>
        <v>0</v>
      </c>
      <c r="AD56" s="15"/>
      <c r="AE56" s="15"/>
      <c r="AF56" s="64">
        <f t="shared" si="11"/>
        <v>0</v>
      </c>
      <c r="AG56" s="17">
        <f t="shared" si="49"/>
        <v>0</v>
      </c>
      <c r="AH56" s="18"/>
    </row>
    <row r="57" spans="1:34" ht="21" x14ac:dyDescent="0.35">
      <c r="A57" s="52">
        <v>58</v>
      </c>
      <c r="B57" s="58"/>
      <c r="C57" s="52"/>
      <c r="D57" s="53"/>
      <c r="E57" s="12">
        <v>9</v>
      </c>
      <c r="F57" s="74"/>
      <c r="G57" s="15"/>
      <c r="H57" s="16">
        <f t="shared" si="0"/>
        <v>0</v>
      </c>
      <c r="I57" s="15"/>
      <c r="J57" s="16">
        <f t="shared" si="1"/>
        <v>0</v>
      </c>
      <c r="K57" s="15"/>
      <c r="L57" s="16">
        <f t="shared" si="2"/>
        <v>0</v>
      </c>
      <c r="M57" s="15"/>
      <c r="N57" s="15"/>
      <c r="O57" s="16">
        <f t="shared" si="3"/>
        <v>0</v>
      </c>
      <c r="P57" s="15"/>
      <c r="Q57" s="16">
        <f t="shared" si="4"/>
        <v>0</v>
      </c>
      <c r="R57" s="15"/>
      <c r="S57" s="15"/>
      <c r="T57" s="15"/>
      <c r="U57" s="16">
        <f t="shared" si="5"/>
        <v>0</v>
      </c>
      <c r="V57" s="16"/>
      <c r="W57" s="16">
        <f t="shared" si="9"/>
        <v>0</v>
      </c>
      <c r="X57" s="15"/>
      <c r="Y57" s="16">
        <f t="shared" si="7"/>
        <v>0</v>
      </c>
      <c r="Z57" s="15"/>
      <c r="AA57" s="16">
        <f t="shared" si="8"/>
        <v>0</v>
      </c>
      <c r="AB57" s="16"/>
      <c r="AC57" s="16">
        <f t="shared" si="10"/>
        <v>0</v>
      </c>
      <c r="AD57" s="15"/>
      <c r="AE57" s="15"/>
      <c r="AF57" s="64">
        <f t="shared" si="11"/>
        <v>0</v>
      </c>
      <c r="AG57" s="17">
        <f t="shared" si="49"/>
        <v>0</v>
      </c>
      <c r="AH57" s="18"/>
    </row>
    <row r="58" spans="1:34" ht="21" x14ac:dyDescent="0.35">
      <c r="A58" s="52">
        <v>59</v>
      </c>
      <c r="B58" s="58"/>
      <c r="C58" s="52"/>
      <c r="D58" s="53"/>
      <c r="E58" s="12">
        <v>9</v>
      </c>
      <c r="F58" s="74"/>
      <c r="G58" s="15"/>
      <c r="H58" s="16">
        <f t="shared" si="0"/>
        <v>0</v>
      </c>
      <c r="I58" s="15"/>
      <c r="J58" s="16">
        <f t="shared" si="1"/>
        <v>0</v>
      </c>
      <c r="K58" s="15"/>
      <c r="L58" s="16">
        <f t="shared" si="2"/>
        <v>0</v>
      </c>
      <c r="M58" s="15"/>
      <c r="N58" s="15"/>
      <c r="O58" s="16">
        <f t="shared" si="3"/>
        <v>0</v>
      </c>
      <c r="P58" s="15"/>
      <c r="Q58" s="16">
        <f t="shared" si="4"/>
        <v>0</v>
      </c>
      <c r="R58" s="15"/>
      <c r="S58" s="15"/>
      <c r="T58" s="15"/>
      <c r="U58" s="16">
        <f t="shared" si="5"/>
        <v>0</v>
      </c>
      <c r="V58" s="16"/>
      <c r="W58" s="16">
        <f t="shared" si="9"/>
        <v>0</v>
      </c>
      <c r="X58" s="15"/>
      <c r="Y58" s="16">
        <f t="shared" si="7"/>
        <v>0</v>
      </c>
      <c r="Z58" s="15"/>
      <c r="AA58" s="16">
        <f t="shared" si="8"/>
        <v>0</v>
      </c>
      <c r="AB58" s="16"/>
      <c r="AC58" s="16">
        <f t="shared" si="10"/>
        <v>0</v>
      </c>
      <c r="AD58" s="15"/>
      <c r="AE58" s="15"/>
      <c r="AF58" s="64">
        <f t="shared" si="11"/>
        <v>0</v>
      </c>
      <c r="AG58" s="17">
        <f t="shared" si="49"/>
        <v>0</v>
      </c>
      <c r="AH58" s="18"/>
    </row>
    <row r="59" spans="1:34" ht="21" x14ac:dyDescent="0.35">
      <c r="A59" s="52">
        <v>60</v>
      </c>
      <c r="B59" s="58"/>
      <c r="C59" s="52"/>
      <c r="D59" s="52"/>
      <c r="E59" s="12">
        <v>9</v>
      </c>
      <c r="F59" s="74"/>
      <c r="G59" s="15"/>
      <c r="H59" s="16">
        <f t="shared" si="0"/>
        <v>0</v>
      </c>
      <c r="I59" s="15"/>
      <c r="J59" s="16">
        <f t="shared" si="1"/>
        <v>0</v>
      </c>
      <c r="K59" s="15"/>
      <c r="L59" s="16">
        <f t="shared" si="2"/>
        <v>0</v>
      </c>
      <c r="M59" s="15"/>
      <c r="N59" s="15"/>
      <c r="O59" s="16">
        <f t="shared" si="3"/>
        <v>0</v>
      </c>
      <c r="P59" s="15"/>
      <c r="Q59" s="16">
        <f t="shared" si="4"/>
        <v>0</v>
      </c>
      <c r="R59" s="15"/>
      <c r="S59" s="15"/>
      <c r="T59" s="15"/>
      <c r="U59" s="16">
        <f t="shared" si="5"/>
        <v>0</v>
      </c>
      <c r="V59" s="16"/>
      <c r="W59" s="16">
        <f t="shared" si="9"/>
        <v>0</v>
      </c>
      <c r="X59" s="15"/>
      <c r="Y59" s="16">
        <f t="shared" si="7"/>
        <v>0</v>
      </c>
      <c r="Z59" s="15"/>
      <c r="AA59" s="16">
        <f t="shared" si="8"/>
        <v>0</v>
      </c>
      <c r="AB59" s="16"/>
      <c r="AC59" s="16">
        <f t="shared" si="10"/>
        <v>0</v>
      </c>
      <c r="AD59" s="15"/>
      <c r="AE59" s="15"/>
      <c r="AF59" s="64">
        <f t="shared" si="11"/>
        <v>0</v>
      </c>
      <c r="AG59" s="17">
        <f t="shared" si="49"/>
        <v>0</v>
      </c>
      <c r="AH59" s="18"/>
    </row>
    <row r="60" spans="1:34" ht="21" x14ac:dyDescent="0.35">
      <c r="A60" s="52">
        <v>61</v>
      </c>
      <c r="B60" s="68"/>
      <c r="C60" s="52"/>
      <c r="D60" s="53"/>
      <c r="E60" s="12">
        <v>9</v>
      </c>
      <c r="F60" s="74"/>
      <c r="G60" s="15"/>
      <c r="H60" s="16">
        <f t="shared" si="0"/>
        <v>0</v>
      </c>
      <c r="I60" s="15"/>
      <c r="J60" s="16">
        <f t="shared" si="1"/>
        <v>0</v>
      </c>
      <c r="K60" s="15"/>
      <c r="L60" s="16">
        <f t="shared" si="2"/>
        <v>0</v>
      </c>
      <c r="M60" s="15"/>
      <c r="N60" s="15"/>
      <c r="O60" s="16">
        <f t="shared" si="3"/>
        <v>0</v>
      </c>
      <c r="P60" s="15"/>
      <c r="Q60" s="16">
        <f t="shared" si="4"/>
        <v>0</v>
      </c>
      <c r="R60" s="15"/>
      <c r="S60" s="15"/>
      <c r="T60" s="15"/>
      <c r="U60" s="16">
        <f t="shared" si="5"/>
        <v>0</v>
      </c>
      <c r="V60" s="16"/>
      <c r="W60" s="16">
        <f t="shared" si="9"/>
        <v>0</v>
      </c>
      <c r="X60" s="15"/>
      <c r="Y60" s="16">
        <f t="shared" si="7"/>
        <v>0</v>
      </c>
      <c r="Z60" s="15"/>
      <c r="AA60" s="16">
        <f t="shared" si="8"/>
        <v>0</v>
      </c>
      <c r="AB60" s="16"/>
      <c r="AC60" s="16">
        <f t="shared" si="10"/>
        <v>0</v>
      </c>
      <c r="AD60" s="15"/>
      <c r="AE60" s="15"/>
      <c r="AF60" s="64">
        <f t="shared" si="11"/>
        <v>0</v>
      </c>
      <c r="AG60" s="17">
        <f t="shared" si="49"/>
        <v>0</v>
      </c>
      <c r="AH60" s="18"/>
    </row>
    <row r="61" spans="1:34" ht="21" x14ac:dyDescent="0.35">
      <c r="A61" s="52">
        <v>62</v>
      </c>
      <c r="B61" s="68"/>
      <c r="C61" s="52"/>
      <c r="D61" s="53"/>
      <c r="E61" s="12">
        <v>9</v>
      </c>
      <c r="F61" s="12"/>
      <c r="G61" s="13"/>
      <c r="H61" s="14">
        <f t="shared" si="0"/>
        <v>0</v>
      </c>
      <c r="I61" s="15"/>
      <c r="J61" s="16">
        <f t="shared" si="1"/>
        <v>0</v>
      </c>
      <c r="K61" s="15"/>
      <c r="L61" s="16">
        <f t="shared" si="2"/>
        <v>0</v>
      </c>
      <c r="M61" s="15"/>
      <c r="N61" s="15"/>
      <c r="O61" s="16">
        <f t="shared" si="3"/>
        <v>0</v>
      </c>
      <c r="P61" s="15"/>
      <c r="Q61" s="16">
        <f t="shared" si="4"/>
        <v>0</v>
      </c>
      <c r="R61" s="15"/>
      <c r="S61" s="15"/>
      <c r="T61" s="15"/>
      <c r="U61" s="16">
        <f t="shared" si="5"/>
        <v>0</v>
      </c>
      <c r="V61" s="16"/>
      <c r="W61" s="16">
        <f t="shared" si="9"/>
        <v>0</v>
      </c>
      <c r="X61" s="15"/>
      <c r="Y61" s="16">
        <f t="shared" si="7"/>
        <v>0</v>
      </c>
      <c r="Z61" s="15"/>
      <c r="AA61" s="16">
        <f t="shared" si="8"/>
        <v>0</v>
      </c>
      <c r="AB61" s="16"/>
      <c r="AC61" s="16">
        <f t="shared" si="10"/>
        <v>0</v>
      </c>
      <c r="AD61" s="15"/>
      <c r="AE61" s="15"/>
      <c r="AF61" s="64">
        <f t="shared" si="11"/>
        <v>0</v>
      </c>
      <c r="AG61" s="17">
        <f t="shared" si="49"/>
        <v>0</v>
      </c>
      <c r="AH61" s="18"/>
    </row>
    <row r="62" spans="1:34" ht="21" x14ac:dyDescent="0.35">
      <c r="A62" s="52">
        <v>63</v>
      </c>
      <c r="B62" s="68"/>
      <c r="C62" s="52"/>
      <c r="D62" s="53"/>
      <c r="E62" s="12">
        <v>9</v>
      </c>
      <c r="F62" s="12"/>
      <c r="G62" s="13"/>
      <c r="H62" s="14">
        <f t="shared" ref="H62:H125" si="50">+F62/30*G62</f>
        <v>0</v>
      </c>
      <c r="I62" s="15"/>
      <c r="J62" s="16">
        <f t="shared" si="1"/>
        <v>0</v>
      </c>
      <c r="K62" s="15"/>
      <c r="L62" s="16">
        <f t="shared" ref="L62:L125" si="51">+K62*F62/30</f>
        <v>0</v>
      </c>
      <c r="M62" s="15"/>
      <c r="N62" s="15"/>
      <c r="O62" s="16">
        <f t="shared" si="3"/>
        <v>0</v>
      </c>
      <c r="P62" s="15"/>
      <c r="Q62" s="16">
        <f t="shared" ref="Q62:Q125" si="52">+F62/30/E62*P62</f>
        <v>0</v>
      </c>
      <c r="R62" s="15"/>
      <c r="S62" s="15"/>
      <c r="T62" s="15"/>
      <c r="U62" s="16">
        <f t="shared" ref="U62:U125" si="53">+F62/30*T62</f>
        <v>0</v>
      </c>
      <c r="V62" s="16"/>
      <c r="W62" s="16">
        <f t="shared" si="9"/>
        <v>0</v>
      </c>
      <c r="X62" s="15"/>
      <c r="Y62" s="16">
        <f t="shared" ref="Y62:Y125" si="54">+F62/30*X62*1</f>
        <v>0</v>
      </c>
      <c r="Z62" s="15"/>
      <c r="AA62" s="16">
        <f t="shared" ref="AA62:AA125" si="55">+(F62/30*Z62)*0.25</f>
        <v>0</v>
      </c>
      <c r="AB62" s="16"/>
      <c r="AC62" s="16">
        <f t="shared" si="10"/>
        <v>0</v>
      </c>
      <c r="AD62" s="15"/>
      <c r="AE62" s="15"/>
      <c r="AF62" s="64">
        <f t="shared" si="11"/>
        <v>0</v>
      </c>
      <c r="AG62" s="17">
        <f t="shared" si="49"/>
        <v>0</v>
      </c>
      <c r="AH62" s="18"/>
    </row>
    <row r="63" spans="1:34" ht="18.75" x14ac:dyDescent="0.3">
      <c r="A63" s="52">
        <v>64</v>
      </c>
      <c r="B63" s="52"/>
      <c r="C63" s="52"/>
      <c r="D63" s="53"/>
      <c r="E63" s="12">
        <v>9</v>
      </c>
      <c r="F63" s="12"/>
      <c r="G63" s="13"/>
      <c r="H63" s="14">
        <f t="shared" si="50"/>
        <v>0</v>
      </c>
      <c r="I63" s="15"/>
      <c r="J63" s="16">
        <f t="shared" si="1"/>
        <v>0</v>
      </c>
      <c r="K63" s="15"/>
      <c r="L63" s="16">
        <f t="shared" si="51"/>
        <v>0</v>
      </c>
      <c r="M63" s="15"/>
      <c r="N63" s="15"/>
      <c r="O63" s="16">
        <f t="shared" si="3"/>
        <v>0</v>
      </c>
      <c r="P63" s="15"/>
      <c r="Q63" s="16">
        <f t="shared" si="52"/>
        <v>0</v>
      </c>
      <c r="R63" s="15"/>
      <c r="S63" s="15"/>
      <c r="T63" s="15"/>
      <c r="U63" s="16">
        <f t="shared" si="53"/>
        <v>0</v>
      </c>
      <c r="V63" s="16"/>
      <c r="W63" s="16">
        <f t="shared" ref="W63:W126" si="56">+H63/30*V63</f>
        <v>0</v>
      </c>
      <c r="X63" s="15"/>
      <c r="Y63" s="16">
        <f t="shared" si="54"/>
        <v>0</v>
      </c>
      <c r="Z63" s="15"/>
      <c r="AA63" s="16">
        <f t="shared" si="55"/>
        <v>0</v>
      </c>
      <c r="AB63" s="16"/>
      <c r="AC63" s="16">
        <f t="shared" ref="AC63:AC126" si="57">AB63*11%</f>
        <v>0</v>
      </c>
      <c r="AD63" s="15"/>
      <c r="AE63" s="15"/>
      <c r="AF63" s="64">
        <f t="shared" si="11"/>
        <v>0</v>
      </c>
      <c r="AG63" s="17">
        <f t="shared" si="49"/>
        <v>0</v>
      </c>
      <c r="AH63" s="18"/>
    </row>
    <row r="64" spans="1:34" ht="18.75" x14ac:dyDescent="0.3">
      <c r="A64" s="52">
        <v>65</v>
      </c>
      <c r="B64" s="52"/>
      <c r="C64" s="52"/>
      <c r="D64" s="53"/>
      <c r="E64" s="12">
        <v>9</v>
      </c>
      <c r="F64" s="12"/>
      <c r="G64" s="13"/>
      <c r="H64" s="14">
        <f t="shared" si="50"/>
        <v>0</v>
      </c>
      <c r="I64" s="15"/>
      <c r="J64" s="16">
        <f t="shared" ref="J64:J82" si="58">+I64*F64/30/E64</f>
        <v>0</v>
      </c>
      <c r="K64" s="15"/>
      <c r="L64" s="16">
        <f t="shared" si="51"/>
        <v>0</v>
      </c>
      <c r="M64" s="15"/>
      <c r="N64" s="15"/>
      <c r="O64" s="16">
        <f t="shared" ref="O64:O127" si="59">+N64+M64+L64+J64+H64</f>
        <v>0</v>
      </c>
      <c r="P64" s="15"/>
      <c r="Q64" s="16">
        <f t="shared" si="52"/>
        <v>0</v>
      </c>
      <c r="R64" s="15"/>
      <c r="S64" s="15"/>
      <c r="T64" s="15"/>
      <c r="U64" s="16">
        <f t="shared" si="53"/>
        <v>0</v>
      </c>
      <c r="V64" s="16"/>
      <c r="W64" s="16">
        <f t="shared" si="56"/>
        <v>0</v>
      </c>
      <c r="X64" s="15"/>
      <c r="Y64" s="16">
        <f t="shared" si="54"/>
        <v>0</v>
      </c>
      <c r="Z64" s="15"/>
      <c r="AA64" s="16">
        <f t="shared" si="55"/>
        <v>0</v>
      </c>
      <c r="AB64" s="16"/>
      <c r="AC64" s="16">
        <f t="shared" si="57"/>
        <v>0</v>
      </c>
      <c r="AD64" s="15"/>
      <c r="AE64" s="15"/>
      <c r="AF64" s="64">
        <f t="shared" si="11"/>
        <v>0</v>
      </c>
      <c r="AG64" s="17">
        <f t="shared" si="49"/>
        <v>0</v>
      </c>
      <c r="AH64" s="18"/>
    </row>
    <row r="65" spans="1:34" ht="18.75" x14ac:dyDescent="0.3">
      <c r="A65" s="52">
        <v>66</v>
      </c>
      <c r="B65" s="52"/>
      <c r="C65" s="52"/>
      <c r="D65" s="53"/>
      <c r="E65" s="12">
        <v>9</v>
      </c>
      <c r="F65" s="12"/>
      <c r="G65" s="13"/>
      <c r="H65" s="14">
        <f t="shared" si="50"/>
        <v>0</v>
      </c>
      <c r="I65" s="15"/>
      <c r="J65" s="16">
        <f t="shared" si="58"/>
        <v>0</v>
      </c>
      <c r="K65" s="15"/>
      <c r="L65" s="16">
        <f t="shared" si="51"/>
        <v>0</v>
      </c>
      <c r="M65" s="15"/>
      <c r="N65" s="15"/>
      <c r="O65" s="16">
        <f t="shared" si="59"/>
        <v>0</v>
      </c>
      <c r="P65" s="15"/>
      <c r="Q65" s="16">
        <f t="shared" si="52"/>
        <v>0</v>
      </c>
      <c r="R65" s="15"/>
      <c r="S65" s="15"/>
      <c r="T65" s="15"/>
      <c r="U65" s="16">
        <f t="shared" si="53"/>
        <v>0</v>
      </c>
      <c r="V65" s="16"/>
      <c r="W65" s="16">
        <f t="shared" si="56"/>
        <v>0</v>
      </c>
      <c r="X65" s="15"/>
      <c r="Y65" s="16">
        <f t="shared" si="54"/>
        <v>0</v>
      </c>
      <c r="Z65" s="15"/>
      <c r="AA65" s="16">
        <f t="shared" si="55"/>
        <v>0</v>
      </c>
      <c r="AB65" s="16"/>
      <c r="AC65" s="16">
        <f t="shared" si="57"/>
        <v>0</v>
      </c>
      <c r="AD65" s="15"/>
      <c r="AE65" s="15"/>
      <c r="AF65" s="64">
        <f t="shared" ref="AF65:AF128" si="60">+AE65+AD65+Y65+U65+R65+Q65+AA65+S65+W65+AC65</f>
        <v>0</v>
      </c>
      <c r="AG65" s="17">
        <f t="shared" ref="AG65:AG128" si="61">+O65-AF65</f>
        <v>0</v>
      </c>
      <c r="AH65" s="18"/>
    </row>
    <row r="66" spans="1:34" ht="18.75" x14ac:dyDescent="0.3">
      <c r="A66" s="52">
        <v>67</v>
      </c>
      <c r="B66" s="52"/>
      <c r="C66" s="52"/>
      <c r="D66" s="53"/>
      <c r="E66" s="12">
        <v>9</v>
      </c>
      <c r="F66" s="12"/>
      <c r="G66" s="13"/>
      <c r="H66" s="14">
        <f t="shared" si="50"/>
        <v>0</v>
      </c>
      <c r="I66" s="15"/>
      <c r="J66" s="16">
        <f t="shared" si="58"/>
        <v>0</v>
      </c>
      <c r="K66" s="15"/>
      <c r="L66" s="16">
        <f t="shared" si="51"/>
        <v>0</v>
      </c>
      <c r="M66" s="15"/>
      <c r="N66" s="15"/>
      <c r="O66" s="16">
        <f t="shared" si="59"/>
        <v>0</v>
      </c>
      <c r="P66" s="15"/>
      <c r="Q66" s="16">
        <f t="shared" si="52"/>
        <v>0</v>
      </c>
      <c r="R66" s="15"/>
      <c r="S66" s="15"/>
      <c r="T66" s="15"/>
      <c r="U66" s="16">
        <f t="shared" si="53"/>
        <v>0</v>
      </c>
      <c r="V66" s="16"/>
      <c r="W66" s="16">
        <f t="shared" si="56"/>
        <v>0</v>
      </c>
      <c r="X66" s="15"/>
      <c r="Y66" s="16">
        <f t="shared" si="54"/>
        <v>0</v>
      </c>
      <c r="Z66" s="15"/>
      <c r="AA66" s="16">
        <f t="shared" si="55"/>
        <v>0</v>
      </c>
      <c r="AB66" s="16"/>
      <c r="AC66" s="16">
        <f t="shared" si="57"/>
        <v>0</v>
      </c>
      <c r="AD66" s="15"/>
      <c r="AE66" s="15"/>
      <c r="AF66" s="64">
        <f t="shared" si="60"/>
        <v>0</v>
      </c>
      <c r="AG66" s="17">
        <f t="shared" si="61"/>
        <v>0</v>
      </c>
      <c r="AH66" s="18"/>
    </row>
    <row r="67" spans="1:34" ht="18.75" x14ac:dyDescent="0.25">
      <c r="A67" s="52">
        <v>68</v>
      </c>
      <c r="B67" s="52"/>
      <c r="C67" s="52"/>
      <c r="D67" s="52"/>
      <c r="E67" s="12">
        <v>9</v>
      </c>
      <c r="F67" s="12"/>
      <c r="G67" s="13"/>
      <c r="H67" s="14">
        <f t="shared" si="50"/>
        <v>0</v>
      </c>
      <c r="I67" s="15"/>
      <c r="J67" s="16">
        <f t="shared" si="58"/>
        <v>0</v>
      </c>
      <c r="K67" s="15"/>
      <c r="L67" s="16">
        <f t="shared" si="51"/>
        <v>0</v>
      </c>
      <c r="M67" s="15"/>
      <c r="N67" s="15"/>
      <c r="O67" s="16">
        <f t="shared" si="59"/>
        <v>0</v>
      </c>
      <c r="P67" s="15"/>
      <c r="Q67" s="16">
        <f t="shared" si="52"/>
        <v>0</v>
      </c>
      <c r="R67" s="15"/>
      <c r="S67" s="15"/>
      <c r="T67" s="15"/>
      <c r="U67" s="16">
        <f t="shared" si="53"/>
        <v>0</v>
      </c>
      <c r="V67" s="16"/>
      <c r="W67" s="16">
        <f t="shared" si="56"/>
        <v>0</v>
      </c>
      <c r="X67" s="15"/>
      <c r="Y67" s="16">
        <f t="shared" si="54"/>
        <v>0</v>
      </c>
      <c r="Z67" s="15"/>
      <c r="AA67" s="16">
        <f t="shared" si="55"/>
        <v>0</v>
      </c>
      <c r="AB67" s="16"/>
      <c r="AC67" s="16">
        <f t="shared" si="57"/>
        <v>0</v>
      </c>
      <c r="AD67" s="15"/>
      <c r="AE67" s="15"/>
      <c r="AF67" s="64">
        <f t="shared" si="60"/>
        <v>0</v>
      </c>
      <c r="AG67" s="17">
        <f t="shared" si="61"/>
        <v>0</v>
      </c>
      <c r="AH67" s="18"/>
    </row>
    <row r="68" spans="1:34" ht="18.75" x14ac:dyDescent="0.3">
      <c r="A68" s="52">
        <v>69</v>
      </c>
      <c r="B68" s="52"/>
      <c r="C68" s="52"/>
      <c r="D68" s="53"/>
      <c r="E68" s="12">
        <v>9</v>
      </c>
      <c r="F68" s="12"/>
      <c r="G68" s="13"/>
      <c r="H68" s="14">
        <f t="shared" si="50"/>
        <v>0</v>
      </c>
      <c r="I68" s="15"/>
      <c r="J68" s="16">
        <f t="shared" si="58"/>
        <v>0</v>
      </c>
      <c r="K68" s="15"/>
      <c r="L68" s="16">
        <f t="shared" si="51"/>
        <v>0</v>
      </c>
      <c r="M68" s="15"/>
      <c r="N68" s="15"/>
      <c r="O68" s="16">
        <f t="shared" si="59"/>
        <v>0</v>
      </c>
      <c r="P68" s="63"/>
      <c r="Q68" s="16">
        <f t="shared" si="52"/>
        <v>0</v>
      </c>
      <c r="R68" s="15"/>
      <c r="S68" s="15"/>
      <c r="T68" s="15"/>
      <c r="U68" s="16">
        <f t="shared" si="53"/>
        <v>0</v>
      </c>
      <c r="V68" s="16"/>
      <c r="W68" s="16">
        <f t="shared" si="56"/>
        <v>0</v>
      </c>
      <c r="X68" s="15"/>
      <c r="Y68" s="16">
        <f t="shared" si="54"/>
        <v>0</v>
      </c>
      <c r="Z68" s="15"/>
      <c r="AA68" s="16">
        <f t="shared" si="55"/>
        <v>0</v>
      </c>
      <c r="AB68" s="16"/>
      <c r="AC68" s="16">
        <f t="shared" si="57"/>
        <v>0</v>
      </c>
      <c r="AD68" s="15"/>
      <c r="AE68" s="15"/>
      <c r="AF68" s="64">
        <f t="shared" si="60"/>
        <v>0</v>
      </c>
      <c r="AG68" s="17">
        <f t="shared" si="61"/>
        <v>0</v>
      </c>
      <c r="AH68" s="18"/>
    </row>
    <row r="69" spans="1:34" ht="18.75" x14ac:dyDescent="0.3">
      <c r="A69" s="52">
        <v>70</v>
      </c>
      <c r="B69" s="52"/>
      <c r="C69" s="52"/>
      <c r="D69" s="53"/>
      <c r="E69" s="12">
        <v>9</v>
      </c>
      <c r="F69" s="12"/>
      <c r="G69" s="13"/>
      <c r="H69" s="14">
        <f t="shared" si="50"/>
        <v>0</v>
      </c>
      <c r="I69" s="15"/>
      <c r="J69" s="16">
        <f t="shared" si="58"/>
        <v>0</v>
      </c>
      <c r="K69" s="15"/>
      <c r="L69" s="16">
        <f t="shared" si="51"/>
        <v>0</v>
      </c>
      <c r="M69" s="15"/>
      <c r="N69" s="15"/>
      <c r="O69" s="16">
        <f t="shared" si="59"/>
        <v>0</v>
      </c>
      <c r="P69" s="15"/>
      <c r="Q69" s="16">
        <f t="shared" si="52"/>
        <v>0</v>
      </c>
      <c r="R69" s="15"/>
      <c r="S69" s="15"/>
      <c r="T69" s="15"/>
      <c r="U69" s="16">
        <f t="shared" si="53"/>
        <v>0</v>
      </c>
      <c r="V69" s="16"/>
      <c r="W69" s="16">
        <f t="shared" si="56"/>
        <v>0</v>
      </c>
      <c r="X69" s="15"/>
      <c r="Y69" s="16">
        <f t="shared" si="54"/>
        <v>0</v>
      </c>
      <c r="Z69" s="15"/>
      <c r="AA69" s="16">
        <f t="shared" si="55"/>
        <v>0</v>
      </c>
      <c r="AB69" s="16"/>
      <c r="AC69" s="16">
        <f t="shared" si="57"/>
        <v>0</v>
      </c>
      <c r="AD69" s="15"/>
      <c r="AE69" s="15"/>
      <c r="AF69" s="64">
        <f t="shared" si="60"/>
        <v>0</v>
      </c>
      <c r="AG69" s="17">
        <f t="shared" si="61"/>
        <v>0</v>
      </c>
      <c r="AH69" s="18"/>
    </row>
    <row r="70" spans="1:34" ht="18.75" x14ac:dyDescent="0.3">
      <c r="A70" s="52">
        <v>71</v>
      </c>
      <c r="B70" s="52"/>
      <c r="C70" s="52"/>
      <c r="D70" s="53"/>
      <c r="E70" s="12">
        <v>9</v>
      </c>
      <c r="F70" s="12"/>
      <c r="G70" s="13"/>
      <c r="H70" s="14">
        <f t="shared" si="50"/>
        <v>0</v>
      </c>
      <c r="I70" s="15"/>
      <c r="J70" s="16">
        <f t="shared" si="58"/>
        <v>0</v>
      </c>
      <c r="K70" s="15"/>
      <c r="L70" s="16">
        <f t="shared" si="51"/>
        <v>0</v>
      </c>
      <c r="M70" s="15"/>
      <c r="N70" s="15"/>
      <c r="O70" s="16">
        <f t="shared" si="59"/>
        <v>0</v>
      </c>
      <c r="P70" s="15"/>
      <c r="Q70" s="16">
        <f t="shared" si="52"/>
        <v>0</v>
      </c>
      <c r="R70" s="15"/>
      <c r="S70" s="15"/>
      <c r="T70" s="15"/>
      <c r="U70" s="16">
        <f t="shared" si="53"/>
        <v>0</v>
      </c>
      <c r="V70" s="16"/>
      <c r="W70" s="16">
        <f t="shared" si="56"/>
        <v>0</v>
      </c>
      <c r="X70" s="15"/>
      <c r="Y70" s="16">
        <f t="shared" si="54"/>
        <v>0</v>
      </c>
      <c r="Z70" s="15"/>
      <c r="AA70" s="16">
        <f t="shared" si="55"/>
        <v>0</v>
      </c>
      <c r="AB70" s="16"/>
      <c r="AC70" s="16">
        <f t="shared" si="57"/>
        <v>0</v>
      </c>
      <c r="AD70" s="15"/>
      <c r="AE70" s="15"/>
      <c r="AF70" s="64">
        <f t="shared" si="60"/>
        <v>0</v>
      </c>
      <c r="AG70" s="17">
        <f t="shared" si="61"/>
        <v>0</v>
      </c>
      <c r="AH70" s="18"/>
    </row>
    <row r="71" spans="1:34" ht="18.75" x14ac:dyDescent="0.25">
      <c r="A71" s="52">
        <v>72</v>
      </c>
      <c r="B71" s="52"/>
      <c r="C71" s="52"/>
      <c r="D71" s="52"/>
      <c r="E71" s="12">
        <v>9</v>
      </c>
      <c r="F71" s="12"/>
      <c r="G71" s="13"/>
      <c r="H71" s="14">
        <f t="shared" si="50"/>
        <v>0</v>
      </c>
      <c r="I71" s="15"/>
      <c r="J71" s="16">
        <f t="shared" si="58"/>
        <v>0</v>
      </c>
      <c r="K71" s="15"/>
      <c r="L71" s="16">
        <f t="shared" si="51"/>
        <v>0</v>
      </c>
      <c r="M71" s="15"/>
      <c r="N71" s="15"/>
      <c r="O71" s="16">
        <f t="shared" si="59"/>
        <v>0</v>
      </c>
      <c r="P71" s="15"/>
      <c r="Q71" s="16">
        <f t="shared" si="52"/>
        <v>0</v>
      </c>
      <c r="R71" s="15"/>
      <c r="S71" s="15"/>
      <c r="T71" s="15"/>
      <c r="U71" s="16">
        <f t="shared" si="53"/>
        <v>0</v>
      </c>
      <c r="V71" s="16"/>
      <c r="W71" s="16">
        <f t="shared" si="56"/>
        <v>0</v>
      </c>
      <c r="X71" s="15"/>
      <c r="Y71" s="16">
        <f t="shared" si="54"/>
        <v>0</v>
      </c>
      <c r="Z71" s="15"/>
      <c r="AA71" s="16">
        <f t="shared" si="55"/>
        <v>0</v>
      </c>
      <c r="AB71" s="16"/>
      <c r="AC71" s="16">
        <f t="shared" si="57"/>
        <v>0</v>
      </c>
      <c r="AD71" s="15"/>
      <c r="AE71" s="15"/>
      <c r="AF71" s="64">
        <f t="shared" si="60"/>
        <v>0</v>
      </c>
      <c r="AG71" s="17">
        <f t="shared" si="61"/>
        <v>0</v>
      </c>
      <c r="AH71" s="18"/>
    </row>
    <row r="72" spans="1:34" ht="18.75" x14ac:dyDescent="0.3">
      <c r="A72" s="52">
        <v>73</v>
      </c>
      <c r="B72" s="52"/>
      <c r="C72" s="52"/>
      <c r="D72" s="53"/>
      <c r="E72" s="12">
        <v>9</v>
      </c>
      <c r="F72" s="12"/>
      <c r="G72" s="13"/>
      <c r="H72" s="14">
        <f t="shared" si="50"/>
        <v>0</v>
      </c>
      <c r="I72" s="15"/>
      <c r="J72" s="16">
        <f t="shared" si="58"/>
        <v>0</v>
      </c>
      <c r="K72" s="15"/>
      <c r="L72" s="16">
        <f t="shared" si="51"/>
        <v>0</v>
      </c>
      <c r="M72" s="15"/>
      <c r="N72" s="15"/>
      <c r="O72" s="16">
        <f t="shared" si="59"/>
        <v>0</v>
      </c>
      <c r="P72" s="15"/>
      <c r="Q72" s="16">
        <f t="shared" si="52"/>
        <v>0</v>
      </c>
      <c r="R72" s="15"/>
      <c r="S72" s="15"/>
      <c r="T72" s="15"/>
      <c r="U72" s="16">
        <f t="shared" si="53"/>
        <v>0</v>
      </c>
      <c r="V72" s="16"/>
      <c r="W72" s="16">
        <f t="shared" si="56"/>
        <v>0</v>
      </c>
      <c r="X72" s="15"/>
      <c r="Y72" s="16">
        <f t="shared" si="54"/>
        <v>0</v>
      </c>
      <c r="Z72" s="15"/>
      <c r="AA72" s="16">
        <f t="shared" si="55"/>
        <v>0</v>
      </c>
      <c r="AB72" s="16"/>
      <c r="AC72" s="16">
        <f t="shared" si="57"/>
        <v>0</v>
      </c>
      <c r="AD72" s="15"/>
      <c r="AE72" s="15"/>
      <c r="AF72" s="64">
        <f t="shared" si="60"/>
        <v>0</v>
      </c>
      <c r="AG72" s="17">
        <f t="shared" si="61"/>
        <v>0</v>
      </c>
      <c r="AH72" s="18"/>
    </row>
    <row r="73" spans="1:34" ht="21" x14ac:dyDescent="0.3">
      <c r="A73" s="52">
        <v>74</v>
      </c>
      <c r="B73" s="56"/>
      <c r="C73" s="52"/>
      <c r="D73" s="53"/>
      <c r="E73" s="12">
        <v>9</v>
      </c>
      <c r="F73" s="12"/>
      <c r="G73" s="13"/>
      <c r="H73" s="14">
        <f t="shared" si="50"/>
        <v>0</v>
      </c>
      <c r="I73" s="15"/>
      <c r="J73" s="16">
        <f t="shared" si="58"/>
        <v>0</v>
      </c>
      <c r="K73" s="15"/>
      <c r="L73" s="16">
        <f t="shared" si="51"/>
        <v>0</v>
      </c>
      <c r="M73" s="15"/>
      <c r="N73" s="15"/>
      <c r="O73" s="16">
        <f t="shared" si="59"/>
        <v>0</v>
      </c>
      <c r="P73" s="15"/>
      <c r="Q73" s="16">
        <f t="shared" si="52"/>
        <v>0</v>
      </c>
      <c r="R73" s="15"/>
      <c r="S73" s="15"/>
      <c r="T73" s="15"/>
      <c r="U73" s="16">
        <f t="shared" si="53"/>
        <v>0</v>
      </c>
      <c r="V73" s="16"/>
      <c r="W73" s="16">
        <f t="shared" si="56"/>
        <v>0</v>
      </c>
      <c r="X73" s="15"/>
      <c r="Y73" s="16">
        <f t="shared" si="54"/>
        <v>0</v>
      </c>
      <c r="Z73" s="15"/>
      <c r="AA73" s="16">
        <f t="shared" si="55"/>
        <v>0</v>
      </c>
      <c r="AB73" s="16"/>
      <c r="AC73" s="16">
        <f t="shared" si="57"/>
        <v>0</v>
      </c>
      <c r="AD73" s="15"/>
      <c r="AE73" s="15"/>
      <c r="AF73" s="64">
        <f t="shared" si="60"/>
        <v>0</v>
      </c>
      <c r="AG73" s="17">
        <f t="shared" si="61"/>
        <v>0</v>
      </c>
      <c r="AH73" s="18"/>
    </row>
    <row r="74" spans="1:34" ht="18.75" x14ac:dyDescent="0.3">
      <c r="A74" s="52">
        <v>75</v>
      </c>
      <c r="B74" s="52"/>
      <c r="C74" s="52"/>
      <c r="D74" s="53"/>
      <c r="E74" s="12">
        <v>9</v>
      </c>
      <c r="F74" s="12"/>
      <c r="G74" s="13"/>
      <c r="H74" s="14">
        <f t="shared" si="50"/>
        <v>0</v>
      </c>
      <c r="I74" s="15"/>
      <c r="J74" s="16">
        <f t="shared" si="58"/>
        <v>0</v>
      </c>
      <c r="K74" s="15"/>
      <c r="L74" s="16">
        <f t="shared" si="51"/>
        <v>0</v>
      </c>
      <c r="M74" s="15"/>
      <c r="N74" s="15"/>
      <c r="O74" s="16">
        <f t="shared" si="59"/>
        <v>0</v>
      </c>
      <c r="P74" s="15"/>
      <c r="Q74" s="16">
        <f t="shared" si="52"/>
        <v>0</v>
      </c>
      <c r="R74" s="15"/>
      <c r="S74" s="15"/>
      <c r="T74" s="15"/>
      <c r="U74" s="16">
        <f t="shared" si="53"/>
        <v>0</v>
      </c>
      <c r="V74" s="16"/>
      <c r="W74" s="16">
        <f t="shared" si="56"/>
        <v>0</v>
      </c>
      <c r="X74" s="15"/>
      <c r="Y74" s="16">
        <f t="shared" si="54"/>
        <v>0</v>
      </c>
      <c r="Z74" s="15"/>
      <c r="AA74" s="16">
        <f t="shared" si="55"/>
        <v>0</v>
      </c>
      <c r="AB74" s="16"/>
      <c r="AC74" s="16">
        <f t="shared" si="57"/>
        <v>0</v>
      </c>
      <c r="AD74" s="15"/>
      <c r="AE74" s="15"/>
      <c r="AF74" s="64">
        <f t="shared" si="60"/>
        <v>0</v>
      </c>
      <c r="AG74" s="17">
        <f t="shared" si="61"/>
        <v>0</v>
      </c>
      <c r="AH74" s="18"/>
    </row>
    <row r="75" spans="1:34" ht="18.75" x14ac:dyDescent="0.3">
      <c r="A75" s="52">
        <v>76</v>
      </c>
      <c r="B75" s="52"/>
      <c r="C75" s="52"/>
      <c r="D75" s="53"/>
      <c r="E75" s="12">
        <v>9</v>
      </c>
      <c r="F75" s="12"/>
      <c r="G75" s="13"/>
      <c r="H75" s="14">
        <f t="shared" si="50"/>
        <v>0</v>
      </c>
      <c r="I75" s="15"/>
      <c r="J75" s="16">
        <f t="shared" si="58"/>
        <v>0</v>
      </c>
      <c r="K75" s="15"/>
      <c r="L75" s="16">
        <f t="shared" si="51"/>
        <v>0</v>
      </c>
      <c r="M75" s="15"/>
      <c r="N75" s="15"/>
      <c r="O75" s="16">
        <f t="shared" si="59"/>
        <v>0</v>
      </c>
      <c r="P75" s="15"/>
      <c r="Q75" s="16">
        <f t="shared" si="52"/>
        <v>0</v>
      </c>
      <c r="R75" s="15"/>
      <c r="S75" s="15"/>
      <c r="T75" s="15"/>
      <c r="U75" s="16">
        <f t="shared" si="53"/>
        <v>0</v>
      </c>
      <c r="V75" s="16"/>
      <c r="W75" s="16">
        <f t="shared" si="56"/>
        <v>0</v>
      </c>
      <c r="X75" s="15"/>
      <c r="Y75" s="16">
        <f t="shared" si="54"/>
        <v>0</v>
      </c>
      <c r="Z75" s="15"/>
      <c r="AA75" s="16">
        <f t="shared" si="55"/>
        <v>0</v>
      </c>
      <c r="AB75" s="16"/>
      <c r="AC75" s="16">
        <f t="shared" si="57"/>
        <v>0</v>
      </c>
      <c r="AD75" s="15"/>
      <c r="AE75" s="15"/>
      <c r="AF75" s="64">
        <f t="shared" si="60"/>
        <v>0</v>
      </c>
      <c r="AG75" s="17">
        <f t="shared" si="61"/>
        <v>0</v>
      </c>
      <c r="AH75" s="18"/>
    </row>
    <row r="76" spans="1:34" ht="18.75" x14ac:dyDescent="0.3">
      <c r="A76" s="52">
        <v>77</v>
      </c>
      <c r="B76" s="52"/>
      <c r="C76" s="52"/>
      <c r="D76" s="53"/>
      <c r="E76" s="12">
        <v>9</v>
      </c>
      <c r="F76" s="12"/>
      <c r="G76" s="13"/>
      <c r="H76" s="14">
        <f t="shared" si="50"/>
        <v>0</v>
      </c>
      <c r="I76" s="15"/>
      <c r="J76" s="16">
        <f t="shared" si="58"/>
        <v>0</v>
      </c>
      <c r="K76" s="15"/>
      <c r="L76" s="16">
        <f t="shared" si="51"/>
        <v>0</v>
      </c>
      <c r="M76" s="15"/>
      <c r="N76" s="15"/>
      <c r="O76" s="16">
        <f t="shared" si="59"/>
        <v>0</v>
      </c>
      <c r="P76" s="15"/>
      <c r="Q76" s="16">
        <f t="shared" si="52"/>
        <v>0</v>
      </c>
      <c r="R76" s="15"/>
      <c r="S76" s="15"/>
      <c r="T76" s="15"/>
      <c r="U76" s="16">
        <f t="shared" si="53"/>
        <v>0</v>
      </c>
      <c r="V76" s="16"/>
      <c r="W76" s="16">
        <f t="shared" si="56"/>
        <v>0</v>
      </c>
      <c r="X76" s="15"/>
      <c r="Y76" s="16">
        <f t="shared" si="54"/>
        <v>0</v>
      </c>
      <c r="Z76" s="15"/>
      <c r="AA76" s="16">
        <f t="shared" si="55"/>
        <v>0</v>
      </c>
      <c r="AB76" s="16"/>
      <c r="AC76" s="16">
        <f t="shared" si="57"/>
        <v>0</v>
      </c>
      <c r="AD76" s="15"/>
      <c r="AE76" s="15"/>
      <c r="AF76" s="64">
        <f t="shared" si="60"/>
        <v>0</v>
      </c>
      <c r="AG76" s="17">
        <f t="shared" si="61"/>
        <v>0</v>
      </c>
      <c r="AH76" s="18"/>
    </row>
    <row r="77" spans="1:34" ht="18.75" x14ac:dyDescent="0.3">
      <c r="A77" s="52">
        <v>78</v>
      </c>
      <c r="B77" s="52"/>
      <c r="C77" s="52"/>
      <c r="D77" s="53"/>
      <c r="E77" s="12">
        <v>9</v>
      </c>
      <c r="F77" s="12"/>
      <c r="G77" s="13"/>
      <c r="H77" s="14">
        <f t="shared" si="50"/>
        <v>0</v>
      </c>
      <c r="I77" s="15"/>
      <c r="J77" s="16">
        <f t="shared" si="58"/>
        <v>0</v>
      </c>
      <c r="K77" s="15"/>
      <c r="L77" s="16">
        <f t="shared" si="51"/>
        <v>0</v>
      </c>
      <c r="M77" s="15"/>
      <c r="N77" s="15"/>
      <c r="O77" s="16">
        <f t="shared" si="59"/>
        <v>0</v>
      </c>
      <c r="P77" s="15"/>
      <c r="Q77" s="16">
        <f t="shared" si="52"/>
        <v>0</v>
      </c>
      <c r="R77" s="15"/>
      <c r="S77" s="15"/>
      <c r="T77" s="15"/>
      <c r="U77" s="16">
        <f t="shared" si="53"/>
        <v>0</v>
      </c>
      <c r="V77" s="16"/>
      <c r="W77" s="16">
        <f t="shared" si="56"/>
        <v>0</v>
      </c>
      <c r="X77" s="15"/>
      <c r="Y77" s="16">
        <f t="shared" si="54"/>
        <v>0</v>
      </c>
      <c r="Z77" s="15"/>
      <c r="AA77" s="16">
        <f t="shared" si="55"/>
        <v>0</v>
      </c>
      <c r="AB77" s="16"/>
      <c r="AC77" s="16">
        <f t="shared" si="57"/>
        <v>0</v>
      </c>
      <c r="AD77" s="15"/>
      <c r="AE77" s="15"/>
      <c r="AF77" s="64">
        <f t="shared" si="60"/>
        <v>0</v>
      </c>
      <c r="AG77" s="17">
        <f t="shared" si="61"/>
        <v>0</v>
      </c>
      <c r="AH77" s="18"/>
    </row>
    <row r="78" spans="1:34" ht="18.75" x14ac:dyDescent="0.3">
      <c r="A78" s="52">
        <v>79</v>
      </c>
      <c r="B78" s="52"/>
      <c r="C78" s="52"/>
      <c r="D78" s="53"/>
      <c r="E78" s="12">
        <v>9</v>
      </c>
      <c r="F78" s="12"/>
      <c r="G78" s="13"/>
      <c r="H78" s="14">
        <f t="shared" si="50"/>
        <v>0</v>
      </c>
      <c r="I78" s="15"/>
      <c r="J78" s="16">
        <f t="shared" si="58"/>
        <v>0</v>
      </c>
      <c r="K78" s="15"/>
      <c r="L78" s="16">
        <f t="shared" si="51"/>
        <v>0</v>
      </c>
      <c r="M78" s="15"/>
      <c r="N78" s="15"/>
      <c r="O78" s="16">
        <f t="shared" si="59"/>
        <v>0</v>
      </c>
      <c r="P78" s="15"/>
      <c r="Q78" s="16">
        <f t="shared" si="52"/>
        <v>0</v>
      </c>
      <c r="R78" s="15"/>
      <c r="S78" s="15"/>
      <c r="T78" s="15"/>
      <c r="U78" s="16">
        <f t="shared" si="53"/>
        <v>0</v>
      </c>
      <c r="V78" s="16"/>
      <c r="W78" s="16">
        <f t="shared" si="56"/>
        <v>0</v>
      </c>
      <c r="X78" s="15"/>
      <c r="Y78" s="16">
        <f t="shared" si="54"/>
        <v>0</v>
      </c>
      <c r="Z78" s="15"/>
      <c r="AA78" s="16">
        <f t="shared" si="55"/>
        <v>0</v>
      </c>
      <c r="AB78" s="16"/>
      <c r="AC78" s="16">
        <f t="shared" si="57"/>
        <v>0</v>
      </c>
      <c r="AD78" s="15"/>
      <c r="AE78" s="15"/>
      <c r="AF78" s="64">
        <f t="shared" si="60"/>
        <v>0</v>
      </c>
      <c r="AG78" s="17">
        <f t="shared" si="61"/>
        <v>0</v>
      </c>
      <c r="AH78" s="18"/>
    </row>
    <row r="79" spans="1:34" ht="18.75" x14ac:dyDescent="0.3">
      <c r="A79" s="52">
        <v>80</v>
      </c>
      <c r="B79" s="52"/>
      <c r="C79" s="52"/>
      <c r="D79" s="53"/>
      <c r="E79" s="12">
        <v>9</v>
      </c>
      <c r="F79" s="12"/>
      <c r="G79" s="13"/>
      <c r="H79" s="14">
        <f t="shared" si="50"/>
        <v>0</v>
      </c>
      <c r="I79" s="15"/>
      <c r="J79" s="16">
        <f t="shared" si="58"/>
        <v>0</v>
      </c>
      <c r="K79" s="15"/>
      <c r="L79" s="16">
        <f t="shared" si="51"/>
        <v>0</v>
      </c>
      <c r="M79" s="15"/>
      <c r="N79" s="15"/>
      <c r="O79" s="16">
        <f t="shared" si="59"/>
        <v>0</v>
      </c>
      <c r="P79" s="15"/>
      <c r="Q79" s="16">
        <f t="shared" si="52"/>
        <v>0</v>
      </c>
      <c r="R79" s="15"/>
      <c r="S79" s="15"/>
      <c r="T79" s="15"/>
      <c r="U79" s="16">
        <f t="shared" si="53"/>
        <v>0</v>
      </c>
      <c r="V79" s="16"/>
      <c r="W79" s="16">
        <f t="shared" si="56"/>
        <v>0</v>
      </c>
      <c r="X79" s="15"/>
      <c r="Y79" s="16">
        <f t="shared" si="54"/>
        <v>0</v>
      </c>
      <c r="Z79" s="15"/>
      <c r="AA79" s="16">
        <f t="shared" si="55"/>
        <v>0</v>
      </c>
      <c r="AB79" s="16"/>
      <c r="AC79" s="16">
        <f t="shared" si="57"/>
        <v>0</v>
      </c>
      <c r="AD79" s="15"/>
      <c r="AE79" s="15"/>
      <c r="AF79" s="64">
        <f t="shared" si="60"/>
        <v>0</v>
      </c>
      <c r="AG79" s="17">
        <f t="shared" si="61"/>
        <v>0</v>
      </c>
      <c r="AH79" s="18"/>
    </row>
    <row r="80" spans="1:34" ht="18.75" x14ac:dyDescent="0.3">
      <c r="A80" s="52">
        <v>81</v>
      </c>
      <c r="B80" s="52"/>
      <c r="C80" s="52"/>
      <c r="D80" s="53"/>
      <c r="E80" s="12">
        <v>9</v>
      </c>
      <c r="F80" s="12"/>
      <c r="G80" s="13"/>
      <c r="H80" s="14">
        <f t="shared" si="50"/>
        <v>0</v>
      </c>
      <c r="I80" s="15"/>
      <c r="J80" s="16">
        <f t="shared" si="58"/>
        <v>0</v>
      </c>
      <c r="K80" s="15"/>
      <c r="L80" s="16">
        <f t="shared" si="51"/>
        <v>0</v>
      </c>
      <c r="M80" s="15"/>
      <c r="N80" s="15"/>
      <c r="O80" s="16">
        <f t="shared" si="59"/>
        <v>0</v>
      </c>
      <c r="P80" s="15"/>
      <c r="Q80" s="16">
        <f t="shared" si="52"/>
        <v>0</v>
      </c>
      <c r="R80" s="15"/>
      <c r="S80" s="15"/>
      <c r="T80" s="15"/>
      <c r="U80" s="16">
        <f t="shared" si="53"/>
        <v>0</v>
      </c>
      <c r="V80" s="16"/>
      <c r="W80" s="16">
        <f t="shared" si="56"/>
        <v>0</v>
      </c>
      <c r="X80" s="15"/>
      <c r="Y80" s="16">
        <f t="shared" si="54"/>
        <v>0</v>
      </c>
      <c r="Z80" s="15"/>
      <c r="AA80" s="16">
        <f t="shared" si="55"/>
        <v>0</v>
      </c>
      <c r="AB80" s="16"/>
      <c r="AC80" s="16">
        <f t="shared" si="57"/>
        <v>0</v>
      </c>
      <c r="AD80" s="15"/>
      <c r="AE80" s="15"/>
      <c r="AF80" s="64">
        <f t="shared" si="60"/>
        <v>0</v>
      </c>
      <c r="AG80" s="17">
        <f t="shared" si="61"/>
        <v>0</v>
      </c>
      <c r="AH80" s="18"/>
    </row>
    <row r="81" spans="1:34" ht="18.75" x14ac:dyDescent="0.3">
      <c r="A81" s="52">
        <v>82</v>
      </c>
      <c r="B81" s="52"/>
      <c r="C81" s="52"/>
      <c r="D81" s="53"/>
      <c r="E81" s="12">
        <v>9</v>
      </c>
      <c r="F81" s="12"/>
      <c r="G81" s="13"/>
      <c r="H81" s="14">
        <f t="shared" si="50"/>
        <v>0</v>
      </c>
      <c r="I81" s="15"/>
      <c r="J81" s="16">
        <f t="shared" si="58"/>
        <v>0</v>
      </c>
      <c r="K81" s="15"/>
      <c r="L81" s="16">
        <f t="shared" si="51"/>
        <v>0</v>
      </c>
      <c r="M81" s="15"/>
      <c r="N81" s="15"/>
      <c r="O81" s="16">
        <f t="shared" si="59"/>
        <v>0</v>
      </c>
      <c r="P81" s="15"/>
      <c r="Q81" s="16">
        <f t="shared" si="52"/>
        <v>0</v>
      </c>
      <c r="R81" s="15"/>
      <c r="S81" s="15"/>
      <c r="T81" s="15"/>
      <c r="U81" s="16">
        <f t="shared" si="53"/>
        <v>0</v>
      </c>
      <c r="V81" s="16"/>
      <c r="W81" s="16">
        <f t="shared" si="56"/>
        <v>0</v>
      </c>
      <c r="X81" s="15"/>
      <c r="Y81" s="16">
        <f t="shared" si="54"/>
        <v>0</v>
      </c>
      <c r="Z81" s="15"/>
      <c r="AA81" s="16">
        <f t="shared" si="55"/>
        <v>0</v>
      </c>
      <c r="AB81" s="16"/>
      <c r="AC81" s="16">
        <f t="shared" si="57"/>
        <v>0</v>
      </c>
      <c r="AD81" s="15"/>
      <c r="AE81" s="15"/>
      <c r="AF81" s="64">
        <f t="shared" si="60"/>
        <v>0</v>
      </c>
      <c r="AG81" s="17">
        <f t="shared" si="61"/>
        <v>0</v>
      </c>
      <c r="AH81" s="18"/>
    </row>
    <row r="82" spans="1:34" ht="18.75" x14ac:dyDescent="0.3">
      <c r="A82" s="52">
        <v>83</v>
      </c>
      <c r="B82" s="52"/>
      <c r="C82" s="52"/>
      <c r="D82" s="53"/>
      <c r="E82" s="12">
        <v>9</v>
      </c>
      <c r="F82" s="12"/>
      <c r="G82" s="13"/>
      <c r="H82" s="14">
        <f t="shared" si="50"/>
        <v>0</v>
      </c>
      <c r="I82" s="15"/>
      <c r="J82" s="16">
        <f t="shared" si="58"/>
        <v>0</v>
      </c>
      <c r="K82" s="15"/>
      <c r="L82" s="16">
        <f t="shared" si="51"/>
        <v>0</v>
      </c>
      <c r="M82" s="15"/>
      <c r="N82" s="15"/>
      <c r="O82" s="16">
        <f t="shared" si="59"/>
        <v>0</v>
      </c>
      <c r="P82" s="15"/>
      <c r="Q82" s="16">
        <f t="shared" si="52"/>
        <v>0</v>
      </c>
      <c r="R82" s="15"/>
      <c r="S82" s="15"/>
      <c r="T82" s="15"/>
      <c r="U82" s="16">
        <f t="shared" si="53"/>
        <v>0</v>
      </c>
      <c r="V82" s="16"/>
      <c r="W82" s="16">
        <f t="shared" si="56"/>
        <v>0</v>
      </c>
      <c r="X82" s="15"/>
      <c r="Y82" s="16">
        <f t="shared" si="54"/>
        <v>0</v>
      </c>
      <c r="Z82" s="15"/>
      <c r="AA82" s="16">
        <f t="shared" si="55"/>
        <v>0</v>
      </c>
      <c r="AB82" s="16"/>
      <c r="AC82" s="16">
        <f t="shared" si="57"/>
        <v>0</v>
      </c>
      <c r="AD82" s="15"/>
      <c r="AE82" s="15"/>
      <c r="AF82" s="64">
        <f t="shared" si="60"/>
        <v>0</v>
      </c>
      <c r="AG82" s="17">
        <f t="shared" si="61"/>
        <v>0</v>
      </c>
      <c r="AH82" s="18"/>
    </row>
    <row r="83" spans="1:34" ht="21" x14ac:dyDescent="0.3">
      <c r="A83" s="52">
        <v>84</v>
      </c>
      <c r="B83" s="56"/>
      <c r="C83" s="52"/>
      <c r="D83" s="53"/>
      <c r="E83" s="12">
        <v>9</v>
      </c>
      <c r="F83" s="12"/>
      <c r="G83" s="13"/>
      <c r="H83" s="14">
        <f t="shared" si="50"/>
        <v>0</v>
      </c>
      <c r="I83" s="15"/>
      <c r="J83" s="16">
        <f t="shared" ref="J83:J125" si="62">+I83*F83/30/E83</f>
        <v>0</v>
      </c>
      <c r="K83" s="15"/>
      <c r="L83" s="16">
        <f t="shared" si="51"/>
        <v>0</v>
      </c>
      <c r="M83" s="15"/>
      <c r="N83" s="15"/>
      <c r="O83" s="16">
        <f t="shared" si="59"/>
        <v>0</v>
      </c>
      <c r="P83" s="15"/>
      <c r="Q83" s="16">
        <f t="shared" si="52"/>
        <v>0</v>
      </c>
      <c r="R83" s="15"/>
      <c r="S83" s="15"/>
      <c r="T83" s="15"/>
      <c r="U83" s="16">
        <f t="shared" si="53"/>
        <v>0</v>
      </c>
      <c r="V83" s="62"/>
      <c r="W83" s="16">
        <f t="shared" si="56"/>
        <v>0</v>
      </c>
      <c r="X83" s="15"/>
      <c r="Y83" s="16">
        <f t="shared" si="54"/>
        <v>0</v>
      </c>
      <c r="Z83" s="15"/>
      <c r="AA83" s="16">
        <f t="shared" si="55"/>
        <v>0</v>
      </c>
      <c r="AB83" s="16"/>
      <c r="AC83" s="16">
        <f t="shared" si="57"/>
        <v>0</v>
      </c>
      <c r="AD83" s="15"/>
      <c r="AE83" s="15"/>
      <c r="AF83" s="64">
        <f t="shared" si="60"/>
        <v>0</v>
      </c>
      <c r="AG83" s="17">
        <f t="shared" si="61"/>
        <v>0</v>
      </c>
      <c r="AH83" s="18"/>
    </row>
    <row r="84" spans="1:34" ht="18.75" x14ac:dyDescent="0.25">
      <c r="A84" s="52">
        <v>85</v>
      </c>
      <c r="B84" s="52"/>
      <c r="C84" s="52"/>
      <c r="D84" s="52"/>
      <c r="E84" s="12">
        <v>9</v>
      </c>
      <c r="F84" s="12"/>
      <c r="G84" s="13"/>
      <c r="H84" s="14">
        <f t="shared" si="50"/>
        <v>0</v>
      </c>
      <c r="I84" s="15"/>
      <c r="J84" s="16">
        <f t="shared" si="62"/>
        <v>0</v>
      </c>
      <c r="K84" s="15"/>
      <c r="L84" s="16">
        <f t="shared" si="51"/>
        <v>0</v>
      </c>
      <c r="M84" s="15"/>
      <c r="N84" s="15"/>
      <c r="O84" s="16">
        <f t="shared" si="59"/>
        <v>0</v>
      </c>
      <c r="P84" s="15"/>
      <c r="Q84" s="16">
        <f t="shared" si="52"/>
        <v>0</v>
      </c>
      <c r="R84" s="15"/>
      <c r="S84" s="15"/>
      <c r="T84" s="15"/>
      <c r="U84" s="16">
        <f t="shared" si="53"/>
        <v>0</v>
      </c>
      <c r="V84" s="16"/>
      <c r="W84" s="16">
        <f t="shared" si="56"/>
        <v>0</v>
      </c>
      <c r="X84" s="15"/>
      <c r="Y84" s="16">
        <f t="shared" si="54"/>
        <v>0</v>
      </c>
      <c r="Z84" s="15"/>
      <c r="AA84" s="16">
        <f t="shared" si="55"/>
        <v>0</v>
      </c>
      <c r="AB84" s="16"/>
      <c r="AC84" s="16">
        <f t="shared" si="57"/>
        <v>0</v>
      </c>
      <c r="AD84" s="15"/>
      <c r="AE84" s="15"/>
      <c r="AF84" s="64">
        <f t="shared" si="60"/>
        <v>0</v>
      </c>
      <c r="AG84" s="17">
        <f t="shared" si="61"/>
        <v>0</v>
      </c>
      <c r="AH84" s="18"/>
    </row>
    <row r="85" spans="1:34" ht="18.75" x14ac:dyDescent="0.3">
      <c r="A85" s="52">
        <v>86</v>
      </c>
      <c r="B85" s="52"/>
      <c r="C85" s="52"/>
      <c r="D85" s="53"/>
      <c r="E85" s="12">
        <v>9</v>
      </c>
      <c r="F85" s="12"/>
      <c r="G85" s="13"/>
      <c r="H85" s="14">
        <f t="shared" si="50"/>
        <v>0</v>
      </c>
      <c r="I85" s="15"/>
      <c r="J85" s="16">
        <f t="shared" si="62"/>
        <v>0</v>
      </c>
      <c r="K85" s="15"/>
      <c r="L85" s="16">
        <f t="shared" si="51"/>
        <v>0</v>
      </c>
      <c r="M85" s="15"/>
      <c r="N85" s="15"/>
      <c r="O85" s="16">
        <f t="shared" si="59"/>
        <v>0</v>
      </c>
      <c r="P85" s="15"/>
      <c r="Q85" s="16">
        <f t="shared" si="52"/>
        <v>0</v>
      </c>
      <c r="R85" s="15"/>
      <c r="S85" s="15"/>
      <c r="T85" s="15"/>
      <c r="U85" s="16">
        <f t="shared" si="53"/>
        <v>0</v>
      </c>
      <c r="V85" s="16"/>
      <c r="W85" s="16">
        <f t="shared" si="56"/>
        <v>0</v>
      </c>
      <c r="X85" s="15"/>
      <c r="Y85" s="16">
        <f t="shared" si="54"/>
        <v>0</v>
      </c>
      <c r="Z85" s="15"/>
      <c r="AA85" s="16">
        <f t="shared" si="55"/>
        <v>0</v>
      </c>
      <c r="AB85" s="16"/>
      <c r="AC85" s="16">
        <f t="shared" si="57"/>
        <v>0</v>
      </c>
      <c r="AD85" s="15"/>
      <c r="AE85" s="15"/>
      <c r="AF85" s="64">
        <f t="shared" si="60"/>
        <v>0</v>
      </c>
      <c r="AG85" s="17">
        <f t="shared" si="61"/>
        <v>0</v>
      </c>
      <c r="AH85" s="18"/>
    </row>
    <row r="86" spans="1:34" ht="18.75" x14ac:dyDescent="0.3">
      <c r="A86" s="52">
        <v>87</v>
      </c>
      <c r="B86" s="52"/>
      <c r="C86" s="52"/>
      <c r="D86" s="53"/>
      <c r="E86" s="12">
        <v>9</v>
      </c>
      <c r="F86" s="12"/>
      <c r="G86" s="13"/>
      <c r="H86" s="14">
        <f t="shared" si="50"/>
        <v>0</v>
      </c>
      <c r="I86" s="15"/>
      <c r="J86" s="16">
        <f t="shared" si="62"/>
        <v>0</v>
      </c>
      <c r="K86" s="15"/>
      <c r="L86" s="16">
        <f t="shared" si="51"/>
        <v>0</v>
      </c>
      <c r="M86" s="15"/>
      <c r="N86" s="15"/>
      <c r="O86" s="16">
        <f t="shared" si="59"/>
        <v>0</v>
      </c>
      <c r="P86" s="15"/>
      <c r="Q86" s="16">
        <f t="shared" si="52"/>
        <v>0</v>
      </c>
      <c r="R86" s="15"/>
      <c r="S86" s="15"/>
      <c r="T86" s="15"/>
      <c r="U86" s="16">
        <f t="shared" si="53"/>
        <v>0</v>
      </c>
      <c r="V86" s="16"/>
      <c r="W86" s="16">
        <f t="shared" si="56"/>
        <v>0</v>
      </c>
      <c r="X86" s="15"/>
      <c r="Y86" s="16">
        <f t="shared" si="54"/>
        <v>0</v>
      </c>
      <c r="Z86" s="15"/>
      <c r="AA86" s="16">
        <f t="shared" si="55"/>
        <v>0</v>
      </c>
      <c r="AB86" s="16"/>
      <c r="AC86" s="16">
        <f t="shared" si="57"/>
        <v>0</v>
      </c>
      <c r="AD86" s="15"/>
      <c r="AE86" s="15"/>
      <c r="AF86" s="64">
        <f t="shared" si="60"/>
        <v>0</v>
      </c>
      <c r="AG86" s="17">
        <f t="shared" si="61"/>
        <v>0</v>
      </c>
      <c r="AH86" s="18"/>
    </row>
    <row r="87" spans="1:34" ht="18.75" x14ac:dyDescent="0.3">
      <c r="A87" s="52">
        <v>88</v>
      </c>
      <c r="B87" s="52"/>
      <c r="C87" s="52"/>
      <c r="D87" s="53"/>
      <c r="E87" s="12">
        <v>9</v>
      </c>
      <c r="F87" s="12"/>
      <c r="G87" s="13"/>
      <c r="H87" s="14">
        <f t="shared" si="50"/>
        <v>0</v>
      </c>
      <c r="I87" s="15"/>
      <c r="J87" s="16">
        <f t="shared" si="62"/>
        <v>0</v>
      </c>
      <c r="K87" s="15"/>
      <c r="L87" s="16">
        <f t="shared" si="51"/>
        <v>0</v>
      </c>
      <c r="M87" s="15"/>
      <c r="N87" s="15"/>
      <c r="O87" s="16">
        <f t="shared" si="59"/>
        <v>0</v>
      </c>
      <c r="P87" s="15"/>
      <c r="Q87" s="16">
        <f t="shared" si="52"/>
        <v>0</v>
      </c>
      <c r="R87" s="15"/>
      <c r="S87" s="15"/>
      <c r="T87" s="15"/>
      <c r="U87" s="16">
        <f t="shared" si="53"/>
        <v>0</v>
      </c>
      <c r="V87" s="16"/>
      <c r="W87" s="16">
        <f t="shared" si="56"/>
        <v>0</v>
      </c>
      <c r="X87" s="15"/>
      <c r="Y87" s="16">
        <f t="shared" si="54"/>
        <v>0</v>
      </c>
      <c r="Z87" s="15"/>
      <c r="AA87" s="16">
        <f t="shared" si="55"/>
        <v>0</v>
      </c>
      <c r="AB87" s="16"/>
      <c r="AC87" s="16">
        <f t="shared" si="57"/>
        <v>0</v>
      </c>
      <c r="AD87" s="15"/>
      <c r="AE87" s="15"/>
      <c r="AF87" s="64">
        <f t="shared" si="60"/>
        <v>0</v>
      </c>
      <c r="AG87" s="17">
        <f t="shared" si="61"/>
        <v>0</v>
      </c>
      <c r="AH87" s="18"/>
    </row>
    <row r="88" spans="1:34" ht="18.75" x14ac:dyDescent="0.25">
      <c r="A88" s="52">
        <v>89</v>
      </c>
      <c r="B88" s="69"/>
      <c r="C88" s="52"/>
      <c r="D88" s="52"/>
      <c r="E88" s="12">
        <v>9</v>
      </c>
      <c r="F88" s="12"/>
      <c r="G88" s="13"/>
      <c r="H88" s="14">
        <f t="shared" si="50"/>
        <v>0</v>
      </c>
      <c r="I88" s="15"/>
      <c r="J88" s="16">
        <f t="shared" si="62"/>
        <v>0</v>
      </c>
      <c r="K88" s="15"/>
      <c r="L88" s="16">
        <f t="shared" si="51"/>
        <v>0</v>
      </c>
      <c r="M88" s="15"/>
      <c r="N88" s="15"/>
      <c r="O88" s="16">
        <f t="shared" si="59"/>
        <v>0</v>
      </c>
      <c r="P88" s="15"/>
      <c r="Q88" s="16">
        <f t="shared" si="52"/>
        <v>0</v>
      </c>
      <c r="R88" s="15"/>
      <c r="S88" s="15"/>
      <c r="T88" s="15"/>
      <c r="U88" s="16">
        <f t="shared" si="53"/>
        <v>0</v>
      </c>
      <c r="V88" s="16"/>
      <c r="W88" s="16">
        <f t="shared" si="56"/>
        <v>0</v>
      </c>
      <c r="X88" s="15"/>
      <c r="Y88" s="16">
        <f t="shared" si="54"/>
        <v>0</v>
      </c>
      <c r="Z88" s="15"/>
      <c r="AA88" s="16">
        <f t="shared" si="55"/>
        <v>0</v>
      </c>
      <c r="AB88" s="16"/>
      <c r="AC88" s="16">
        <f t="shared" si="57"/>
        <v>0</v>
      </c>
      <c r="AD88" s="15"/>
      <c r="AE88" s="15"/>
      <c r="AF88" s="64">
        <f t="shared" si="60"/>
        <v>0</v>
      </c>
      <c r="AG88" s="17">
        <f t="shared" si="61"/>
        <v>0</v>
      </c>
      <c r="AH88" s="18"/>
    </row>
    <row r="89" spans="1:34" ht="18.75" x14ac:dyDescent="0.3">
      <c r="A89" s="52">
        <v>90</v>
      </c>
      <c r="B89" s="52"/>
      <c r="C89" s="52"/>
      <c r="D89" s="53"/>
      <c r="E89" s="12">
        <v>9</v>
      </c>
      <c r="F89" s="12"/>
      <c r="G89" s="13"/>
      <c r="H89" s="14">
        <f t="shared" si="50"/>
        <v>0</v>
      </c>
      <c r="I89" s="15"/>
      <c r="J89" s="16">
        <f t="shared" si="62"/>
        <v>0</v>
      </c>
      <c r="K89" s="15"/>
      <c r="L89" s="16">
        <f t="shared" si="51"/>
        <v>0</v>
      </c>
      <c r="M89" s="15"/>
      <c r="N89" s="15"/>
      <c r="O89" s="16">
        <f t="shared" si="59"/>
        <v>0</v>
      </c>
      <c r="P89" s="15"/>
      <c r="Q89" s="16">
        <f t="shared" si="52"/>
        <v>0</v>
      </c>
      <c r="R89" s="15"/>
      <c r="S89" s="15"/>
      <c r="T89" s="15"/>
      <c r="U89" s="16">
        <f t="shared" si="53"/>
        <v>0</v>
      </c>
      <c r="V89" s="16"/>
      <c r="W89" s="16">
        <f t="shared" si="56"/>
        <v>0</v>
      </c>
      <c r="X89" s="15"/>
      <c r="Y89" s="16">
        <f t="shared" si="54"/>
        <v>0</v>
      </c>
      <c r="Z89" s="15"/>
      <c r="AA89" s="16">
        <f t="shared" si="55"/>
        <v>0</v>
      </c>
      <c r="AB89" s="16"/>
      <c r="AC89" s="16">
        <f t="shared" si="57"/>
        <v>0</v>
      </c>
      <c r="AD89" s="15"/>
      <c r="AE89" s="15"/>
      <c r="AF89" s="64">
        <f t="shared" si="60"/>
        <v>0</v>
      </c>
      <c r="AG89" s="17">
        <f t="shared" si="61"/>
        <v>0</v>
      </c>
      <c r="AH89" s="18"/>
    </row>
    <row r="90" spans="1:34" ht="18.75" x14ac:dyDescent="0.25">
      <c r="A90" s="52">
        <v>91</v>
      </c>
      <c r="B90" s="52"/>
      <c r="C90" s="52"/>
      <c r="D90" s="52"/>
      <c r="E90" s="12">
        <v>9</v>
      </c>
      <c r="F90" s="12"/>
      <c r="G90" s="13"/>
      <c r="H90" s="14">
        <f t="shared" si="50"/>
        <v>0</v>
      </c>
      <c r="I90" s="15"/>
      <c r="J90" s="16">
        <f t="shared" si="62"/>
        <v>0</v>
      </c>
      <c r="K90" s="15"/>
      <c r="L90" s="16">
        <f t="shared" si="51"/>
        <v>0</v>
      </c>
      <c r="M90" s="15"/>
      <c r="N90" s="15"/>
      <c r="O90" s="16">
        <f t="shared" si="59"/>
        <v>0</v>
      </c>
      <c r="P90" s="15"/>
      <c r="Q90" s="16">
        <f t="shared" si="52"/>
        <v>0</v>
      </c>
      <c r="R90" s="15"/>
      <c r="S90" s="15"/>
      <c r="T90" s="15"/>
      <c r="U90" s="16">
        <f t="shared" si="53"/>
        <v>0</v>
      </c>
      <c r="V90" s="16"/>
      <c r="W90" s="16">
        <f t="shared" si="56"/>
        <v>0</v>
      </c>
      <c r="X90" s="15"/>
      <c r="Y90" s="16">
        <f t="shared" si="54"/>
        <v>0</v>
      </c>
      <c r="Z90" s="15"/>
      <c r="AA90" s="16">
        <f t="shared" si="55"/>
        <v>0</v>
      </c>
      <c r="AB90" s="16"/>
      <c r="AC90" s="16">
        <f t="shared" si="57"/>
        <v>0</v>
      </c>
      <c r="AD90" s="15"/>
      <c r="AE90" s="15"/>
      <c r="AF90" s="64">
        <f t="shared" si="60"/>
        <v>0</v>
      </c>
      <c r="AG90" s="17">
        <f t="shared" si="61"/>
        <v>0</v>
      </c>
      <c r="AH90" s="18"/>
    </row>
    <row r="91" spans="1:34" ht="18.75" x14ac:dyDescent="0.3">
      <c r="A91" s="52">
        <v>92</v>
      </c>
      <c r="B91" s="69"/>
      <c r="C91" s="52"/>
      <c r="D91" s="53"/>
      <c r="E91" s="12">
        <v>9</v>
      </c>
      <c r="F91" s="12"/>
      <c r="G91" s="13"/>
      <c r="H91" s="14">
        <f t="shared" si="50"/>
        <v>0</v>
      </c>
      <c r="I91" s="15"/>
      <c r="J91" s="16">
        <f t="shared" si="62"/>
        <v>0</v>
      </c>
      <c r="K91" s="15"/>
      <c r="L91" s="16">
        <f t="shared" si="51"/>
        <v>0</v>
      </c>
      <c r="M91" s="15"/>
      <c r="N91" s="15"/>
      <c r="O91" s="16">
        <f t="shared" si="59"/>
        <v>0</v>
      </c>
      <c r="P91" s="15"/>
      <c r="Q91" s="16">
        <f t="shared" si="52"/>
        <v>0</v>
      </c>
      <c r="R91" s="15"/>
      <c r="S91" s="15"/>
      <c r="T91" s="15"/>
      <c r="U91" s="16">
        <f t="shared" si="53"/>
        <v>0</v>
      </c>
      <c r="V91" s="16"/>
      <c r="W91" s="16">
        <f t="shared" si="56"/>
        <v>0</v>
      </c>
      <c r="X91" s="15"/>
      <c r="Y91" s="16">
        <f t="shared" si="54"/>
        <v>0</v>
      </c>
      <c r="Z91" s="15"/>
      <c r="AA91" s="16">
        <f t="shared" si="55"/>
        <v>0</v>
      </c>
      <c r="AB91" s="16"/>
      <c r="AC91" s="16">
        <f t="shared" si="57"/>
        <v>0</v>
      </c>
      <c r="AD91" s="15"/>
      <c r="AE91" s="15"/>
      <c r="AF91" s="64">
        <f t="shared" si="60"/>
        <v>0</v>
      </c>
      <c r="AG91" s="17">
        <f t="shared" si="61"/>
        <v>0</v>
      </c>
      <c r="AH91" s="18"/>
    </row>
    <row r="92" spans="1:34" ht="18.75" x14ac:dyDescent="0.3">
      <c r="A92" s="52">
        <v>93</v>
      </c>
      <c r="B92" s="69"/>
      <c r="C92" s="52"/>
      <c r="D92" s="53"/>
      <c r="E92" s="12">
        <v>9</v>
      </c>
      <c r="F92" s="12"/>
      <c r="G92" s="13"/>
      <c r="H92" s="14">
        <f t="shared" si="50"/>
        <v>0</v>
      </c>
      <c r="I92" s="15"/>
      <c r="J92" s="16">
        <f t="shared" si="62"/>
        <v>0</v>
      </c>
      <c r="K92" s="15"/>
      <c r="L92" s="16">
        <f t="shared" si="51"/>
        <v>0</v>
      </c>
      <c r="M92" s="15"/>
      <c r="N92" s="15"/>
      <c r="O92" s="16">
        <f t="shared" si="59"/>
        <v>0</v>
      </c>
      <c r="P92" s="15"/>
      <c r="Q92" s="16">
        <f t="shared" si="52"/>
        <v>0</v>
      </c>
      <c r="R92" s="15"/>
      <c r="S92" s="15"/>
      <c r="T92" s="15"/>
      <c r="U92" s="16">
        <f t="shared" si="53"/>
        <v>0</v>
      </c>
      <c r="V92" s="16"/>
      <c r="W92" s="16">
        <f t="shared" si="56"/>
        <v>0</v>
      </c>
      <c r="X92" s="15"/>
      <c r="Y92" s="16">
        <f t="shared" si="54"/>
        <v>0</v>
      </c>
      <c r="Z92" s="15"/>
      <c r="AA92" s="16">
        <f t="shared" si="55"/>
        <v>0</v>
      </c>
      <c r="AB92" s="16"/>
      <c r="AC92" s="16">
        <f t="shared" si="57"/>
        <v>0</v>
      </c>
      <c r="AD92" s="15"/>
      <c r="AE92" s="15"/>
      <c r="AF92" s="64">
        <f t="shared" si="60"/>
        <v>0</v>
      </c>
      <c r="AG92" s="17">
        <f t="shared" si="61"/>
        <v>0</v>
      </c>
      <c r="AH92" s="18"/>
    </row>
    <row r="93" spans="1:34" ht="18.75" x14ac:dyDescent="0.3">
      <c r="A93" s="52">
        <v>94</v>
      </c>
      <c r="B93" s="69"/>
      <c r="C93" s="52"/>
      <c r="D93" s="53"/>
      <c r="E93" s="12">
        <v>9</v>
      </c>
      <c r="F93" s="12"/>
      <c r="G93" s="13"/>
      <c r="H93" s="14">
        <f t="shared" si="50"/>
        <v>0</v>
      </c>
      <c r="I93" s="15"/>
      <c r="J93" s="16">
        <f t="shared" si="62"/>
        <v>0</v>
      </c>
      <c r="K93" s="15"/>
      <c r="L93" s="16">
        <f t="shared" si="51"/>
        <v>0</v>
      </c>
      <c r="M93" s="15"/>
      <c r="N93" s="15"/>
      <c r="O93" s="16">
        <f t="shared" si="59"/>
        <v>0</v>
      </c>
      <c r="P93" s="15"/>
      <c r="Q93" s="16">
        <f t="shared" si="52"/>
        <v>0</v>
      </c>
      <c r="R93" s="15"/>
      <c r="S93" s="15"/>
      <c r="T93" s="15"/>
      <c r="U93" s="16">
        <f t="shared" si="53"/>
        <v>0</v>
      </c>
      <c r="V93" s="16"/>
      <c r="W93" s="16">
        <f t="shared" si="56"/>
        <v>0</v>
      </c>
      <c r="X93" s="15"/>
      <c r="Y93" s="16">
        <f t="shared" si="54"/>
        <v>0</v>
      </c>
      <c r="Z93" s="15"/>
      <c r="AA93" s="16">
        <f t="shared" si="55"/>
        <v>0</v>
      </c>
      <c r="AB93" s="16"/>
      <c r="AC93" s="16">
        <f t="shared" si="57"/>
        <v>0</v>
      </c>
      <c r="AD93" s="15"/>
      <c r="AE93" s="15"/>
      <c r="AF93" s="64">
        <f t="shared" si="60"/>
        <v>0</v>
      </c>
      <c r="AG93" s="17">
        <f t="shared" si="61"/>
        <v>0</v>
      </c>
      <c r="AH93" s="18"/>
    </row>
    <row r="94" spans="1:34" ht="18.75" x14ac:dyDescent="0.3">
      <c r="A94" s="52">
        <v>95</v>
      </c>
      <c r="B94" s="52"/>
      <c r="C94" s="52"/>
      <c r="D94" s="53"/>
      <c r="E94" s="12">
        <v>9</v>
      </c>
      <c r="F94" s="12"/>
      <c r="G94" s="13"/>
      <c r="H94" s="14">
        <f t="shared" si="50"/>
        <v>0</v>
      </c>
      <c r="I94" s="15"/>
      <c r="J94" s="16">
        <f t="shared" si="62"/>
        <v>0</v>
      </c>
      <c r="K94" s="15"/>
      <c r="L94" s="16">
        <f t="shared" si="51"/>
        <v>0</v>
      </c>
      <c r="M94" s="15"/>
      <c r="N94" s="15"/>
      <c r="O94" s="16">
        <f t="shared" si="59"/>
        <v>0</v>
      </c>
      <c r="P94" s="15"/>
      <c r="Q94" s="16">
        <f t="shared" si="52"/>
        <v>0</v>
      </c>
      <c r="R94" s="15"/>
      <c r="S94" s="15"/>
      <c r="T94" s="15"/>
      <c r="U94" s="16">
        <f t="shared" si="53"/>
        <v>0</v>
      </c>
      <c r="V94" s="16"/>
      <c r="W94" s="16">
        <f t="shared" si="56"/>
        <v>0</v>
      </c>
      <c r="X94" s="15"/>
      <c r="Y94" s="16">
        <f t="shared" si="54"/>
        <v>0</v>
      </c>
      <c r="Z94" s="15"/>
      <c r="AA94" s="16">
        <f t="shared" si="55"/>
        <v>0</v>
      </c>
      <c r="AB94" s="16"/>
      <c r="AC94" s="16">
        <f t="shared" si="57"/>
        <v>0</v>
      </c>
      <c r="AD94" s="15"/>
      <c r="AE94" s="15"/>
      <c r="AF94" s="64">
        <f t="shared" si="60"/>
        <v>0</v>
      </c>
      <c r="AG94" s="17">
        <f t="shared" si="61"/>
        <v>0</v>
      </c>
      <c r="AH94" s="18"/>
    </row>
    <row r="95" spans="1:34" ht="18.75" x14ac:dyDescent="0.25">
      <c r="A95" s="52">
        <v>96</v>
      </c>
      <c r="B95" s="52"/>
      <c r="C95" s="52"/>
      <c r="D95" s="52"/>
      <c r="E95" s="12">
        <v>9</v>
      </c>
      <c r="F95" s="12"/>
      <c r="G95" s="13"/>
      <c r="H95" s="14">
        <f t="shared" si="50"/>
        <v>0</v>
      </c>
      <c r="I95" s="15"/>
      <c r="J95" s="16">
        <f t="shared" si="62"/>
        <v>0</v>
      </c>
      <c r="K95" s="15"/>
      <c r="L95" s="16">
        <f t="shared" si="51"/>
        <v>0</v>
      </c>
      <c r="M95" s="15"/>
      <c r="N95" s="15"/>
      <c r="O95" s="16">
        <f t="shared" si="59"/>
        <v>0</v>
      </c>
      <c r="P95" s="15"/>
      <c r="Q95" s="16">
        <f t="shared" si="52"/>
        <v>0</v>
      </c>
      <c r="R95" s="15"/>
      <c r="S95" s="15"/>
      <c r="T95" s="15"/>
      <c r="U95" s="16">
        <f t="shared" si="53"/>
        <v>0</v>
      </c>
      <c r="V95" s="16"/>
      <c r="W95" s="16">
        <f t="shared" si="56"/>
        <v>0</v>
      </c>
      <c r="X95" s="15"/>
      <c r="Y95" s="16">
        <f t="shared" si="54"/>
        <v>0</v>
      </c>
      <c r="Z95" s="15"/>
      <c r="AA95" s="16">
        <f t="shared" si="55"/>
        <v>0</v>
      </c>
      <c r="AB95" s="16"/>
      <c r="AC95" s="16">
        <f t="shared" si="57"/>
        <v>0</v>
      </c>
      <c r="AD95" s="15"/>
      <c r="AE95" s="15"/>
      <c r="AF95" s="64">
        <f t="shared" si="60"/>
        <v>0</v>
      </c>
      <c r="AG95" s="17">
        <f t="shared" si="61"/>
        <v>0</v>
      </c>
      <c r="AH95" s="18"/>
    </row>
    <row r="96" spans="1:34" ht="18.75" x14ac:dyDescent="0.25">
      <c r="A96" s="52">
        <v>97</v>
      </c>
      <c r="B96" s="52"/>
      <c r="C96" s="52"/>
      <c r="D96" s="52"/>
      <c r="E96" s="12">
        <v>9</v>
      </c>
      <c r="F96" s="12"/>
      <c r="G96" s="13"/>
      <c r="H96" s="14">
        <f t="shared" si="50"/>
        <v>0</v>
      </c>
      <c r="I96" s="15"/>
      <c r="J96" s="16">
        <f t="shared" si="62"/>
        <v>0</v>
      </c>
      <c r="K96" s="15"/>
      <c r="L96" s="16">
        <f t="shared" si="51"/>
        <v>0</v>
      </c>
      <c r="M96" s="15"/>
      <c r="N96" s="15"/>
      <c r="O96" s="16">
        <f t="shared" si="59"/>
        <v>0</v>
      </c>
      <c r="P96" s="15"/>
      <c r="Q96" s="16">
        <f t="shared" si="52"/>
        <v>0</v>
      </c>
      <c r="R96" s="15"/>
      <c r="S96" s="15"/>
      <c r="T96" s="15"/>
      <c r="U96" s="16">
        <f t="shared" si="53"/>
        <v>0</v>
      </c>
      <c r="V96" s="16"/>
      <c r="W96" s="16">
        <f t="shared" si="56"/>
        <v>0</v>
      </c>
      <c r="X96" s="15"/>
      <c r="Y96" s="16">
        <f t="shared" si="54"/>
        <v>0</v>
      </c>
      <c r="Z96" s="15"/>
      <c r="AA96" s="16">
        <f t="shared" si="55"/>
        <v>0</v>
      </c>
      <c r="AB96" s="16"/>
      <c r="AC96" s="16">
        <f t="shared" si="57"/>
        <v>0</v>
      </c>
      <c r="AD96" s="15"/>
      <c r="AE96" s="15"/>
      <c r="AF96" s="64">
        <f t="shared" si="60"/>
        <v>0</v>
      </c>
      <c r="AG96" s="17">
        <f t="shared" si="61"/>
        <v>0</v>
      </c>
      <c r="AH96" s="18"/>
    </row>
    <row r="97" spans="1:34" ht="18.75" x14ac:dyDescent="0.25">
      <c r="A97" s="52">
        <v>98</v>
      </c>
      <c r="B97" s="52"/>
      <c r="C97" s="52"/>
      <c r="D97" s="52"/>
      <c r="E97" s="12">
        <v>9</v>
      </c>
      <c r="F97" s="12"/>
      <c r="G97" s="13"/>
      <c r="H97" s="14">
        <f t="shared" si="50"/>
        <v>0</v>
      </c>
      <c r="I97" s="15"/>
      <c r="J97" s="16">
        <f t="shared" si="62"/>
        <v>0</v>
      </c>
      <c r="K97" s="15"/>
      <c r="L97" s="16">
        <f t="shared" si="51"/>
        <v>0</v>
      </c>
      <c r="M97" s="15"/>
      <c r="N97" s="15"/>
      <c r="O97" s="16">
        <f t="shared" si="59"/>
        <v>0</v>
      </c>
      <c r="P97" s="15"/>
      <c r="Q97" s="16">
        <f t="shared" si="52"/>
        <v>0</v>
      </c>
      <c r="R97" s="15"/>
      <c r="S97" s="15"/>
      <c r="T97" s="15"/>
      <c r="U97" s="16">
        <f t="shared" si="53"/>
        <v>0</v>
      </c>
      <c r="V97" s="16"/>
      <c r="W97" s="16">
        <f t="shared" si="56"/>
        <v>0</v>
      </c>
      <c r="X97" s="15"/>
      <c r="Y97" s="16">
        <f t="shared" si="54"/>
        <v>0</v>
      </c>
      <c r="Z97" s="15"/>
      <c r="AA97" s="16">
        <f t="shared" si="55"/>
        <v>0</v>
      </c>
      <c r="AB97" s="16"/>
      <c r="AC97" s="16">
        <f t="shared" si="57"/>
        <v>0</v>
      </c>
      <c r="AD97" s="15"/>
      <c r="AE97" s="15"/>
      <c r="AF97" s="64">
        <f t="shared" si="60"/>
        <v>0</v>
      </c>
      <c r="AG97" s="17">
        <f t="shared" si="61"/>
        <v>0</v>
      </c>
      <c r="AH97" s="18"/>
    </row>
    <row r="98" spans="1:34" ht="18.75" x14ac:dyDescent="0.3">
      <c r="A98" s="52">
        <v>99</v>
      </c>
      <c r="B98" s="52"/>
      <c r="C98" s="52"/>
      <c r="D98" s="53"/>
      <c r="E98" s="12">
        <v>9</v>
      </c>
      <c r="F98" s="12"/>
      <c r="G98" s="13"/>
      <c r="H98" s="14">
        <f t="shared" si="50"/>
        <v>0</v>
      </c>
      <c r="I98" s="15"/>
      <c r="J98" s="16">
        <f t="shared" si="62"/>
        <v>0</v>
      </c>
      <c r="K98" s="15"/>
      <c r="L98" s="16">
        <f t="shared" si="51"/>
        <v>0</v>
      </c>
      <c r="M98" s="15"/>
      <c r="N98" s="15"/>
      <c r="O98" s="16">
        <f t="shared" si="59"/>
        <v>0</v>
      </c>
      <c r="P98" s="15"/>
      <c r="Q98" s="16">
        <f t="shared" si="52"/>
        <v>0</v>
      </c>
      <c r="R98" s="15"/>
      <c r="S98" s="15"/>
      <c r="T98" s="15"/>
      <c r="U98" s="16">
        <f t="shared" si="53"/>
        <v>0</v>
      </c>
      <c r="V98" s="16"/>
      <c r="W98" s="16">
        <f t="shared" si="56"/>
        <v>0</v>
      </c>
      <c r="X98" s="15"/>
      <c r="Y98" s="16">
        <f t="shared" si="54"/>
        <v>0</v>
      </c>
      <c r="Z98" s="15"/>
      <c r="AA98" s="16">
        <f t="shared" si="55"/>
        <v>0</v>
      </c>
      <c r="AB98" s="16"/>
      <c r="AC98" s="16">
        <f t="shared" si="57"/>
        <v>0</v>
      </c>
      <c r="AD98" s="15"/>
      <c r="AE98" s="15"/>
      <c r="AF98" s="64">
        <f t="shared" si="60"/>
        <v>0</v>
      </c>
      <c r="AG98" s="17">
        <f t="shared" si="61"/>
        <v>0</v>
      </c>
      <c r="AH98" s="18"/>
    </row>
    <row r="99" spans="1:34" ht="18.75" x14ac:dyDescent="0.25">
      <c r="A99" s="52">
        <v>100</v>
      </c>
      <c r="B99" s="52"/>
      <c r="C99" s="52"/>
      <c r="D99" s="52"/>
      <c r="E99" s="12">
        <v>9</v>
      </c>
      <c r="F99" s="12"/>
      <c r="G99" s="13"/>
      <c r="H99" s="14">
        <f t="shared" si="50"/>
        <v>0</v>
      </c>
      <c r="I99" s="15"/>
      <c r="J99" s="16">
        <f t="shared" si="62"/>
        <v>0</v>
      </c>
      <c r="K99" s="15"/>
      <c r="L99" s="16">
        <f t="shared" si="51"/>
        <v>0</v>
      </c>
      <c r="M99" s="15"/>
      <c r="N99" s="15"/>
      <c r="O99" s="16">
        <f t="shared" si="59"/>
        <v>0</v>
      </c>
      <c r="P99" s="15"/>
      <c r="Q99" s="16">
        <f t="shared" si="52"/>
        <v>0</v>
      </c>
      <c r="R99" s="15"/>
      <c r="S99" s="15"/>
      <c r="T99" s="15"/>
      <c r="U99" s="16">
        <f t="shared" si="53"/>
        <v>0</v>
      </c>
      <c r="V99" s="62"/>
      <c r="W99" s="16">
        <f t="shared" si="56"/>
        <v>0</v>
      </c>
      <c r="X99" s="15"/>
      <c r="Y99" s="16">
        <f t="shared" si="54"/>
        <v>0</v>
      </c>
      <c r="Z99" s="15"/>
      <c r="AA99" s="16">
        <f t="shared" si="55"/>
        <v>0</v>
      </c>
      <c r="AB99" s="16"/>
      <c r="AC99" s="16">
        <f t="shared" si="57"/>
        <v>0</v>
      </c>
      <c r="AD99" s="15"/>
      <c r="AE99" s="15"/>
      <c r="AF99" s="64">
        <f t="shared" si="60"/>
        <v>0</v>
      </c>
      <c r="AG99" s="17">
        <f t="shared" si="61"/>
        <v>0</v>
      </c>
      <c r="AH99" s="18"/>
    </row>
    <row r="100" spans="1:34" ht="18.75" x14ac:dyDescent="0.25">
      <c r="A100" s="52">
        <v>101</v>
      </c>
      <c r="B100" s="52"/>
      <c r="C100" s="52"/>
      <c r="D100" s="52"/>
      <c r="E100" s="12">
        <v>9</v>
      </c>
      <c r="F100" s="12"/>
      <c r="G100" s="13"/>
      <c r="H100" s="14">
        <f t="shared" si="50"/>
        <v>0</v>
      </c>
      <c r="I100" s="15"/>
      <c r="J100" s="16">
        <f t="shared" si="62"/>
        <v>0</v>
      </c>
      <c r="K100" s="15"/>
      <c r="L100" s="16">
        <f t="shared" si="51"/>
        <v>0</v>
      </c>
      <c r="M100" s="15"/>
      <c r="N100" s="15"/>
      <c r="O100" s="16">
        <f t="shared" si="59"/>
        <v>0</v>
      </c>
      <c r="P100" s="15"/>
      <c r="Q100" s="16">
        <f t="shared" si="52"/>
        <v>0</v>
      </c>
      <c r="R100" s="15"/>
      <c r="S100" s="15"/>
      <c r="T100" s="15"/>
      <c r="U100" s="16">
        <f t="shared" si="53"/>
        <v>0</v>
      </c>
      <c r="V100" s="16"/>
      <c r="W100" s="16">
        <f t="shared" si="56"/>
        <v>0</v>
      </c>
      <c r="X100" s="15"/>
      <c r="Y100" s="16">
        <f t="shared" si="54"/>
        <v>0</v>
      </c>
      <c r="Z100" s="15"/>
      <c r="AA100" s="16">
        <f t="shared" si="55"/>
        <v>0</v>
      </c>
      <c r="AB100" s="16"/>
      <c r="AC100" s="16">
        <f t="shared" si="57"/>
        <v>0</v>
      </c>
      <c r="AD100" s="15"/>
      <c r="AE100" s="15"/>
      <c r="AF100" s="64">
        <f t="shared" si="60"/>
        <v>0</v>
      </c>
      <c r="AG100" s="17">
        <f t="shared" si="61"/>
        <v>0</v>
      </c>
      <c r="AH100" s="18"/>
    </row>
    <row r="101" spans="1:34" ht="21" x14ac:dyDescent="0.3">
      <c r="A101" s="52">
        <v>102</v>
      </c>
      <c r="B101" s="70"/>
      <c r="C101" s="52"/>
      <c r="D101" s="53"/>
      <c r="E101" s="12">
        <v>9</v>
      </c>
      <c r="F101" s="12"/>
      <c r="G101" s="13"/>
      <c r="H101" s="14">
        <f t="shared" si="50"/>
        <v>0</v>
      </c>
      <c r="I101" s="15"/>
      <c r="J101" s="16">
        <f t="shared" si="62"/>
        <v>0</v>
      </c>
      <c r="K101" s="15"/>
      <c r="L101" s="16">
        <f t="shared" si="51"/>
        <v>0</v>
      </c>
      <c r="M101" s="15"/>
      <c r="N101" s="15"/>
      <c r="O101" s="16">
        <f t="shared" si="59"/>
        <v>0</v>
      </c>
      <c r="P101" s="15"/>
      <c r="Q101" s="16">
        <f t="shared" si="52"/>
        <v>0</v>
      </c>
      <c r="R101" s="15"/>
      <c r="S101" s="15"/>
      <c r="T101" s="15"/>
      <c r="U101" s="16">
        <f t="shared" si="53"/>
        <v>0</v>
      </c>
      <c r="V101" s="16"/>
      <c r="W101" s="16">
        <f t="shared" si="56"/>
        <v>0</v>
      </c>
      <c r="X101" s="15"/>
      <c r="Y101" s="16">
        <f t="shared" si="54"/>
        <v>0</v>
      </c>
      <c r="Z101" s="15"/>
      <c r="AA101" s="16">
        <f t="shared" si="55"/>
        <v>0</v>
      </c>
      <c r="AB101" s="16"/>
      <c r="AC101" s="16">
        <f t="shared" si="57"/>
        <v>0</v>
      </c>
      <c r="AD101" s="15"/>
      <c r="AE101" s="15"/>
      <c r="AF101" s="64">
        <f t="shared" si="60"/>
        <v>0</v>
      </c>
      <c r="AG101" s="17">
        <f t="shared" si="61"/>
        <v>0</v>
      </c>
      <c r="AH101" s="18"/>
    </row>
    <row r="102" spans="1:34" ht="21" x14ac:dyDescent="0.3">
      <c r="A102" s="52">
        <v>103</v>
      </c>
      <c r="B102" s="56"/>
      <c r="C102" s="52"/>
      <c r="D102" s="53"/>
      <c r="E102" s="12">
        <v>9</v>
      </c>
      <c r="F102" s="12"/>
      <c r="G102" s="13"/>
      <c r="H102" s="14">
        <f t="shared" si="50"/>
        <v>0</v>
      </c>
      <c r="I102" s="15"/>
      <c r="J102" s="16">
        <f t="shared" si="62"/>
        <v>0</v>
      </c>
      <c r="K102" s="15"/>
      <c r="L102" s="16">
        <f t="shared" si="51"/>
        <v>0</v>
      </c>
      <c r="M102" s="15"/>
      <c r="N102" s="15"/>
      <c r="O102" s="16">
        <f t="shared" si="59"/>
        <v>0</v>
      </c>
      <c r="P102" s="15"/>
      <c r="Q102" s="16">
        <f t="shared" si="52"/>
        <v>0</v>
      </c>
      <c r="R102" s="15"/>
      <c r="S102" s="15"/>
      <c r="T102" s="15"/>
      <c r="U102" s="16">
        <f t="shared" si="53"/>
        <v>0</v>
      </c>
      <c r="V102" s="16"/>
      <c r="W102" s="16">
        <f t="shared" si="56"/>
        <v>0</v>
      </c>
      <c r="X102" s="15"/>
      <c r="Y102" s="16">
        <f t="shared" si="54"/>
        <v>0</v>
      </c>
      <c r="Z102" s="15"/>
      <c r="AA102" s="16">
        <f t="shared" si="55"/>
        <v>0</v>
      </c>
      <c r="AB102" s="16"/>
      <c r="AC102" s="16">
        <f t="shared" si="57"/>
        <v>0</v>
      </c>
      <c r="AD102" s="15"/>
      <c r="AE102" s="15"/>
      <c r="AF102" s="64">
        <f t="shared" si="60"/>
        <v>0</v>
      </c>
      <c r="AG102" s="17">
        <f t="shared" si="61"/>
        <v>0</v>
      </c>
      <c r="AH102" s="18"/>
    </row>
    <row r="103" spans="1:34" ht="21" x14ac:dyDescent="0.3">
      <c r="A103" s="52">
        <v>104</v>
      </c>
      <c r="B103" s="56"/>
      <c r="C103" s="52"/>
      <c r="D103" s="53"/>
      <c r="E103" s="12">
        <v>9</v>
      </c>
      <c r="F103" s="12"/>
      <c r="G103" s="13"/>
      <c r="H103" s="14">
        <f t="shared" si="50"/>
        <v>0</v>
      </c>
      <c r="I103" s="15"/>
      <c r="J103" s="16">
        <f t="shared" si="62"/>
        <v>0</v>
      </c>
      <c r="K103" s="15"/>
      <c r="L103" s="16">
        <f t="shared" si="51"/>
        <v>0</v>
      </c>
      <c r="M103" s="15"/>
      <c r="N103" s="15"/>
      <c r="O103" s="16">
        <f t="shared" si="59"/>
        <v>0</v>
      </c>
      <c r="P103" s="15"/>
      <c r="Q103" s="16">
        <f t="shared" si="52"/>
        <v>0</v>
      </c>
      <c r="R103" s="15"/>
      <c r="S103" s="15"/>
      <c r="T103" s="15"/>
      <c r="U103" s="16">
        <f t="shared" si="53"/>
        <v>0</v>
      </c>
      <c r="V103" s="16"/>
      <c r="W103" s="16">
        <f t="shared" si="56"/>
        <v>0</v>
      </c>
      <c r="X103" s="15"/>
      <c r="Y103" s="16">
        <f t="shared" si="54"/>
        <v>0</v>
      </c>
      <c r="Z103" s="15"/>
      <c r="AA103" s="16">
        <f t="shared" si="55"/>
        <v>0</v>
      </c>
      <c r="AB103" s="16"/>
      <c r="AC103" s="16">
        <f t="shared" si="57"/>
        <v>0</v>
      </c>
      <c r="AD103" s="15"/>
      <c r="AE103" s="15"/>
      <c r="AF103" s="64">
        <f t="shared" si="60"/>
        <v>0</v>
      </c>
      <c r="AG103" s="17">
        <f t="shared" si="61"/>
        <v>0</v>
      </c>
      <c r="AH103" s="18"/>
    </row>
    <row r="104" spans="1:34" ht="21" x14ac:dyDescent="0.3">
      <c r="A104" s="52">
        <v>105</v>
      </c>
      <c r="B104" s="56"/>
      <c r="C104" s="52"/>
      <c r="D104" s="53"/>
      <c r="E104" s="12">
        <v>9</v>
      </c>
      <c r="F104" s="12"/>
      <c r="G104" s="13"/>
      <c r="H104" s="14">
        <f t="shared" si="50"/>
        <v>0</v>
      </c>
      <c r="I104" s="15"/>
      <c r="J104" s="16">
        <f t="shared" si="62"/>
        <v>0</v>
      </c>
      <c r="K104" s="15"/>
      <c r="L104" s="16">
        <f t="shared" si="51"/>
        <v>0</v>
      </c>
      <c r="M104" s="15"/>
      <c r="N104" s="15"/>
      <c r="O104" s="16">
        <f t="shared" si="59"/>
        <v>0</v>
      </c>
      <c r="P104" s="15"/>
      <c r="Q104" s="16">
        <f t="shared" si="52"/>
        <v>0</v>
      </c>
      <c r="R104" s="15"/>
      <c r="S104" s="15"/>
      <c r="T104" s="15"/>
      <c r="U104" s="16">
        <f t="shared" si="53"/>
        <v>0</v>
      </c>
      <c r="V104" s="62"/>
      <c r="W104" s="16">
        <f t="shared" si="56"/>
        <v>0</v>
      </c>
      <c r="X104" s="15"/>
      <c r="Y104" s="16">
        <f t="shared" si="54"/>
        <v>0</v>
      </c>
      <c r="Z104" s="15"/>
      <c r="AA104" s="16">
        <f t="shared" si="55"/>
        <v>0</v>
      </c>
      <c r="AB104" s="16"/>
      <c r="AC104" s="16">
        <f t="shared" si="57"/>
        <v>0</v>
      </c>
      <c r="AD104" s="15"/>
      <c r="AE104" s="15"/>
      <c r="AF104" s="64">
        <f t="shared" si="60"/>
        <v>0</v>
      </c>
      <c r="AG104" s="17">
        <f t="shared" si="61"/>
        <v>0</v>
      </c>
      <c r="AH104" s="18"/>
    </row>
    <row r="105" spans="1:34" ht="21" x14ac:dyDescent="0.25">
      <c r="A105" s="52">
        <v>106</v>
      </c>
      <c r="B105" s="56"/>
      <c r="C105" s="52"/>
      <c r="D105" s="52"/>
      <c r="E105" s="12">
        <v>9</v>
      </c>
      <c r="F105" s="12"/>
      <c r="G105" s="13"/>
      <c r="H105" s="14">
        <f t="shared" si="50"/>
        <v>0</v>
      </c>
      <c r="I105" s="15"/>
      <c r="J105" s="16">
        <f t="shared" si="62"/>
        <v>0</v>
      </c>
      <c r="K105" s="15"/>
      <c r="L105" s="16">
        <f t="shared" si="51"/>
        <v>0</v>
      </c>
      <c r="M105" s="15"/>
      <c r="N105" s="15"/>
      <c r="O105" s="16">
        <f t="shared" si="59"/>
        <v>0</v>
      </c>
      <c r="P105" s="15"/>
      <c r="Q105" s="16">
        <f t="shared" si="52"/>
        <v>0</v>
      </c>
      <c r="R105" s="15"/>
      <c r="S105" s="15"/>
      <c r="T105" s="15"/>
      <c r="U105" s="16">
        <f t="shared" si="53"/>
        <v>0</v>
      </c>
      <c r="V105" s="16"/>
      <c r="W105" s="16">
        <f t="shared" si="56"/>
        <v>0</v>
      </c>
      <c r="X105" s="15"/>
      <c r="Y105" s="16">
        <f t="shared" si="54"/>
        <v>0</v>
      </c>
      <c r="Z105" s="15"/>
      <c r="AA105" s="16">
        <f t="shared" si="55"/>
        <v>0</v>
      </c>
      <c r="AB105" s="16"/>
      <c r="AC105" s="16">
        <f t="shared" si="57"/>
        <v>0</v>
      </c>
      <c r="AD105" s="15"/>
      <c r="AE105" s="15"/>
      <c r="AF105" s="64">
        <f t="shared" si="60"/>
        <v>0</v>
      </c>
      <c r="AG105" s="17">
        <f t="shared" si="61"/>
        <v>0</v>
      </c>
      <c r="AH105" s="18"/>
    </row>
    <row r="106" spans="1:34" ht="21" x14ac:dyDescent="0.25">
      <c r="A106" s="52">
        <v>107</v>
      </c>
      <c r="B106" s="56"/>
      <c r="C106" s="52"/>
      <c r="D106" s="52"/>
      <c r="E106" s="12">
        <v>9</v>
      </c>
      <c r="F106" s="12"/>
      <c r="G106" s="13"/>
      <c r="H106" s="14">
        <f t="shared" si="50"/>
        <v>0</v>
      </c>
      <c r="I106" s="15"/>
      <c r="J106" s="16">
        <f t="shared" si="62"/>
        <v>0</v>
      </c>
      <c r="K106" s="15"/>
      <c r="L106" s="16">
        <f t="shared" si="51"/>
        <v>0</v>
      </c>
      <c r="M106" s="15"/>
      <c r="N106" s="15"/>
      <c r="O106" s="16">
        <f t="shared" si="59"/>
        <v>0</v>
      </c>
      <c r="P106" s="15"/>
      <c r="Q106" s="16">
        <f t="shared" si="52"/>
        <v>0</v>
      </c>
      <c r="R106" s="15"/>
      <c r="S106" s="15"/>
      <c r="T106" s="15"/>
      <c r="U106" s="16">
        <f t="shared" si="53"/>
        <v>0</v>
      </c>
      <c r="V106" s="16"/>
      <c r="W106" s="16">
        <f t="shared" si="56"/>
        <v>0</v>
      </c>
      <c r="X106" s="15"/>
      <c r="Y106" s="16">
        <f t="shared" si="54"/>
        <v>0</v>
      </c>
      <c r="Z106" s="15"/>
      <c r="AA106" s="16">
        <f t="shared" si="55"/>
        <v>0</v>
      </c>
      <c r="AB106" s="16"/>
      <c r="AC106" s="16">
        <f t="shared" si="57"/>
        <v>0</v>
      </c>
      <c r="AD106" s="15"/>
      <c r="AE106" s="15"/>
      <c r="AF106" s="64">
        <f t="shared" si="60"/>
        <v>0</v>
      </c>
      <c r="AG106" s="17">
        <f t="shared" si="61"/>
        <v>0</v>
      </c>
      <c r="AH106" s="18"/>
    </row>
    <row r="107" spans="1:34" ht="21" x14ac:dyDescent="0.25">
      <c r="A107" s="52">
        <v>108</v>
      </c>
      <c r="B107" s="56"/>
      <c r="C107" s="52"/>
      <c r="D107" s="52"/>
      <c r="E107" s="12">
        <v>9</v>
      </c>
      <c r="F107" s="12"/>
      <c r="G107" s="13"/>
      <c r="H107" s="14">
        <f t="shared" si="50"/>
        <v>0</v>
      </c>
      <c r="I107" s="15"/>
      <c r="J107" s="16">
        <f t="shared" si="62"/>
        <v>0</v>
      </c>
      <c r="K107" s="15"/>
      <c r="L107" s="16">
        <f t="shared" si="51"/>
        <v>0</v>
      </c>
      <c r="M107" s="15"/>
      <c r="N107" s="15"/>
      <c r="O107" s="16">
        <f t="shared" si="59"/>
        <v>0</v>
      </c>
      <c r="P107" s="15"/>
      <c r="Q107" s="16">
        <f t="shared" si="52"/>
        <v>0</v>
      </c>
      <c r="R107" s="15"/>
      <c r="S107" s="15"/>
      <c r="T107" s="15"/>
      <c r="U107" s="16">
        <f t="shared" si="53"/>
        <v>0</v>
      </c>
      <c r="V107" s="16"/>
      <c r="W107" s="16">
        <f t="shared" si="56"/>
        <v>0</v>
      </c>
      <c r="X107" s="15"/>
      <c r="Y107" s="16">
        <f t="shared" si="54"/>
        <v>0</v>
      </c>
      <c r="Z107" s="15"/>
      <c r="AA107" s="16">
        <f t="shared" si="55"/>
        <v>0</v>
      </c>
      <c r="AB107" s="16"/>
      <c r="AC107" s="16">
        <f t="shared" si="57"/>
        <v>0</v>
      </c>
      <c r="AD107" s="15"/>
      <c r="AE107" s="15"/>
      <c r="AF107" s="64">
        <f t="shared" si="60"/>
        <v>0</v>
      </c>
      <c r="AG107" s="17">
        <f t="shared" si="61"/>
        <v>0</v>
      </c>
      <c r="AH107" s="18"/>
    </row>
    <row r="108" spans="1:34" ht="21" x14ac:dyDescent="0.3">
      <c r="A108" s="52">
        <v>109</v>
      </c>
      <c r="B108" s="71"/>
      <c r="C108" s="52"/>
      <c r="D108" s="53"/>
      <c r="E108" s="12">
        <v>9</v>
      </c>
      <c r="F108" s="12"/>
      <c r="G108" s="13"/>
      <c r="H108" s="14">
        <f t="shared" si="50"/>
        <v>0</v>
      </c>
      <c r="I108" s="15"/>
      <c r="J108" s="16">
        <f t="shared" si="62"/>
        <v>0</v>
      </c>
      <c r="K108" s="15"/>
      <c r="L108" s="16">
        <f t="shared" si="51"/>
        <v>0</v>
      </c>
      <c r="M108" s="15"/>
      <c r="N108" s="15"/>
      <c r="O108" s="16">
        <f t="shared" si="59"/>
        <v>0</v>
      </c>
      <c r="P108" s="15"/>
      <c r="Q108" s="16">
        <f t="shared" si="52"/>
        <v>0</v>
      </c>
      <c r="R108" s="15"/>
      <c r="S108" s="15"/>
      <c r="T108" s="15"/>
      <c r="U108" s="16">
        <f t="shared" si="53"/>
        <v>0</v>
      </c>
      <c r="V108" s="16"/>
      <c r="W108" s="16">
        <f t="shared" si="56"/>
        <v>0</v>
      </c>
      <c r="X108" s="15"/>
      <c r="Y108" s="16">
        <f t="shared" si="54"/>
        <v>0</v>
      </c>
      <c r="Z108" s="15"/>
      <c r="AA108" s="16">
        <f t="shared" si="55"/>
        <v>0</v>
      </c>
      <c r="AB108" s="16"/>
      <c r="AC108" s="16">
        <f t="shared" si="57"/>
        <v>0</v>
      </c>
      <c r="AD108" s="15"/>
      <c r="AE108" s="15"/>
      <c r="AF108" s="64">
        <f t="shared" si="60"/>
        <v>0</v>
      </c>
      <c r="AG108" s="17">
        <f t="shared" si="61"/>
        <v>0</v>
      </c>
      <c r="AH108" s="18"/>
    </row>
    <row r="109" spans="1:34" ht="21" x14ac:dyDescent="0.3">
      <c r="A109" s="52">
        <v>110</v>
      </c>
      <c r="B109" s="56"/>
      <c r="C109" s="52"/>
      <c r="D109" s="53"/>
      <c r="E109" s="12">
        <v>9</v>
      </c>
      <c r="F109" s="12"/>
      <c r="G109" s="13"/>
      <c r="H109" s="14">
        <f t="shared" si="50"/>
        <v>0</v>
      </c>
      <c r="I109" s="15"/>
      <c r="J109" s="16">
        <f t="shared" si="62"/>
        <v>0</v>
      </c>
      <c r="K109" s="15"/>
      <c r="L109" s="16">
        <f t="shared" si="51"/>
        <v>0</v>
      </c>
      <c r="M109" s="15"/>
      <c r="N109" s="15"/>
      <c r="O109" s="16">
        <f t="shared" si="59"/>
        <v>0</v>
      </c>
      <c r="P109" s="15"/>
      <c r="Q109" s="16">
        <f t="shared" si="52"/>
        <v>0</v>
      </c>
      <c r="R109" s="15"/>
      <c r="S109" s="15"/>
      <c r="T109" s="15"/>
      <c r="U109" s="16">
        <f t="shared" si="53"/>
        <v>0</v>
      </c>
      <c r="V109" s="16"/>
      <c r="W109" s="16">
        <f t="shared" si="56"/>
        <v>0</v>
      </c>
      <c r="X109" s="15"/>
      <c r="Y109" s="16">
        <f t="shared" si="54"/>
        <v>0</v>
      </c>
      <c r="Z109" s="15"/>
      <c r="AA109" s="16">
        <f t="shared" si="55"/>
        <v>0</v>
      </c>
      <c r="AB109" s="16"/>
      <c r="AC109" s="16">
        <f t="shared" si="57"/>
        <v>0</v>
      </c>
      <c r="AD109" s="15"/>
      <c r="AE109" s="15"/>
      <c r="AF109" s="64">
        <f t="shared" si="60"/>
        <v>0</v>
      </c>
      <c r="AG109" s="17">
        <f t="shared" si="61"/>
        <v>0</v>
      </c>
      <c r="AH109" s="18"/>
    </row>
    <row r="110" spans="1:34" ht="21" x14ac:dyDescent="0.3">
      <c r="A110" s="52">
        <v>111</v>
      </c>
      <c r="B110" s="54"/>
      <c r="C110" s="52"/>
      <c r="D110" s="53"/>
      <c r="E110" s="12">
        <v>9</v>
      </c>
      <c r="F110" s="12"/>
      <c r="G110" s="13"/>
      <c r="H110" s="14">
        <f t="shared" si="50"/>
        <v>0</v>
      </c>
      <c r="I110" s="15"/>
      <c r="J110" s="16">
        <f t="shared" si="62"/>
        <v>0</v>
      </c>
      <c r="K110" s="15"/>
      <c r="L110" s="16">
        <f t="shared" si="51"/>
        <v>0</v>
      </c>
      <c r="M110" s="15"/>
      <c r="N110" s="15"/>
      <c r="O110" s="16">
        <f t="shared" si="59"/>
        <v>0</v>
      </c>
      <c r="P110" s="15"/>
      <c r="Q110" s="16">
        <f t="shared" si="52"/>
        <v>0</v>
      </c>
      <c r="R110" s="15"/>
      <c r="S110" s="15"/>
      <c r="T110" s="15"/>
      <c r="U110" s="16">
        <f t="shared" si="53"/>
        <v>0</v>
      </c>
      <c r="V110" s="16"/>
      <c r="W110" s="16">
        <f t="shared" si="56"/>
        <v>0</v>
      </c>
      <c r="X110" s="15"/>
      <c r="Y110" s="16">
        <f t="shared" si="54"/>
        <v>0</v>
      </c>
      <c r="Z110" s="15"/>
      <c r="AA110" s="16">
        <f t="shared" si="55"/>
        <v>0</v>
      </c>
      <c r="AB110" s="16"/>
      <c r="AC110" s="16">
        <f t="shared" si="57"/>
        <v>0</v>
      </c>
      <c r="AD110" s="15"/>
      <c r="AE110" s="15"/>
      <c r="AF110" s="64">
        <f t="shared" si="60"/>
        <v>0</v>
      </c>
      <c r="AG110" s="17">
        <f t="shared" si="61"/>
        <v>0</v>
      </c>
      <c r="AH110" s="18"/>
    </row>
    <row r="111" spans="1:34" ht="21" x14ac:dyDescent="0.3">
      <c r="A111" s="52">
        <v>112</v>
      </c>
      <c r="B111" s="54"/>
      <c r="C111" s="52"/>
      <c r="D111" s="53"/>
      <c r="E111" s="12">
        <v>9</v>
      </c>
      <c r="F111" s="12"/>
      <c r="G111" s="13"/>
      <c r="H111" s="14">
        <f t="shared" si="50"/>
        <v>0</v>
      </c>
      <c r="I111" s="15"/>
      <c r="J111" s="16">
        <f t="shared" si="62"/>
        <v>0</v>
      </c>
      <c r="K111" s="15"/>
      <c r="L111" s="16">
        <f t="shared" si="51"/>
        <v>0</v>
      </c>
      <c r="M111" s="15"/>
      <c r="N111" s="15"/>
      <c r="O111" s="16">
        <f t="shared" si="59"/>
        <v>0</v>
      </c>
      <c r="P111" s="15"/>
      <c r="Q111" s="16">
        <f t="shared" si="52"/>
        <v>0</v>
      </c>
      <c r="R111" s="15"/>
      <c r="S111" s="15"/>
      <c r="T111" s="15"/>
      <c r="U111" s="16">
        <f t="shared" si="53"/>
        <v>0</v>
      </c>
      <c r="V111" s="16"/>
      <c r="W111" s="16">
        <f t="shared" si="56"/>
        <v>0</v>
      </c>
      <c r="X111" s="15"/>
      <c r="Y111" s="16">
        <f t="shared" si="54"/>
        <v>0</v>
      </c>
      <c r="Z111" s="15"/>
      <c r="AA111" s="16">
        <f t="shared" si="55"/>
        <v>0</v>
      </c>
      <c r="AB111" s="16"/>
      <c r="AC111" s="16">
        <f t="shared" si="57"/>
        <v>0</v>
      </c>
      <c r="AD111" s="15"/>
      <c r="AE111" s="15"/>
      <c r="AF111" s="64">
        <f t="shared" si="60"/>
        <v>0</v>
      </c>
      <c r="AG111" s="17">
        <f t="shared" si="61"/>
        <v>0</v>
      </c>
      <c r="AH111" s="18"/>
    </row>
    <row r="112" spans="1:34" ht="21" x14ac:dyDescent="0.3">
      <c r="A112" s="52">
        <v>113</v>
      </c>
      <c r="B112" s="54"/>
      <c r="C112" s="52"/>
      <c r="D112" s="53"/>
      <c r="E112" s="12">
        <v>9</v>
      </c>
      <c r="F112" s="12"/>
      <c r="G112" s="13"/>
      <c r="H112" s="14">
        <f t="shared" si="50"/>
        <v>0</v>
      </c>
      <c r="I112" s="15"/>
      <c r="J112" s="16">
        <f t="shared" si="62"/>
        <v>0</v>
      </c>
      <c r="K112" s="15"/>
      <c r="L112" s="16">
        <f t="shared" si="51"/>
        <v>0</v>
      </c>
      <c r="M112" s="15"/>
      <c r="N112" s="15"/>
      <c r="O112" s="16">
        <f t="shared" si="59"/>
        <v>0</v>
      </c>
      <c r="P112" s="15"/>
      <c r="Q112" s="16">
        <f t="shared" si="52"/>
        <v>0</v>
      </c>
      <c r="R112" s="15"/>
      <c r="S112" s="15"/>
      <c r="T112" s="15"/>
      <c r="U112" s="16">
        <f t="shared" si="53"/>
        <v>0</v>
      </c>
      <c r="V112" s="16"/>
      <c r="W112" s="16">
        <f t="shared" si="56"/>
        <v>0</v>
      </c>
      <c r="X112" s="15"/>
      <c r="Y112" s="16">
        <f t="shared" si="54"/>
        <v>0</v>
      </c>
      <c r="Z112" s="15"/>
      <c r="AA112" s="16">
        <f t="shared" si="55"/>
        <v>0</v>
      </c>
      <c r="AB112" s="16"/>
      <c r="AC112" s="16">
        <f t="shared" si="57"/>
        <v>0</v>
      </c>
      <c r="AD112" s="15"/>
      <c r="AE112" s="15"/>
      <c r="AF112" s="64">
        <f t="shared" si="60"/>
        <v>0</v>
      </c>
      <c r="AG112" s="17">
        <f t="shared" si="61"/>
        <v>0</v>
      </c>
      <c r="AH112" s="18"/>
    </row>
    <row r="113" spans="1:34" ht="21" x14ac:dyDescent="0.25">
      <c r="A113" s="52">
        <v>114</v>
      </c>
      <c r="B113" s="54"/>
      <c r="C113" s="52"/>
      <c r="D113" s="52"/>
      <c r="E113" s="12">
        <v>9</v>
      </c>
      <c r="F113" s="12"/>
      <c r="G113" s="13"/>
      <c r="H113" s="14">
        <f t="shared" si="50"/>
        <v>0</v>
      </c>
      <c r="I113" s="15"/>
      <c r="J113" s="16">
        <f t="shared" si="62"/>
        <v>0</v>
      </c>
      <c r="K113" s="15"/>
      <c r="L113" s="16">
        <f t="shared" si="51"/>
        <v>0</v>
      </c>
      <c r="M113" s="15"/>
      <c r="N113" s="15"/>
      <c r="O113" s="16">
        <f t="shared" si="59"/>
        <v>0</v>
      </c>
      <c r="P113" s="15"/>
      <c r="Q113" s="16">
        <f t="shared" si="52"/>
        <v>0</v>
      </c>
      <c r="R113" s="15"/>
      <c r="S113" s="15"/>
      <c r="T113" s="15"/>
      <c r="U113" s="16">
        <f t="shared" si="53"/>
        <v>0</v>
      </c>
      <c r="V113" s="62"/>
      <c r="W113" s="16">
        <f t="shared" si="56"/>
        <v>0</v>
      </c>
      <c r="X113" s="15"/>
      <c r="Y113" s="16">
        <f t="shared" si="54"/>
        <v>0</v>
      </c>
      <c r="Z113" s="15"/>
      <c r="AA113" s="16">
        <f t="shared" si="55"/>
        <v>0</v>
      </c>
      <c r="AB113" s="16"/>
      <c r="AC113" s="16">
        <f t="shared" si="57"/>
        <v>0</v>
      </c>
      <c r="AD113" s="15"/>
      <c r="AE113" s="15"/>
      <c r="AF113" s="64">
        <f t="shared" si="60"/>
        <v>0</v>
      </c>
      <c r="AG113" s="17">
        <f t="shared" si="61"/>
        <v>0</v>
      </c>
      <c r="AH113" s="18"/>
    </row>
    <row r="114" spans="1:34" ht="21" x14ac:dyDescent="0.25">
      <c r="A114" s="54"/>
      <c r="B114" s="54"/>
      <c r="C114" s="52"/>
      <c r="D114" s="52"/>
      <c r="E114" s="12">
        <v>9</v>
      </c>
      <c r="F114" s="12"/>
      <c r="G114" s="13"/>
      <c r="H114" s="14">
        <f t="shared" si="50"/>
        <v>0</v>
      </c>
      <c r="I114" s="15"/>
      <c r="J114" s="16">
        <f t="shared" si="62"/>
        <v>0</v>
      </c>
      <c r="K114" s="15"/>
      <c r="L114" s="16">
        <f t="shared" si="51"/>
        <v>0</v>
      </c>
      <c r="M114" s="15"/>
      <c r="N114" s="15"/>
      <c r="O114" s="16">
        <f t="shared" si="59"/>
        <v>0</v>
      </c>
      <c r="P114" s="15"/>
      <c r="Q114" s="16">
        <f t="shared" si="52"/>
        <v>0</v>
      </c>
      <c r="R114" s="15"/>
      <c r="S114" s="15"/>
      <c r="T114" s="15"/>
      <c r="U114" s="16">
        <f t="shared" si="53"/>
        <v>0</v>
      </c>
      <c r="V114" s="16"/>
      <c r="W114" s="16">
        <f t="shared" si="56"/>
        <v>0</v>
      </c>
      <c r="X114" s="15"/>
      <c r="Y114" s="16">
        <f t="shared" si="54"/>
        <v>0</v>
      </c>
      <c r="Z114" s="15"/>
      <c r="AA114" s="16">
        <f t="shared" si="55"/>
        <v>0</v>
      </c>
      <c r="AB114" s="16"/>
      <c r="AC114" s="16">
        <f t="shared" si="57"/>
        <v>0</v>
      </c>
      <c r="AD114" s="15"/>
      <c r="AE114" s="15"/>
      <c r="AF114" s="64">
        <f t="shared" si="60"/>
        <v>0</v>
      </c>
      <c r="AG114" s="17">
        <f t="shared" si="61"/>
        <v>0</v>
      </c>
      <c r="AH114" s="18"/>
    </row>
    <row r="115" spans="1:34" ht="21" x14ac:dyDescent="0.25">
      <c r="A115" s="54"/>
      <c r="B115" s="54"/>
      <c r="C115" s="52"/>
      <c r="D115" s="52"/>
      <c r="E115" s="12">
        <v>9</v>
      </c>
      <c r="F115" s="12"/>
      <c r="G115" s="13"/>
      <c r="H115" s="14">
        <f t="shared" si="50"/>
        <v>0</v>
      </c>
      <c r="I115" s="15"/>
      <c r="J115" s="16">
        <f t="shared" si="62"/>
        <v>0</v>
      </c>
      <c r="K115" s="15"/>
      <c r="L115" s="16">
        <f t="shared" si="51"/>
        <v>0</v>
      </c>
      <c r="M115" s="15"/>
      <c r="N115" s="15"/>
      <c r="O115" s="16">
        <f t="shared" si="59"/>
        <v>0</v>
      </c>
      <c r="P115" s="15"/>
      <c r="Q115" s="16">
        <f t="shared" si="52"/>
        <v>0</v>
      </c>
      <c r="R115" s="15"/>
      <c r="S115" s="15"/>
      <c r="T115" s="15"/>
      <c r="U115" s="16">
        <f t="shared" si="53"/>
        <v>0</v>
      </c>
      <c r="V115" s="16"/>
      <c r="W115" s="16">
        <f t="shared" si="56"/>
        <v>0</v>
      </c>
      <c r="X115" s="15"/>
      <c r="Y115" s="16">
        <f t="shared" si="54"/>
        <v>0</v>
      </c>
      <c r="Z115" s="15"/>
      <c r="AA115" s="16">
        <f t="shared" si="55"/>
        <v>0</v>
      </c>
      <c r="AB115" s="16"/>
      <c r="AC115" s="16">
        <f t="shared" si="57"/>
        <v>0</v>
      </c>
      <c r="AD115" s="15"/>
      <c r="AE115" s="15"/>
      <c r="AF115" s="64">
        <f t="shared" si="60"/>
        <v>0</v>
      </c>
      <c r="AG115" s="17">
        <f t="shared" si="61"/>
        <v>0</v>
      </c>
      <c r="AH115" s="18"/>
    </row>
    <row r="116" spans="1:34" ht="21" x14ac:dyDescent="0.25">
      <c r="A116" s="54"/>
      <c r="B116" s="54"/>
      <c r="C116" s="52"/>
      <c r="D116" s="52"/>
      <c r="E116" s="12">
        <v>9</v>
      </c>
      <c r="F116" s="12"/>
      <c r="G116" s="13"/>
      <c r="H116" s="14">
        <f t="shared" si="50"/>
        <v>0</v>
      </c>
      <c r="I116" s="15"/>
      <c r="J116" s="16">
        <f t="shared" si="62"/>
        <v>0</v>
      </c>
      <c r="K116" s="15"/>
      <c r="L116" s="16">
        <f t="shared" si="51"/>
        <v>0</v>
      </c>
      <c r="M116" s="15"/>
      <c r="N116" s="15"/>
      <c r="O116" s="16">
        <f t="shared" si="59"/>
        <v>0</v>
      </c>
      <c r="P116" s="15"/>
      <c r="Q116" s="16">
        <f t="shared" si="52"/>
        <v>0</v>
      </c>
      <c r="R116" s="15"/>
      <c r="S116" s="15"/>
      <c r="T116" s="15"/>
      <c r="U116" s="16">
        <f t="shared" si="53"/>
        <v>0</v>
      </c>
      <c r="V116" s="16"/>
      <c r="W116" s="16">
        <f t="shared" si="56"/>
        <v>0</v>
      </c>
      <c r="X116" s="15"/>
      <c r="Y116" s="16">
        <f t="shared" si="54"/>
        <v>0</v>
      </c>
      <c r="Z116" s="15"/>
      <c r="AA116" s="16">
        <f t="shared" si="55"/>
        <v>0</v>
      </c>
      <c r="AB116" s="16"/>
      <c r="AC116" s="16">
        <f t="shared" si="57"/>
        <v>0</v>
      </c>
      <c r="AD116" s="15"/>
      <c r="AE116" s="15"/>
      <c r="AF116" s="64">
        <f t="shared" si="60"/>
        <v>0</v>
      </c>
      <c r="AG116" s="17">
        <f t="shared" si="61"/>
        <v>0</v>
      </c>
      <c r="AH116" s="18"/>
    </row>
    <row r="117" spans="1:34" ht="21" x14ac:dyDescent="0.25">
      <c r="A117" s="54"/>
      <c r="B117" s="72"/>
      <c r="C117" s="52"/>
      <c r="D117" s="52"/>
      <c r="E117" s="12">
        <v>9</v>
      </c>
      <c r="F117" s="12"/>
      <c r="G117" s="13"/>
      <c r="H117" s="14">
        <f t="shared" si="50"/>
        <v>0</v>
      </c>
      <c r="I117" s="15"/>
      <c r="J117" s="16">
        <f t="shared" si="62"/>
        <v>0</v>
      </c>
      <c r="K117" s="15"/>
      <c r="L117" s="16">
        <f t="shared" si="51"/>
        <v>0</v>
      </c>
      <c r="M117" s="15"/>
      <c r="N117" s="15"/>
      <c r="O117" s="16">
        <f t="shared" si="59"/>
        <v>0</v>
      </c>
      <c r="P117" s="15"/>
      <c r="Q117" s="16">
        <f t="shared" si="52"/>
        <v>0</v>
      </c>
      <c r="R117" s="15"/>
      <c r="S117" s="15"/>
      <c r="T117" s="15"/>
      <c r="U117" s="16">
        <f t="shared" si="53"/>
        <v>0</v>
      </c>
      <c r="V117" s="16"/>
      <c r="W117" s="16">
        <f t="shared" si="56"/>
        <v>0</v>
      </c>
      <c r="X117" s="15"/>
      <c r="Y117" s="16">
        <f t="shared" si="54"/>
        <v>0</v>
      </c>
      <c r="Z117" s="15"/>
      <c r="AA117" s="16">
        <f t="shared" si="55"/>
        <v>0</v>
      </c>
      <c r="AB117" s="16"/>
      <c r="AC117" s="16">
        <f t="shared" si="57"/>
        <v>0</v>
      </c>
      <c r="AD117" s="15"/>
      <c r="AE117" s="15"/>
      <c r="AF117" s="64">
        <f t="shared" si="60"/>
        <v>0</v>
      </c>
      <c r="AG117" s="17">
        <f t="shared" si="61"/>
        <v>0</v>
      </c>
      <c r="AH117" s="18"/>
    </row>
    <row r="118" spans="1:34" ht="21" x14ac:dyDescent="0.25">
      <c r="A118" s="54"/>
      <c r="B118" s="54"/>
      <c r="C118" s="52"/>
      <c r="D118" s="52"/>
      <c r="E118" s="12">
        <v>9</v>
      </c>
      <c r="F118" s="12"/>
      <c r="G118" s="13"/>
      <c r="H118" s="14">
        <f t="shared" si="50"/>
        <v>0</v>
      </c>
      <c r="I118" s="15"/>
      <c r="J118" s="16">
        <f t="shared" si="62"/>
        <v>0</v>
      </c>
      <c r="K118" s="15"/>
      <c r="L118" s="16">
        <f t="shared" si="51"/>
        <v>0</v>
      </c>
      <c r="M118" s="15"/>
      <c r="N118" s="15"/>
      <c r="O118" s="16">
        <f t="shared" si="59"/>
        <v>0</v>
      </c>
      <c r="P118" s="15"/>
      <c r="Q118" s="16">
        <f t="shared" si="52"/>
        <v>0</v>
      </c>
      <c r="R118" s="15"/>
      <c r="S118" s="15"/>
      <c r="T118" s="15"/>
      <c r="U118" s="16">
        <f t="shared" si="53"/>
        <v>0</v>
      </c>
      <c r="V118" s="16"/>
      <c r="W118" s="16">
        <f t="shared" si="56"/>
        <v>0</v>
      </c>
      <c r="X118" s="15"/>
      <c r="Y118" s="16">
        <f t="shared" si="54"/>
        <v>0</v>
      </c>
      <c r="Z118" s="15"/>
      <c r="AA118" s="16">
        <f t="shared" si="55"/>
        <v>0</v>
      </c>
      <c r="AB118" s="16"/>
      <c r="AC118" s="16">
        <f t="shared" si="57"/>
        <v>0</v>
      </c>
      <c r="AD118" s="15"/>
      <c r="AE118" s="15"/>
      <c r="AF118" s="64">
        <f t="shared" si="60"/>
        <v>0</v>
      </c>
      <c r="AG118" s="17">
        <f t="shared" si="61"/>
        <v>0</v>
      </c>
      <c r="AH118" s="18"/>
    </row>
    <row r="119" spans="1:34" ht="21" x14ac:dyDescent="0.3">
      <c r="A119" s="54"/>
      <c r="B119" s="54"/>
      <c r="C119" s="52"/>
      <c r="D119" s="53"/>
      <c r="E119" s="12">
        <v>9</v>
      </c>
      <c r="F119" s="12"/>
      <c r="G119" s="13"/>
      <c r="H119" s="14">
        <f t="shared" si="50"/>
        <v>0</v>
      </c>
      <c r="I119" s="15"/>
      <c r="J119" s="16">
        <f t="shared" si="62"/>
        <v>0</v>
      </c>
      <c r="K119" s="15"/>
      <c r="L119" s="16">
        <f t="shared" si="51"/>
        <v>0</v>
      </c>
      <c r="M119" s="15"/>
      <c r="N119" s="15"/>
      <c r="O119" s="16">
        <f t="shared" si="59"/>
        <v>0</v>
      </c>
      <c r="P119" s="15"/>
      <c r="Q119" s="16">
        <f t="shared" si="52"/>
        <v>0</v>
      </c>
      <c r="R119" s="15"/>
      <c r="S119" s="15"/>
      <c r="T119" s="15"/>
      <c r="U119" s="16">
        <f t="shared" si="53"/>
        <v>0</v>
      </c>
      <c r="V119" s="16"/>
      <c r="W119" s="16">
        <f t="shared" si="56"/>
        <v>0</v>
      </c>
      <c r="X119" s="15"/>
      <c r="Y119" s="16">
        <f t="shared" si="54"/>
        <v>0</v>
      </c>
      <c r="Z119" s="15"/>
      <c r="AA119" s="16">
        <f t="shared" si="55"/>
        <v>0</v>
      </c>
      <c r="AB119" s="16"/>
      <c r="AC119" s="16">
        <f t="shared" si="57"/>
        <v>0</v>
      </c>
      <c r="AD119" s="15"/>
      <c r="AE119" s="15"/>
      <c r="AF119" s="64">
        <f t="shared" si="60"/>
        <v>0</v>
      </c>
      <c r="AG119" s="17">
        <f t="shared" si="61"/>
        <v>0</v>
      </c>
      <c r="AH119" s="18"/>
    </row>
    <row r="120" spans="1:34" ht="21" x14ac:dyDescent="0.25">
      <c r="A120" s="54"/>
      <c r="B120" s="54"/>
      <c r="C120" s="52"/>
      <c r="D120" s="52"/>
      <c r="E120" s="12">
        <v>9</v>
      </c>
      <c r="F120" s="12"/>
      <c r="G120" s="13"/>
      <c r="H120" s="14">
        <f t="shared" si="50"/>
        <v>0</v>
      </c>
      <c r="I120" s="15"/>
      <c r="J120" s="16">
        <f t="shared" si="62"/>
        <v>0</v>
      </c>
      <c r="K120" s="15"/>
      <c r="L120" s="16">
        <f t="shared" si="51"/>
        <v>0</v>
      </c>
      <c r="M120" s="15"/>
      <c r="N120" s="15"/>
      <c r="O120" s="16">
        <f t="shared" si="59"/>
        <v>0</v>
      </c>
      <c r="P120" s="15"/>
      <c r="Q120" s="16">
        <f t="shared" si="52"/>
        <v>0</v>
      </c>
      <c r="R120" s="15"/>
      <c r="S120" s="15"/>
      <c r="T120" s="15"/>
      <c r="U120" s="16">
        <f t="shared" si="53"/>
        <v>0</v>
      </c>
      <c r="V120" s="16"/>
      <c r="W120" s="16">
        <f t="shared" si="56"/>
        <v>0</v>
      </c>
      <c r="X120" s="15"/>
      <c r="Y120" s="16">
        <f t="shared" si="54"/>
        <v>0</v>
      </c>
      <c r="Z120" s="15"/>
      <c r="AA120" s="16">
        <f t="shared" si="55"/>
        <v>0</v>
      </c>
      <c r="AB120" s="16"/>
      <c r="AC120" s="16">
        <f t="shared" si="57"/>
        <v>0</v>
      </c>
      <c r="AD120" s="15"/>
      <c r="AE120" s="15"/>
      <c r="AF120" s="64">
        <f t="shared" si="60"/>
        <v>0</v>
      </c>
      <c r="AG120" s="17">
        <f t="shared" si="61"/>
        <v>0</v>
      </c>
      <c r="AH120" s="18"/>
    </row>
    <row r="121" spans="1:34" ht="21" x14ac:dyDescent="0.3">
      <c r="A121" s="54"/>
      <c r="B121" s="54"/>
      <c r="C121" s="52"/>
      <c r="D121" s="53"/>
      <c r="E121" s="12">
        <v>9</v>
      </c>
      <c r="F121" s="12"/>
      <c r="G121" s="13"/>
      <c r="H121" s="14">
        <f t="shared" si="50"/>
        <v>0</v>
      </c>
      <c r="I121" s="15"/>
      <c r="J121" s="16">
        <f t="shared" si="62"/>
        <v>0</v>
      </c>
      <c r="K121" s="15"/>
      <c r="L121" s="16">
        <f t="shared" si="51"/>
        <v>0</v>
      </c>
      <c r="M121" s="15"/>
      <c r="N121" s="15"/>
      <c r="O121" s="16">
        <f t="shared" si="59"/>
        <v>0</v>
      </c>
      <c r="P121" s="15"/>
      <c r="Q121" s="16">
        <f t="shared" si="52"/>
        <v>0</v>
      </c>
      <c r="R121" s="15"/>
      <c r="S121" s="15"/>
      <c r="T121" s="15"/>
      <c r="U121" s="16">
        <f t="shared" si="53"/>
        <v>0</v>
      </c>
      <c r="V121" s="16"/>
      <c r="W121" s="16">
        <f t="shared" si="56"/>
        <v>0</v>
      </c>
      <c r="X121" s="15"/>
      <c r="Y121" s="16">
        <f t="shared" si="54"/>
        <v>0</v>
      </c>
      <c r="Z121" s="15"/>
      <c r="AA121" s="16">
        <f t="shared" si="55"/>
        <v>0</v>
      </c>
      <c r="AB121" s="16"/>
      <c r="AC121" s="16">
        <f t="shared" si="57"/>
        <v>0</v>
      </c>
      <c r="AD121" s="15"/>
      <c r="AE121" s="15"/>
      <c r="AF121" s="64">
        <f t="shared" si="60"/>
        <v>0</v>
      </c>
      <c r="AG121" s="17">
        <f t="shared" si="61"/>
        <v>0</v>
      </c>
      <c r="AH121" s="18"/>
    </row>
    <row r="122" spans="1:34" ht="21" x14ac:dyDescent="0.25">
      <c r="A122" s="54"/>
      <c r="B122" s="54"/>
      <c r="C122" s="52"/>
      <c r="D122" s="52"/>
      <c r="E122" s="12">
        <v>9</v>
      </c>
      <c r="F122" s="12"/>
      <c r="G122" s="13"/>
      <c r="H122" s="14">
        <f t="shared" si="50"/>
        <v>0</v>
      </c>
      <c r="I122" s="15"/>
      <c r="J122" s="16">
        <f t="shared" si="62"/>
        <v>0</v>
      </c>
      <c r="K122" s="15"/>
      <c r="L122" s="16">
        <f t="shared" si="51"/>
        <v>0</v>
      </c>
      <c r="M122" s="15"/>
      <c r="N122" s="15"/>
      <c r="O122" s="16">
        <f t="shared" si="59"/>
        <v>0</v>
      </c>
      <c r="P122" s="15"/>
      <c r="Q122" s="16">
        <f t="shared" si="52"/>
        <v>0</v>
      </c>
      <c r="R122" s="15"/>
      <c r="S122" s="15"/>
      <c r="T122" s="15"/>
      <c r="U122" s="16">
        <f t="shared" si="53"/>
        <v>0</v>
      </c>
      <c r="V122" s="16"/>
      <c r="W122" s="16">
        <f t="shared" si="56"/>
        <v>0</v>
      </c>
      <c r="X122" s="15"/>
      <c r="Y122" s="16">
        <f t="shared" si="54"/>
        <v>0</v>
      </c>
      <c r="Z122" s="15"/>
      <c r="AA122" s="16">
        <f t="shared" si="55"/>
        <v>0</v>
      </c>
      <c r="AB122" s="16"/>
      <c r="AC122" s="16">
        <f t="shared" si="57"/>
        <v>0</v>
      </c>
      <c r="AD122" s="15"/>
      <c r="AE122" s="15"/>
      <c r="AF122" s="64">
        <f t="shared" si="60"/>
        <v>0</v>
      </c>
      <c r="AG122" s="17">
        <f t="shared" si="61"/>
        <v>0</v>
      </c>
      <c r="AH122" s="18"/>
    </row>
    <row r="123" spans="1:34" ht="21" x14ac:dyDescent="0.3">
      <c r="A123" s="54"/>
      <c r="B123" s="72"/>
      <c r="C123" s="52"/>
      <c r="D123" s="53"/>
      <c r="E123" s="12">
        <v>9</v>
      </c>
      <c r="F123" s="12"/>
      <c r="G123" s="13"/>
      <c r="H123" s="14">
        <f t="shared" si="50"/>
        <v>0</v>
      </c>
      <c r="I123" s="15"/>
      <c r="J123" s="16">
        <f t="shared" si="62"/>
        <v>0</v>
      </c>
      <c r="K123" s="15"/>
      <c r="L123" s="16">
        <f t="shared" si="51"/>
        <v>0</v>
      </c>
      <c r="M123" s="15"/>
      <c r="N123" s="15"/>
      <c r="O123" s="16">
        <f t="shared" si="59"/>
        <v>0</v>
      </c>
      <c r="P123" s="15"/>
      <c r="Q123" s="16">
        <f t="shared" si="52"/>
        <v>0</v>
      </c>
      <c r="R123" s="15"/>
      <c r="S123" s="15"/>
      <c r="T123" s="15"/>
      <c r="U123" s="16">
        <f t="shared" si="53"/>
        <v>0</v>
      </c>
      <c r="V123" s="16"/>
      <c r="W123" s="16">
        <f t="shared" si="56"/>
        <v>0</v>
      </c>
      <c r="X123" s="15"/>
      <c r="Y123" s="16">
        <f t="shared" si="54"/>
        <v>0</v>
      </c>
      <c r="Z123" s="15"/>
      <c r="AA123" s="16">
        <f t="shared" si="55"/>
        <v>0</v>
      </c>
      <c r="AB123" s="16"/>
      <c r="AC123" s="16">
        <f t="shared" si="57"/>
        <v>0</v>
      </c>
      <c r="AD123" s="15"/>
      <c r="AE123" s="15"/>
      <c r="AF123" s="64">
        <f t="shared" si="60"/>
        <v>0</v>
      </c>
      <c r="AG123" s="17">
        <f t="shared" si="61"/>
        <v>0</v>
      </c>
      <c r="AH123" s="18"/>
    </row>
    <row r="124" spans="1:34" ht="21" x14ac:dyDescent="0.3">
      <c r="A124" s="54"/>
      <c r="B124" s="54"/>
      <c r="C124" s="52"/>
      <c r="D124" s="53"/>
      <c r="E124" s="12">
        <v>9</v>
      </c>
      <c r="F124" s="12"/>
      <c r="G124" s="13"/>
      <c r="H124" s="14">
        <f t="shared" si="50"/>
        <v>0</v>
      </c>
      <c r="I124" s="15"/>
      <c r="J124" s="16">
        <f t="shared" si="62"/>
        <v>0</v>
      </c>
      <c r="K124" s="15"/>
      <c r="L124" s="16">
        <f t="shared" si="51"/>
        <v>0</v>
      </c>
      <c r="M124" s="15"/>
      <c r="N124" s="15"/>
      <c r="O124" s="16">
        <f t="shared" si="59"/>
        <v>0</v>
      </c>
      <c r="P124" s="15"/>
      <c r="Q124" s="16">
        <f t="shared" si="52"/>
        <v>0</v>
      </c>
      <c r="R124" s="15"/>
      <c r="S124" s="15"/>
      <c r="T124" s="15"/>
      <c r="U124" s="16">
        <f t="shared" si="53"/>
        <v>0</v>
      </c>
      <c r="V124" s="16"/>
      <c r="W124" s="16">
        <f t="shared" si="56"/>
        <v>0</v>
      </c>
      <c r="X124" s="15"/>
      <c r="Y124" s="16">
        <f t="shared" si="54"/>
        <v>0</v>
      </c>
      <c r="Z124" s="15"/>
      <c r="AA124" s="16">
        <f t="shared" si="55"/>
        <v>0</v>
      </c>
      <c r="AB124" s="16"/>
      <c r="AC124" s="16">
        <f t="shared" si="57"/>
        <v>0</v>
      </c>
      <c r="AD124" s="15"/>
      <c r="AE124" s="15"/>
      <c r="AF124" s="64">
        <f t="shared" si="60"/>
        <v>0</v>
      </c>
      <c r="AG124" s="17">
        <f t="shared" si="61"/>
        <v>0</v>
      </c>
      <c r="AH124" s="18"/>
    </row>
    <row r="125" spans="1:34" ht="21" x14ac:dyDescent="0.3">
      <c r="A125" s="56"/>
      <c r="B125" s="56"/>
      <c r="C125" s="52"/>
      <c r="D125" s="53"/>
      <c r="E125" s="12">
        <v>9</v>
      </c>
      <c r="F125" s="12"/>
      <c r="G125" s="13"/>
      <c r="H125" s="14">
        <f t="shared" si="50"/>
        <v>0</v>
      </c>
      <c r="I125" s="15"/>
      <c r="J125" s="16">
        <f t="shared" si="62"/>
        <v>0</v>
      </c>
      <c r="K125" s="15"/>
      <c r="L125" s="16">
        <f t="shared" si="51"/>
        <v>0</v>
      </c>
      <c r="M125" s="15"/>
      <c r="N125" s="15"/>
      <c r="O125" s="16">
        <f t="shared" si="59"/>
        <v>0</v>
      </c>
      <c r="P125" s="15"/>
      <c r="Q125" s="16">
        <f t="shared" si="52"/>
        <v>0</v>
      </c>
      <c r="R125" s="15"/>
      <c r="S125" s="15"/>
      <c r="T125" s="15"/>
      <c r="U125" s="16">
        <f t="shared" si="53"/>
        <v>0</v>
      </c>
      <c r="V125" s="16"/>
      <c r="W125" s="16">
        <f t="shared" si="56"/>
        <v>0</v>
      </c>
      <c r="X125" s="15"/>
      <c r="Y125" s="16">
        <f t="shared" si="54"/>
        <v>0</v>
      </c>
      <c r="Z125" s="15"/>
      <c r="AA125" s="16">
        <f t="shared" si="55"/>
        <v>0</v>
      </c>
      <c r="AB125" s="16"/>
      <c r="AC125" s="16">
        <f t="shared" si="57"/>
        <v>0</v>
      </c>
      <c r="AD125" s="15"/>
      <c r="AE125" s="15"/>
      <c r="AF125" s="64">
        <f t="shared" si="60"/>
        <v>0</v>
      </c>
      <c r="AG125" s="17">
        <f t="shared" si="61"/>
        <v>0</v>
      </c>
      <c r="AH125" s="18"/>
    </row>
    <row r="126" spans="1:34" ht="21" x14ac:dyDescent="0.3">
      <c r="A126" s="56"/>
      <c r="B126" s="56"/>
      <c r="C126" s="52"/>
      <c r="D126" s="53"/>
      <c r="E126" s="12">
        <v>9</v>
      </c>
      <c r="F126" s="12"/>
      <c r="G126" s="13"/>
      <c r="H126" s="14">
        <f t="shared" ref="H126:H189" si="63">+F126/30*G126</f>
        <v>0</v>
      </c>
      <c r="I126" s="15"/>
      <c r="J126" s="16">
        <f t="shared" ref="J126:J189" si="64">+I126*F126/30/E126</f>
        <v>0</v>
      </c>
      <c r="K126" s="15"/>
      <c r="L126" s="16">
        <f t="shared" ref="L126:L189" si="65">+K126*F126/30</f>
        <v>0</v>
      </c>
      <c r="M126" s="15"/>
      <c r="N126" s="15"/>
      <c r="O126" s="16">
        <f t="shared" si="59"/>
        <v>0</v>
      </c>
      <c r="P126" s="15"/>
      <c r="Q126" s="16">
        <f t="shared" ref="Q126:Q189" si="66">+F126/30/E126*P126</f>
        <v>0</v>
      </c>
      <c r="R126" s="15"/>
      <c r="S126" s="15"/>
      <c r="T126" s="15"/>
      <c r="U126" s="16">
        <f t="shared" ref="U126:U189" si="67">+F126/30*T126</f>
        <v>0</v>
      </c>
      <c r="V126" s="16"/>
      <c r="W126" s="16">
        <f t="shared" si="56"/>
        <v>0</v>
      </c>
      <c r="X126" s="15"/>
      <c r="Y126" s="16">
        <f t="shared" ref="Y126:Y189" si="68">+F126/30*X126*1</f>
        <v>0</v>
      </c>
      <c r="Z126" s="15"/>
      <c r="AA126" s="16">
        <f t="shared" ref="AA126:AA189" si="69">+(F126/30*Z126)*0.25</f>
        <v>0</v>
      </c>
      <c r="AB126" s="16"/>
      <c r="AC126" s="16">
        <f t="shared" si="57"/>
        <v>0</v>
      </c>
      <c r="AD126" s="15"/>
      <c r="AE126" s="15"/>
      <c r="AF126" s="64">
        <f t="shared" si="60"/>
        <v>0</v>
      </c>
      <c r="AG126" s="17">
        <f t="shared" si="61"/>
        <v>0</v>
      </c>
      <c r="AH126" s="18"/>
    </row>
    <row r="127" spans="1:34" ht="21" x14ac:dyDescent="0.25">
      <c r="A127" s="56"/>
      <c r="B127" s="56"/>
      <c r="C127" s="52"/>
      <c r="D127" s="52"/>
      <c r="E127" s="12">
        <v>9</v>
      </c>
      <c r="F127" s="12"/>
      <c r="G127" s="13"/>
      <c r="H127" s="14">
        <f t="shared" si="63"/>
        <v>0</v>
      </c>
      <c r="I127" s="15"/>
      <c r="J127" s="16">
        <f t="shared" si="64"/>
        <v>0</v>
      </c>
      <c r="K127" s="15"/>
      <c r="L127" s="16">
        <f t="shared" si="65"/>
        <v>0</v>
      </c>
      <c r="M127" s="15"/>
      <c r="N127" s="15"/>
      <c r="O127" s="16">
        <f t="shared" si="59"/>
        <v>0</v>
      </c>
      <c r="P127" s="15"/>
      <c r="Q127" s="16">
        <f t="shared" si="66"/>
        <v>0</v>
      </c>
      <c r="R127" s="15"/>
      <c r="S127" s="15"/>
      <c r="T127" s="15"/>
      <c r="U127" s="16">
        <f t="shared" si="67"/>
        <v>0</v>
      </c>
      <c r="V127" s="16"/>
      <c r="W127" s="16">
        <f t="shared" ref="W127:W190" si="70">+H127/30*V127</f>
        <v>0</v>
      </c>
      <c r="X127" s="15"/>
      <c r="Y127" s="16">
        <f t="shared" si="68"/>
        <v>0</v>
      </c>
      <c r="Z127" s="15"/>
      <c r="AA127" s="16">
        <f t="shared" si="69"/>
        <v>0</v>
      </c>
      <c r="AB127" s="16"/>
      <c r="AC127" s="16">
        <f t="shared" ref="AC127:AC190" si="71">AB127*11%</f>
        <v>0</v>
      </c>
      <c r="AD127" s="15"/>
      <c r="AE127" s="15"/>
      <c r="AF127" s="64">
        <f t="shared" si="60"/>
        <v>0</v>
      </c>
      <c r="AG127" s="17">
        <f t="shared" si="61"/>
        <v>0</v>
      </c>
      <c r="AH127" s="18"/>
    </row>
    <row r="128" spans="1:34" ht="21" x14ac:dyDescent="0.3">
      <c r="A128" s="56"/>
      <c r="B128" s="56"/>
      <c r="C128" s="52"/>
      <c r="D128" s="53"/>
      <c r="E128" s="12">
        <v>9</v>
      </c>
      <c r="F128" s="12"/>
      <c r="G128" s="13"/>
      <c r="H128" s="14">
        <f t="shared" si="63"/>
        <v>0</v>
      </c>
      <c r="I128" s="15"/>
      <c r="J128" s="16">
        <f t="shared" si="64"/>
        <v>0</v>
      </c>
      <c r="K128" s="15"/>
      <c r="L128" s="16">
        <f t="shared" si="65"/>
        <v>0</v>
      </c>
      <c r="M128" s="15"/>
      <c r="N128" s="15"/>
      <c r="O128" s="16">
        <f t="shared" ref="O128:O191" si="72">+N128+M128+L128+J128+H128</f>
        <v>0</v>
      </c>
      <c r="P128" s="15"/>
      <c r="Q128" s="16">
        <f t="shared" si="66"/>
        <v>0</v>
      </c>
      <c r="R128" s="15"/>
      <c r="S128" s="15"/>
      <c r="T128" s="15"/>
      <c r="U128" s="16">
        <f t="shared" si="67"/>
        <v>0</v>
      </c>
      <c r="V128" s="16"/>
      <c r="W128" s="16">
        <f t="shared" si="70"/>
        <v>0</v>
      </c>
      <c r="X128" s="15"/>
      <c r="Y128" s="16">
        <f t="shared" si="68"/>
        <v>0</v>
      </c>
      <c r="Z128" s="15"/>
      <c r="AA128" s="16">
        <f t="shared" si="69"/>
        <v>0</v>
      </c>
      <c r="AB128" s="16"/>
      <c r="AC128" s="16">
        <f t="shared" si="71"/>
        <v>0</v>
      </c>
      <c r="AD128" s="15"/>
      <c r="AE128" s="15"/>
      <c r="AF128" s="64">
        <f t="shared" si="60"/>
        <v>0</v>
      </c>
      <c r="AG128" s="17">
        <f t="shared" si="61"/>
        <v>0</v>
      </c>
      <c r="AH128" s="18"/>
    </row>
    <row r="129" spans="1:34" ht="21" x14ac:dyDescent="0.3">
      <c r="A129" s="56"/>
      <c r="B129" s="56"/>
      <c r="C129" s="52"/>
      <c r="D129" s="53"/>
      <c r="E129" s="12">
        <v>9</v>
      </c>
      <c r="F129" s="12"/>
      <c r="G129" s="13"/>
      <c r="H129" s="14">
        <f t="shared" si="63"/>
        <v>0</v>
      </c>
      <c r="I129" s="15"/>
      <c r="J129" s="16">
        <f t="shared" si="64"/>
        <v>0</v>
      </c>
      <c r="K129" s="15"/>
      <c r="L129" s="16">
        <f t="shared" si="65"/>
        <v>0</v>
      </c>
      <c r="M129" s="15"/>
      <c r="N129" s="15"/>
      <c r="O129" s="16">
        <f t="shared" si="72"/>
        <v>0</v>
      </c>
      <c r="P129" s="15"/>
      <c r="Q129" s="16">
        <f t="shared" si="66"/>
        <v>0</v>
      </c>
      <c r="R129" s="15"/>
      <c r="S129" s="15"/>
      <c r="T129" s="15"/>
      <c r="U129" s="16">
        <f t="shared" si="67"/>
        <v>0</v>
      </c>
      <c r="V129" s="16"/>
      <c r="W129" s="16">
        <f t="shared" si="70"/>
        <v>0</v>
      </c>
      <c r="X129" s="15"/>
      <c r="Y129" s="16">
        <f t="shared" si="68"/>
        <v>0</v>
      </c>
      <c r="Z129" s="15"/>
      <c r="AA129" s="16">
        <f t="shared" si="69"/>
        <v>0</v>
      </c>
      <c r="AB129" s="16"/>
      <c r="AC129" s="16">
        <f t="shared" si="71"/>
        <v>0</v>
      </c>
      <c r="AD129" s="15"/>
      <c r="AE129" s="15"/>
      <c r="AF129" s="64">
        <f t="shared" ref="AF129:AF192" si="73">+AE129+AD129+Y129+U129+R129+Q129+AA129+S129+W129+AC129</f>
        <v>0</v>
      </c>
      <c r="AG129" s="17">
        <f t="shared" ref="AG129:AG192" si="74">+O129-AF129</f>
        <v>0</v>
      </c>
      <c r="AH129" s="18"/>
    </row>
    <row r="130" spans="1:34" ht="21" x14ac:dyDescent="0.3">
      <c r="A130" s="54"/>
      <c r="B130" s="54"/>
      <c r="C130" s="52"/>
      <c r="D130" s="53"/>
      <c r="E130" s="12">
        <v>9</v>
      </c>
      <c r="F130" s="12"/>
      <c r="G130" s="13"/>
      <c r="H130" s="14">
        <f t="shared" si="63"/>
        <v>0</v>
      </c>
      <c r="I130" s="15"/>
      <c r="J130" s="16">
        <f t="shared" si="64"/>
        <v>0</v>
      </c>
      <c r="K130" s="15"/>
      <c r="L130" s="16">
        <f t="shared" si="65"/>
        <v>0</v>
      </c>
      <c r="M130" s="15"/>
      <c r="N130" s="15"/>
      <c r="O130" s="16">
        <f t="shared" si="72"/>
        <v>0</v>
      </c>
      <c r="P130" s="15"/>
      <c r="Q130" s="16">
        <f t="shared" si="66"/>
        <v>0</v>
      </c>
      <c r="R130" s="15"/>
      <c r="S130" s="15"/>
      <c r="T130" s="15"/>
      <c r="U130" s="16">
        <f t="shared" si="67"/>
        <v>0</v>
      </c>
      <c r="V130" s="16"/>
      <c r="W130" s="16">
        <f t="shared" si="70"/>
        <v>0</v>
      </c>
      <c r="X130" s="15"/>
      <c r="Y130" s="16">
        <f t="shared" si="68"/>
        <v>0</v>
      </c>
      <c r="Z130" s="15"/>
      <c r="AA130" s="16">
        <f t="shared" si="69"/>
        <v>0</v>
      </c>
      <c r="AB130" s="16"/>
      <c r="AC130" s="16">
        <f t="shared" si="71"/>
        <v>0</v>
      </c>
      <c r="AD130" s="15"/>
      <c r="AE130" s="15"/>
      <c r="AF130" s="64">
        <f t="shared" si="73"/>
        <v>0</v>
      </c>
      <c r="AG130" s="17">
        <f t="shared" si="74"/>
        <v>0</v>
      </c>
      <c r="AH130" s="18"/>
    </row>
    <row r="131" spans="1:34" ht="21" x14ac:dyDescent="0.3">
      <c r="A131" s="54"/>
      <c r="B131" s="54"/>
      <c r="C131" s="52"/>
      <c r="D131" s="53"/>
      <c r="E131" s="12">
        <v>9</v>
      </c>
      <c r="F131" s="12"/>
      <c r="G131" s="13"/>
      <c r="H131" s="14">
        <f t="shared" si="63"/>
        <v>0</v>
      </c>
      <c r="I131" s="15"/>
      <c r="J131" s="16">
        <f t="shared" si="64"/>
        <v>0</v>
      </c>
      <c r="K131" s="15"/>
      <c r="L131" s="16">
        <f t="shared" si="65"/>
        <v>0</v>
      </c>
      <c r="M131" s="15"/>
      <c r="N131" s="15"/>
      <c r="O131" s="16">
        <f t="shared" si="72"/>
        <v>0</v>
      </c>
      <c r="P131" s="15"/>
      <c r="Q131" s="16">
        <f t="shared" si="66"/>
        <v>0</v>
      </c>
      <c r="R131" s="15"/>
      <c r="S131" s="15"/>
      <c r="T131" s="15"/>
      <c r="U131" s="16">
        <f t="shared" si="67"/>
        <v>0</v>
      </c>
      <c r="V131" s="16"/>
      <c r="W131" s="16">
        <f t="shared" si="70"/>
        <v>0</v>
      </c>
      <c r="X131" s="15"/>
      <c r="Y131" s="16">
        <f t="shared" si="68"/>
        <v>0</v>
      </c>
      <c r="Z131" s="15"/>
      <c r="AA131" s="16">
        <f t="shared" si="69"/>
        <v>0</v>
      </c>
      <c r="AB131" s="16"/>
      <c r="AC131" s="16">
        <f t="shared" si="71"/>
        <v>0</v>
      </c>
      <c r="AD131" s="15"/>
      <c r="AE131" s="15"/>
      <c r="AF131" s="64">
        <f t="shared" si="73"/>
        <v>0</v>
      </c>
      <c r="AG131" s="17">
        <f t="shared" si="74"/>
        <v>0</v>
      </c>
      <c r="AH131" s="18"/>
    </row>
    <row r="132" spans="1:34" ht="21" x14ac:dyDescent="0.3">
      <c r="A132" s="54"/>
      <c r="B132" s="54"/>
      <c r="C132" s="52"/>
      <c r="D132" s="53"/>
      <c r="E132" s="12">
        <v>9</v>
      </c>
      <c r="F132" s="12"/>
      <c r="G132" s="13"/>
      <c r="H132" s="14">
        <f t="shared" si="63"/>
        <v>0</v>
      </c>
      <c r="I132" s="15"/>
      <c r="J132" s="16">
        <f t="shared" si="64"/>
        <v>0</v>
      </c>
      <c r="K132" s="15"/>
      <c r="L132" s="16">
        <f t="shared" si="65"/>
        <v>0</v>
      </c>
      <c r="M132" s="15"/>
      <c r="N132" s="15"/>
      <c r="O132" s="16">
        <f t="shared" si="72"/>
        <v>0</v>
      </c>
      <c r="P132" s="15"/>
      <c r="Q132" s="16">
        <f t="shared" si="66"/>
        <v>0</v>
      </c>
      <c r="R132" s="15"/>
      <c r="S132" s="15"/>
      <c r="T132" s="15"/>
      <c r="U132" s="16">
        <f t="shared" si="67"/>
        <v>0</v>
      </c>
      <c r="V132" s="16"/>
      <c r="W132" s="16">
        <f t="shared" si="70"/>
        <v>0</v>
      </c>
      <c r="X132" s="15"/>
      <c r="Y132" s="16">
        <f t="shared" si="68"/>
        <v>0</v>
      </c>
      <c r="Z132" s="15"/>
      <c r="AA132" s="16">
        <f t="shared" si="69"/>
        <v>0</v>
      </c>
      <c r="AB132" s="16"/>
      <c r="AC132" s="16">
        <f t="shared" si="71"/>
        <v>0</v>
      </c>
      <c r="AD132" s="15"/>
      <c r="AE132" s="15"/>
      <c r="AF132" s="64">
        <f t="shared" si="73"/>
        <v>0</v>
      </c>
      <c r="AG132" s="17">
        <f t="shared" si="74"/>
        <v>0</v>
      </c>
      <c r="AH132" s="18"/>
    </row>
    <row r="133" spans="1:34" ht="21" x14ac:dyDescent="0.3">
      <c r="A133" s="54"/>
      <c r="B133" s="54"/>
      <c r="C133" s="52"/>
      <c r="D133" s="53"/>
      <c r="E133" s="12">
        <v>9</v>
      </c>
      <c r="F133" s="12"/>
      <c r="G133" s="13"/>
      <c r="H133" s="14">
        <f t="shared" si="63"/>
        <v>0</v>
      </c>
      <c r="I133" s="15"/>
      <c r="J133" s="16">
        <f t="shared" si="64"/>
        <v>0</v>
      </c>
      <c r="K133" s="15"/>
      <c r="L133" s="16">
        <f t="shared" si="65"/>
        <v>0</v>
      </c>
      <c r="M133" s="15"/>
      <c r="N133" s="15"/>
      <c r="O133" s="16">
        <f t="shared" si="72"/>
        <v>0</v>
      </c>
      <c r="P133" s="15"/>
      <c r="Q133" s="16">
        <f t="shared" si="66"/>
        <v>0</v>
      </c>
      <c r="R133" s="15"/>
      <c r="S133" s="15"/>
      <c r="T133" s="15"/>
      <c r="U133" s="16">
        <f t="shared" si="67"/>
        <v>0</v>
      </c>
      <c r="V133" s="16"/>
      <c r="W133" s="16">
        <f t="shared" si="70"/>
        <v>0</v>
      </c>
      <c r="X133" s="15"/>
      <c r="Y133" s="16">
        <f t="shared" si="68"/>
        <v>0</v>
      </c>
      <c r="Z133" s="15"/>
      <c r="AA133" s="16">
        <f t="shared" si="69"/>
        <v>0</v>
      </c>
      <c r="AB133" s="16"/>
      <c r="AC133" s="16">
        <f t="shared" si="71"/>
        <v>0</v>
      </c>
      <c r="AD133" s="15"/>
      <c r="AE133" s="15"/>
      <c r="AF133" s="64">
        <f t="shared" si="73"/>
        <v>0</v>
      </c>
      <c r="AG133" s="17">
        <f t="shared" si="74"/>
        <v>0</v>
      </c>
      <c r="AH133" s="18"/>
    </row>
    <row r="134" spans="1:34" ht="21" x14ac:dyDescent="0.3">
      <c r="A134" s="54"/>
      <c r="B134" s="54"/>
      <c r="C134" s="52"/>
      <c r="D134" s="53"/>
      <c r="E134" s="12">
        <v>9</v>
      </c>
      <c r="F134" s="12"/>
      <c r="G134" s="13"/>
      <c r="H134" s="14">
        <f t="shared" si="63"/>
        <v>0</v>
      </c>
      <c r="I134" s="15"/>
      <c r="J134" s="16">
        <f t="shared" si="64"/>
        <v>0</v>
      </c>
      <c r="K134" s="15"/>
      <c r="L134" s="16">
        <f t="shared" si="65"/>
        <v>0</v>
      </c>
      <c r="M134" s="15"/>
      <c r="N134" s="15"/>
      <c r="O134" s="16">
        <f t="shared" si="72"/>
        <v>0</v>
      </c>
      <c r="P134" s="15"/>
      <c r="Q134" s="16">
        <f t="shared" si="66"/>
        <v>0</v>
      </c>
      <c r="R134" s="15"/>
      <c r="S134" s="15"/>
      <c r="T134" s="15"/>
      <c r="U134" s="16">
        <f t="shared" si="67"/>
        <v>0</v>
      </c>
      <c r="V134" s="16"/>
      <c r="W134" s="16">
        <f t="shared" si="70"/>
        <v>0</v>
      </c>
      <c r="X134" s="15"/>
      <c r="Y134" s="16">
        <f t="shared" si="68"/>
        <v>0</v>
      </c>
      <c r="Z134" s="15"/>
      <c r="AA134" s="16">
        <f t="shared" si="69"/>
        <v>0</v>
      </c>
      <c r="AB134" s="16"/>
      <c r="AC134" s="16">
        <f t="shared" si="71"/>
        <v>0</v>
      </c>
      <c r="AD134" s="15"/>
      <c r="AE134" s="15"/>
      <c r="AF134" s="64">
        <f t="shared" si="73"/>
        <v>0</v>
      </c>
      <c r="AG134" s="17">
        <f t="shared" si="74"/>
        <v>0</v>
      </c>
      <c r="AH134" s="18"/>
    </row>
    <row r="135" spans="1:34" ht="21" x14ac:dyDescent="0.3">
      <c r="A135" s="54"/>
      <c r="B135" s="54"/>
      <c r="C135" s="52"/>
      <c r="D135" s="53"/>
      <c r="E135" s="12">
        <v>9</v>
      </c>
      <c r="F135" s="12"/>
      <c r="G135" s="13"/>
      <c r="H135" s="14">
        <f t="shared" si="63"/>
        <v>0</v>
      </c>
      <c r="I135" s="15"/>
      <c r="J135" s="16">
        <f t="shared" si="64"/>
        <v>0</v>
      </c>
      <c r="K135" s="15"/>
      <c r="L135" s="16">
        <f t="shared" si="65"/>
        <v>0</v>
      </c>
      <c r="M135" s="15"/>
      <c r="N135" s="15"/>
      <c r="O135" s="16">
        <f t="shared" si="72"/>
        <v>0</v>
      </c>
      <c r="P135" s="15"/>
      <c r="Q135" s="16">
        <f t="shared" si="66"/>
        <v>0</v>
      </c>
      <c r="R135" s="15"/>
      <c r="S135" s="15"/>
      <c r="T135" s="15"/>
      <c r="U135" s="16">
        <f t="shared" si="67"/>
        <v>0</v>
      </c>
      <c r="V135" s="16"/>
      <c r="W135" s="16">
        <f t="shared" si="70"/>
        <v>0</v>
      </c>
      <c r="X135" s="15"/>
      <c r="Y135" s="16">
        <f t="shared" si="68"/>
        <v>0</v>
      </c>
      <c r="Z135" s="15"/>
      <c r="AA135" s="16">
        <f t="shared" si="69"/>
        <v>0</v>
      </c>
      <c r="AB135" s="16"/>
      <c r="AC135" s="16">
        <f t="shared" si="71"/>
        <v>0</v>
      </c>
      <c r="AD135" s="15"/>
      <c r="AE135" s="15"/>
      <c r="AF135" s="64">
        <f t="shared" si="73"/>
        <v>0</v>
      </c>
      <c r="AG135" s="17">
        <f t="shared" si="74"/>
        <v>0</v>
      </c>
      <c r="AH135" s="18"/>
    </row>
    <row r="136" spans="1:34" ht="21" x14ac:dyDescent="0.3">
      <c r="A136" s="54"/>
      <c r="B136" s="72"/>
      <c r="C136" s="52"/>
      <c r="D136" s="53"/>
      <c r="E136" s="12">
        <v>9</v>
      </c>
      <c r="F136" s="12"/>
      <c r="G136" s="13"/>
      <c r="H136" s="14">
        <f t="shared" si="63"/>
        <v>0</v>
      </c>
      <c r="I136" s="15"/>
      <c r="J136" s="16">
        <f t="shared" si="64"/>
        <v>0</v>
      </c>
      <c r="K136" s="15"/>
      <c r="L136" s="16">
        <f t="shared" si="65"/>
        <v>0</v>
      </c>
      <c r="M136" s="15"/>
      <c r="N136" s="15"/>
      <c r="O136" s="16">
        <f t="shared" si="72"/>
        <v>0</v>
      </c>
      <c r="P136" s="15"/>
      <c r="Q136" s="16">
        <f t="shared" si="66"/>
        <v>0</v>
      </c>
      <c r="R136" s="15"/>
      <c r="S136" s="15"/>
      <c r="T136" s="15"/>
      <c r="U136" s="16">
        <f t="shared" si="67"/>
        <v>0</v>
      </c>
      <c r="V136" s="16"/>
      <c r="W136" s="16">
        <f t="shared" si="70"/>
        <v>0</v>
      </c>
      <c r="X136" s="15"/>
      <c r="Y136" s="16">
        <f t="shared" si="68"/>
        <v>0</v>
      </c>
      <c r="Z136" s="15"/>
      <c r="AA136" s="16">
        <f t="shared" si="69"/>
        <v>0</v>
      </c>
      <c r="AB136" s="16"/>
      <c r="AC136" s="16">
        <f t="shared" si="71"/>
        <v>0</v>
      </c>
      <c r="AD136" s="15"/>
      <c r="AE136" s="15"/>
      <c r="AF136" s="64">
        <f t="shared" si="73"/>
        <v>0</v>
      </c>
      <c r="AG136" s="17">
        <f t="shared" si="74"/>
        <v>0</v>
      </c>
      <c r="AH136" s="18"/>
    </row>
    <row r="137" spans="1:34" ht="21" x14ac:dyDescent="0.3">
      <c r="A137" s="54"/>
      <c r="B137" s="54"/>
      <c r="C137" s="52"/>
      <c r="D137" s="53"/>
      <c r="E137" s="12">
        <v>9</v>
      </c>
      <c r="F137" s="12"/>
      <c r="G137" s="13"/>
      <c r="H137" s="14">
        <f t="shared" si="63"/>
        <v>0</v>
      </c>
      <c r="I137" s="15"/>
      <c r="J137" s="16">
        <f t="shared" si="64"/>
        <v>0</v>
      </c>
      <c r="K137" s="15"/>
      <c r="L137" s="16">
        <f t="shared" si="65"/>
        <v>0</v>
      </c>
      <c r="M137" s="15"/>
      <c r="N137" s="15"/>
      <c r="O137" s="16">
        <f t="shared" si="72"/>
        <v>0</v>
      </c>
      <c r="P137" s="15"/>
      <c r="Q137" s="16">
        <f t="shared" si="66"/>
        <v>0</v>
      </c>
      <c r="R137" s="15"/>
      <c r="S137" s="15"/>
      <c r="T137" s="15"/>
      <c r="U137" s="16">
        <f t="shared" si="67"/>
        <v>0</v>
      </c>
      <c r="V137" s="16"/>
      <c r="W137" s="16">
        <f t="shared" si="70"/>
        <v>0</v>
      </c>
      <c r="X137" s="15"/>
      <c r="Y137" s="16">
        <f t="shared" si="68"/>
        <v>0</v>
      </c>
      <c r="Z137" s="15"/>
      <c r="AA137" s="16">
        <f t="shared" si="69"/>
        <v>0</v>
      </c>
      <c r="AB137" s="16"/>
      <c r="AC137" s="16">
        <f t="shared" si="71"/>
        <v>0</v>
      </c>
      <c r="AD137" s="15"/>
      <c r="AE137" s="15"/>
      <c r="AF137" s="64">
        <f t="shared" si="73"/>
        <v>0</v>
      </c>
      <c r="AG137" s="17">
        <f t="shared" si="74"/>
        <v>0</v>
      </c>
      <c r="AH137" s="18"/>
    </row>
    <row r="138" spans="1:34" ht="21" x14ac:dyDescent="0.3">
      <c r="A138" s="54"/>
      <c r="B138" s="54"/>
      <c r="C138" s="52"/>
      <c r="D138" s="53"/>
      <c r="E138" s="12">
        <v>9</v>
      </c>
      <c r="F138" s="12"/>
      <c r="G138" s="13"/>
      <c r="H138" s="14">
        <f t="shared" si="63"/>
        <v>0</v>
      </c>
      <c r="I138" s="15"/>
      <c r="J138" s="16">
        <f t="shared" si="64"/>
        <v>0</v>
      </c>
      <c r="K138" s="15"/>
      <c r="L138" s="16">
        <f t="shared" si="65"/>
        <v>0</v>
      </c>
      <c r="M138" s="15"/>
      <c r="N138" s="15"/>
      <c r="O138" s="16">
        <f t="shared" si="72"/>
        <v>0</v>
      </c>
      <c r="P138" s="15"/>
      <c r="Q138" s="16">
        <f t="shared" si="66"/>
        <v>0</v>
      </c>
      <c r="R138" s="15"/>
      <c r="S138" s="15"/>
      <c r="T138" s="15"/>
      <c r="U138" s="16">
        <f t="shared" si="67"/>
        <v>0</v>
      </c>
      <c r="V138" s="16"/>
      <c r="W138" s="16">
        <f t="shared" si="70"/>
        <v>0</v>
      </c>
      <c r="X138" s="15"/>
      <c r="Y138" s="16">
        <f t="shared" si="68"/>
        <v>0</v>
      </c>
      <c r="Z138" s="15"/>
      <c r="AA138" s="16">
        <f t="shared" si="69"/>
        <v>0</v>
      </c>
      <c r="AB138" s="16"/>
      <c r="AC138" s="16">
        <f t="shared" si="71"/>
        <v>0</v>
      </c>
      <c r="AD138" s="15"/>
      <c r="AE138" s="15"/>
      <c r="AF138" s="64">
        <f t="shared" si="73"/>
        <v>0</v>
      </c>
      <c r="AG138" s="17">
        <f t="shared" si="74"/>
        <v>0</v>
      </c>
      <c r="AH138" s="18"/>
    </row>
    <row r="139" spans="1:34" ht="21" x14ac:dyDescent="0.3">
      <c r="A139" s="54"/>
      <c r="B139" s="54"/>
      <c r="C139" s="52"/>
      <c r="D139" s="53"/>
      <c r="E139" s="12">
        <v>9</v>
      </c>
      <c r="F139" s="12"/>
      <c r="G139" s="13"/>
      <c r="H139" s="14">
        <f t="shared" si="63"/>
        <v>0</v>
      </c>
      <c r="I139" s="15"/>
      <c r="J139" s="16">
        <f t="shared" si="64"/>
        <v>0</v>
      </c>
      <c r="K139" s="15"/>
      <c r="L139" s="16">
        <f t="shared" si="65"/>
        <v>0</v>
      </c>
      <c r="M139" s="15"/>
      <c r="N139" s="15"/>
      <c r="O139" s="16">
        <f t="shared" si="72"/>
        <v>0</v>
      </c>
      <c r="P139" s="15"/>
      <c r="Q139" s="16">
        <f t="shared" si="66"/>
        <v>0</v>
      </c>
      <c r="R139" s="15"/>
      <c r="S139" s="15"/>
      <c r="T139" s="15"/>
      <c r="U139" s="16">
        <f t="shared" si="67"/>
        <v>0</v>
      </c>
      <c r="V139" s="16"/>
      <c r="W139" s="16">
        <f t="shared" si="70"/>
        <v>0</v>
      </c>
      <c r="X139" s="15"/>
      <c r="Y139" s="16">
        <f t="shared" si="68"/>
        <v>0</v>
      </c>
      <c r="Z139" s="15"/>
      <c r="AA139" s="16">
        <f t="shared" si="69"/>
        <v>0</v>
      </c>
      <c r="AB139" s="16"/>
      <c r="AC139" s="16">
        <f t="shared" si="71"/>
        <v>0</v>
      </c>
      <c r="AD139" s="15"/>
      <c r="AE139" s="15"/>
      <c r="AF139" s="64">
        <f t="shared" si="73"/>
        <v>0</v>
      </c>
      <c r="AG139" s="17">
        <f t="shared" si="74"/>
        <v>0</v>
      </c>
      <c r="AH139" s="18"/>
    </row>
    <row r="140" spans="1:34" ht="21" x14ac:dyDescent="0.3">
      <c r="A140" s="54"/>
      <c r="B140" s="54"/>
      <c r="C140" s="52"/>
      <c r="D140" s="53"/>
      <c r="E140" s="12">
        <v>9</v>
      </c>
      <c r="F140" s="12"/>
      <c r="G140" s="13"/>
      <c r="H140" s="14">
        <f t="shared" si="63"/>
        <v>0</v>
      </c>
      <c r="I140" s="15"/>
      <c r="J140" s="16">
        <f t="shared" si="64"/>
        <v>0</v>
      </c>
      <c r="K140" s="15"/>
      <c r="L140" s="16">
        <f t="shared" si="65"/>
        <v>0</v>
      </c>
      <c r="M140" s="15"/>
      <c r="N140" s="15"/>
      <c r="O140" s="16">
        <f t="shared" si="72"/>
        <v>0</v>
      </c>
      <c r="P140" s="15"/>
      <c r="Q140" s="16">
        <f t="shared" si="66"/>
        <v>0</v>
      </c>
      <c r="R140" s="15"/>
      <c r="S140" s="15"/>
      <c r="T140" s="15"/>
      <c r="U140" s="16">
        <f t="shared" si="67"/>
        <v>0</v>
      </c>
      <c r="V140" s="16"/>
      <c r="W140" s="16">
        <f t="shared" si="70"/>
        <v>0</v>
      </c>
      <c r="X140" s="15"/>
      <c r="Y140" s="16">
        <f t="shared" si="68"/>
        <v>0</v>
      </c>
      <c r="Z140" s="15"/>
      <c r="AA140" s="16">
        <f t="shared" si="69"/>
        <v>0</v>
      </c>
      <c r="AB140" s="16"/>
      <c r="AC140" s="16">
        <f t="shared" si="71"/>
        <v>0</v>
      </c>
      <c r="AD140" s="15"/>
      <c r="AE140" s="15"/>
      <c r="AF140" s="64">
        <f t="shared" si="73"/>
        <v>0</v>
      </c>
      <c r="AG140" s="17">
        <f t="shared" si="74"/>
        <v>0</v>
      </c>
      <c r="AH140" s="18"/>
    </row>
    <row r="141" spans="1:34" ht="21" x14ac:dyDescent="0.3">
      <c r="A141" s="54"/>
      <c r="B141" s="52"/>
      <c r="C141" s="52"/>
      <c r="D141" s="53"/>
      <c r="E141" s="12">
        <v>9</v>
      </c>
      <c r="F141" s="12"/>
      <c r="G141" s="13"/>
      <c r="H141" s="14">
        <f t="shared" si="63"/>
        <v>0</v>
      </c>
      <c r="I141" s="15"/>
      <c r="J141" s="16">
        <f t="shared" si="64"/>
        <v>0</v>
      </c>
      <c r="K141" s="15"/>
      <c r="L141" s="16">
        <f t="shared" si="65"/>
        <v>0</v>
      </c>
      <c r="M141" s="15"/>
      <c r="N141" s="15"/>
      <c r="O141" s="16">
        <f t="shared" si="72"/>
        <v>0</v>
      </c>
      <c r="P141" s="15"/>
      <c r="Q141" s="16">
        <f t="shared" si="66"/>
        <v>0</v>
      </c>
      <c r="R141" s="15"/>
      <c r="S141" s="15"/>
      <c r="T141" s="15"/>
      <c r="U141" s="16">
        <f t="shared" si="67"/>
        <v>0</v>
      </c>
      <c r="V141" s="16"/>
      <c r="W141" s="16">
        <f t="shared" si="70"/>
        <v>0</v>
      </c>
      <c r="X141" s="15"/>
      <c r="Y141" s="16">
        <f t="shared" si="68"/>
        <v>0</v>
      </c>
      <c r="Z141" s="15"/>
      <c r="AA141" s="16">
        <f t="shared" si="69"/>
        <v>0</v>
      </c>
      <c r="AB141" s="16"/>
      <c r="AC141" s="16">
        <f t="shared" si="71"/>
        <v>0</v>
      </c>
      <c r="AD141" s="15"/>
      <c r="AE141" s="15"/>
      <c r="AF141" s="64">
        <f t="shared" si="73"/>
        <v>0</v>
      </c>
      <c r="AG141" s="17">
        <f t="shared" si="74"/>
        <v>0</v>
      </c>
      <c r="AH141" s="18"/>
    </row>
    <row r="142" spans="1:34" ht="21" x14ac:dyDescent="0.25">
      <c r="A142" s="54"/>
      <c r="B142" s="54"/>
      <c r="C142" s="52"/>
      <c r="D142" s="52"/>
      <c r="E142" s="12">
        <v>9</v>
      </c>
      <c r="F142" s="12"/>
      <c r="G142" s="13"/>
      <c r="H142" s="14">
        <f t="shared" si="63"/>
        <v>0</v>
      </c>
      <c r="I142" s="15"/>
      <c r="J142" s="16">
        <f t="shared" si="64"/>
        <v>0</v>
      </c>
      <c r="K142" s="15"/>
      <c r="L142" s="16">
        <f t="shared" si="65"/>
        <v>0</v>
      </c>
      <c r="M142" s="15"/>
      <c r="N142" s="15"/>
      <c r="O142" s="16">
        <f t="shared" si="72"/>
        <v>0</v>
      </c>
      <c r="P142" s="15"/>
      <c r="Q142" s="16">
        <f t="shared" si="66"/>
        <v>0</v>
      </c>
      <c r="R142" s="15"/>
      <c r="S142" s="15"/>
      <c r="T142" s="15"/>
      <c r="U142" s="16">
        <f t="shared" si="67"/>
        <v>0</v>
      </c>
      <c r="V142" s="16"/>
      <c r="W142" s="16">
        <f t="shared" si="70"/>
        <v>0</v>
      </c>
      <c r="X142" s="15"/>
      <c r="Y142" s="16">
        <f t="shared" si="68"/>
        <v>0</v>
      </c>
      <c r="Z142" s="15"/>
      <c r="AA142" s="16">
        <f t="shared" si="69"/>
        <v>0</v>
      </c>
      <c r="AB142" s="16"/>
      <c r="AC142" s="16">
        <f t="shared" si="71"/>
        <v>0</v>
      </c>
      <c r="AD142" s="15"/>
      <c r="AE142" s="15"/>
      <c r="AF142" s="64">
        <f t="shared" si="73"/>
        <v>0</v>
      </c>
      <c r="AG142" s="17">
        <f t="shared" si="74"/>
        <v>0</v>
      </c>
      <c r="AH142" s="18"/>
    </row>
    <row r="143" spans="1:34" ht="21" x14ac:dyDescent="0.25">
      <c r="A143" s="60"/>
      <c r="B143" s="73"/>
      <c r="C143" s="52"/>
      <c r="D143" s="52"/>
      <c r="E143" s="12">
        <v>9</v>
      </c>
      <c r="F143" s="12"/>
      <c r="G143" s="13"/>
      <c r="H143" s="14">
        <f t="shared" si="63"/>
        <v>0</v>
      </c>
      <c r="I143" s="15"/>
      <c r="J143" s="16">
        <f t="shared" si="64"/>
        <v>0</v>
      </c>
      <c r="K143" s="15"/>
      <c r="L143" s="16">
        <f t="shared" si="65"/>
        <v>0</v>
      </c>
      <c r="M143" s="15"/>
      <c r="N143" s="15"/>
      <c r="O143" s="16">
        <f t="shared" si="72"/>
        <v>0</v>
      </c>
      <c r="P143" s="15"/>
      <c r="Q143" s="16">
        <f t="shared" si="66"/>
        <v>0</v>
      </c>
      <c r="R143" s="15"/>
      <c r="S143" s="15"/>
      <c r="T143" s="15"/>
      <c r="U143" s="16">
        <f t="shared" si="67"/>
        <v>0</v>
      </c>
      <c r="V143" s="16"/>
      <c r="W143" s="16">
        <f t="shared" si="70"/>
        <v>0</v>
      </c>
      <c r="X143" s="15"/>
      <c r="Y143" s="16">
        <f t="shared" si="68"/>
        <v>0</v>
      </c>
      <c r="Z143" s="15"/>
      <c r="AA143" s="16">
        <f t="shared" si="69"/>
        <v>0</v>
      </c>
      <c r="AB143" s="16"/>
      <c r="AC143" s="16">
        <f t="shared" si="71"/>
        <v>0</v>
      </c>
      <c r="AD143" s="15"/>
      <c r="AE143" s="15"/>
      <c r="AF143" s="64">
        <f t="shared" si="73"/>
        <v>0</v>
      </c>
      <c r="AG143" s="17">
        <f t="shared" si="74"/>
        <v>0</v>
      </c>
      <c r="AH143" s="18"/>
    </row>
    <row r="144" spans="1:34" ht="21" x14ac:dyDescent="0.35">
      <c r="A144" s="61"/>
      <c r="B144" s="59"/>
      <c r="C144" s="52"/>
      <c r="D144" s="53"/>
      <c r="E144" s="12">
        <v>9</v>
      </c>
      <c r="F144" s="12"/>
      <c r="G144" s="13"/>
      <c r="H144" s="14">
        <f t="shared" si="63"/>
        <v>0</v>
      </c>
      <c r="I144" s="15"/>
      <c r="J144" s="16">
        <f t="shared" si="64"/>
        <v>0</v>
      </c>
      <c r="K144" s="15"/>
      <c r="L144" s="16">
        <f t="shared" si="65"/>
        <v>0</v>
      </c>
      <c r="M144" s="15"/>
      <c r="N144" s="15"/>
      <c r="O144" s="16">
        <f t="shared" si="72"/>
        <v>0</v>
      </c>
      <c r="P144" s="15"/>
      <c r="Q144" s="16">
        <f t="shared" si="66"/>
        <v>0</v>
      </c>
      <c r="R144" s="15"/>
      <c r="S144" s="15"/>
      <c r="T144" s="15"/>
      <c r="U144" s="16">
        <f t="shared" si="67"/>
        <v>0</v>
      </c>
      <c r="V144" s="16"/>
      <c r="W144" s="16">
        <f t="shared" si="70"/>
        <v>0</v>
      </c>
      <c r="X144" s="15"/>
      <c r="Y144" s="16">
        <f t="shared" si="68"/>
        <v>0</v>
      </c>
      <c r="Z144" s="15"/>
      <c r="AA144" s="16">
        <f t="shared" si="69"/>
        <v>0</v>
      </c>
      <c r="AB144" s="16"/>
      <c r="AC144" s="16">
        <f t="shared" si="71"/>
        <v>0</v>
      </c>
      <c r="AD144" s="15"/>
      <c r="AE144" s="15"/>
      <c r="AF144" s="64">
        <f t="shared" si="73"/>
        <v>0</v>
      </c>
      <c r="AG144" s="17">
        <f t="shared" si="74"/>
        <v>0</v>
      </c>
      <c r="AH144" s="18"/>
    </row>
    <row r="145" spans="1:34" ht="21" x14ac:dyDescent="0.3">
      <c r="A145" s="54"/>
      <c r="B145" s="54"/>
      <c r="C145" s="52"/>
      <c r="D145" s="53"/>
      <c r="E145" s="12">
        <v>9</v>
      </c>
      <c r="F145" s="12"/>
      <c r="G145" s="13"/>
      <c r="H145" s="14">
        <f t="shared" si="63"/>
        <v>0</v>
      </c>
      <c r="I145" s="15"/>
      <c r="J145" s="16">
        <f t="shared" si="64"/>
        <v>0</v>
      </c>
      <c r="K145" s="15"/>
      <c r="L145" s="16">
        <f t="shared" si="65"/>
        <v>0</v>
      </c>
      <c r="M145" s="15"/>
      <c r="N145" s="15"/>
      <c r="O145" s="16">
        <f t="shared" si="72"/>
        <v>0</v>
      </c>
      <c r="P145" s="15"/>
      <c r="Q145" s="16">
        <f t="shared" si="66"/>
        <v>0</v>
      </c>
      <c r="R145" s="15"/>
      <c r="S145" s="15"/>
      <c r="T145" s="15"/>
      <c r="U145" s="16">
        <f t="shared" si="67"/>
        <v>0</v>
      </c>
      <c r="V145" s="16"/>
      <c r="W145" s="16">
        <f t="shared" si="70"/>
        <v>0</v>
      </c>
      <c r="X145" s="15"/>
      <c r="Y145" s="16">
        <f t="shared" si="68"/>
        <v>0</v>
      </c>
      <c r="Z145" s="15"/>
      <c r="AA145" s="16">
        <f t="shared" si="69"/>
        <v>0</v>
      </c>
      <c r="AB145" s="16"/>
      <c r="AC145" s="16">
        <f t="shared" si="71"/>
        <v>0</v>
      </c>
      <c r="AD145" s="15"/>
      <c r="AE145" s="15"/>
      <c r="AF145" s="64">
        <f t="shared" si="73"/>
        <v>0</v>
      </c>
      <c r="AG145" s="17">
        <f t="shared" si="74"/>
        <v>0</v>
      </c>
      <c r="AH145" s="18"/>
    </row>
    <row r="146" spans="1:34" ht="21" x14ac:dyDescent="0.3">
      <c r="A146" s="54"/>
      <c r="B146" s="72"/>
      <c r="C146" s="52"/>
      <c r="D146" s="53"/>
      <c r="E146" s="12">
        <v>9</v>
      </c>
      <c r="F146" s="12"/>
      <c r="G146" s="13"/>
      <c r="H146" s="14">
        <f t="shared" si="63"/>
        <v>0</v>
      </c>
      <c r="I146" s="15"/>
      <c r="J146" s="16">
        <f t="shared" si="64"/>
        <v>0</v>
      </c>
      <c r="K146" s="15"/>
      <c r="L146" s="16">
        <f t="shared" si="65"/>
        <v>0</v>
      </c>
      <c r="M146" s="15"/>
      <c r="N146" s="15"/>
      <c r="O146" s="16">
        <f t="shared" si="72"/>
        <v>0</v>
      </c>
      <c r="P146" s="15"/>
      <c r="Q146" s="16">
        <f t="shared" si="66"/>
        <v>0</v>
      </c>
      <c r="R146" s="15"/>
      <c r="S146" s="15"/>
      <c r="T146" s="15"/>
      <c r="U146" s="16">
        <f t="shared" si="67"/>
        <v>0</v>
      </c>
      <c r="V146" s="16"/>
      <c r="W146" s="16">
        <f t="shared" si="70"/>
        <v>0</v>
      </c>
      <c r="X146" s="15"/>
      <c r="Y146" s="16">
        <f t="shared" si="68"/>
        <v>0</v>
      </c>
      <c r="Z146" s="15"/>
      <c r="AA146" s="16">
        <f t="shared" si="69"/>
        <v>0</v>
      </c>
      <c r="AB146" s="16"/>
      <c r="AC146" s="16">
        <f t="shared" si="71"/>
        <v>0</v>
      </c>
      <c r="AD146" s="15"/>
      <c r="AE146" s="15"/>
      <c r="AF146" s="64">
        <f t="shared" si="73"/>
        <v>0</v>
      </c>
      <c r="AG146" s="17">
        <f t="shared" si="74"/>
        <v>0</v>
      </c>
      <c r="AH146" s="18"/>
    </row>
    <row r="147" spans="1:34" ht="21" x14ac:dyDescent="0.3">
      <c r="A147" s="54"/>
      <c r="B147" s="72"/>
      <c r="C147" s="52"/>
      <c r="D147" s="53"/>
      <c r="E147" s="12">
        <v>9</v>
      </c>
      <c r="F147" s="12"/>
      <c r="G147" s="13"/>
      <c r="H147" s="14">
        <f t="shared" si="63"/>
        <v>0</v>
      </c>
      <c r="I147" s="15"/>
      <c r="J147" s="16">
        <f t="shared" si="64"/>
        <v>0</v>
      </c>
      <c r="K147" s="15"/>
      <c r="L147" s="16">
        <f t="shared" si="65"/>
        <v>0</v>
      </c>
      <c r="M147" s="15"/>
      <c r="N147" s="15"/>
      <c r="O147" s="16">
        <f t="shared" si="72"/>
        <v>0</v>
      </c>
      <c r="P147" s="15"/>
      <c r="Q147" s="16">
        <f t="shared" si="66"/>
        <v>0</v>
      </c>
      <c r="R147" s="15"/>
      <c r="S147" s="15"/>
      <c r="T147" s="15"/>
      <c r="U147" s="16">
        <f t="shared" si="67"/>
        <v>0</v>
      </c>
      <c r="V147" s="16"/>
      <c r="W147" s="16">
        <f t="shared" si="70"/>
        <v>0</v>
      </c>
      <c r="X147" s="15"/>
      <c r="Y147" s="16">
        <f t="shared" si="68"/>
        <v>0</v>
      </c>
      <c r="Z147" s="15"/>
      <c r="AA147" s="16">
        <f t="shared" si="69"/>
        <v>0</v>
      </c>
      <c r="AB147" s="16"/>
      <c r="AC147" s="16">
        <f t="shared" si="71"/>
        <v>0</v>
      </c>
      <c r="AD147" s="15"/>
      <c r="AE147" s="15"/>
      <c r="AF147" s="64">
        <f t="shared" si="73"/>
        <v>0</v>
      </c>
      <c r="AG147" s="17">
        <f t="shared" si="74"/>
        <v>0</v>
      </c>
      <c r="AH147" s="18"/>
    </row>
    <row r="148" spans="1:34" ht="21" x14ac:dyDescent="0.3">
      <c r="A148" s="54"/>
      <c r="B148" s="72"/>
      <c r="C148" s="52"/>
      <c r="D148" s="53"/>
      <c r="E148" s="12">
        <v>9</v>
      </c>
      <c r="F148" s="12"/>
      <c r="G148" s="13"/>
      <c r="H148" s="14">
        <f t="shared" si="63"/>
        <v>0</v>
      </c>
      <c r="I148" s="15"/>
      <c r="J148" s="16">
        <f t="shared" si="64"/>
        <v>0</v>
      </c>
      <c r="K148" s="15"/>
      <c r="L148" s="16">
        <f t="shared" si="65"/>
        <v>0</v>
      </c>
      <c r="M148" s="15"/>
      <c r="N148" s="15"/>
      <c r="O148" s="16">
        <f t="shared" si="72"/>
        <v>0</v>
      </c>
      <c r="P148" s="15"/>
      <c r="Q148" s="16">
        <f t="shared" si="66"/>
        <v>0</v>
      </c>
      <c r="R148" s="15"/>
      <c r="S148" s="15"/>
      <c r="T148" s="15"/>
      <c r="U148" s="16">
        <f t="shared" si="67"/>
        <v>0</v>
      </c>
      <c r="V148" s="16"/>
      <c r="W148" s="16">
        <f t="shared" si="70"/>
        <v>0</v>
      </c>
      <c r="X148" s="15"/>
      <c r="Y148" s="16">
        <f t="shared" si="68"/>
        <v>0</v>
      </c>
      <c r="Z148" s="15"/>
      <c r="AA148" s="16">
        <f t="shared" si="69"/>
        <v>0</v>
      </c>
      <c r="AB148" s="16"/>
      <c r="AC148" s="16">
        <f t="shared" si="71"/>
        <v>0</v>
      </c>
      <c r="AD148" s="15"/>
      <c r="AE148" s="15"/>
      <c r="AF148" s="64">
        <f t="shared" si="73"/>
        <v>0</v>
      </c>
      <c r="AG148" s="17">
        <f t="shared" si="74"/>
        <v>0</v>
      </c>
      <c r="AH148" s="18"/>
    </row>
    <row r="149" spans="1:34" ht="21" x14ac:dyDescent="0.3">
      <c r="A149" s="54"/>
      <c r="B149" s="72"/>
      <c r="C149" s="52"/>
      <c r="D149" s="53"/>
      <c r="E149" s="12">
        <v>9</v>
      </c>
      <c r="F149" s="12"/>
      <c r="G149" s="13"/>
      <c r="H149" s="14">
        <f t="shared" si="63"/>
        <v>0</v>
      </c>
      <c r="I149" s="15"/>
      <c r="J149" s="16">
        <f t="shared" si="64"/>
        <v>0</v>
      </c>
      <c r="K149" s="15"/>
      <c r="L149" s="16">
        <f t="shared" si="65"/>
        <v>0</v>
      </c>
      <c r="M149" s="15"/>
      <c r="N149" s="15"/>
      <c r="O149" s="16">
        <f t="shared" si="72"/>
        <v>0</v>
      </c>
      <c r="P149" s="15"/>
      <c r="Q149" s="16">
        <f t="shared" si="66"/>
        <v>0</v>
      </c>
      <c r="R149" s="15"/>
      <c r="S149" s="15"/>
      <c r="T149" s="15"/>
      <c r="U149" s="16">
        <f t="shared" si="67"/>
        <v>0</v>
      </c>
      <c r="V149" s="16"/>
      <c r="W149" s="16">
        <f t="shared" si="70"/>
        <v>0</v>
      </c>
      <c r="X149" s="15"/>
      <c r="Y149" s="16">
        <f t="shared" si="68"/>
        <v>0</v>
      </c>
      <c r="Z149" s="15"/>
      <c r="AA149" s="16">
        <f t="shared" si="69"/>
        <v>0</v>
      </c>
      <c r="AB149" s="16"/>
      <c r="AC149" s="16">
        <f t="shared" si="71"/>
        <v>0</v>
      </c>
      <c r="AD149" s="15"/>
      <c r="AE149" s="15"/>
      <c r="AF149" s="64">
        <f t="shared" si="73"/>
        <v>0</v>
      </c>
      <c r="AG149" s="17">
        <f t="shared" si="74"/>
        <v>0</v>
      </c>
      <c r="AH149" s="18"/>
    </row>
    <row r="150" spans="1:34" ht="21" x14ac:dyDescent="0.3">
      <c r="A150" s="54"/>
      <c r="B150" s="54"/>
      <c r="C150" s="52"/>
      <c r="D150" s="53"/>
      <c r="E150" s="12">
        <v>9</v>
      </c>
      <c r="F150" s="12"/>
      <c r="G150" s="13"/>
      <c r="H150" s="14">
        <f t="shared" si="63"/>
        <v>0</v>
      </c>
      <c r="I150" s="15"/>
      <c r="J150" s="16">
        <f t="shared" si="64"/>
        <v>0</v>
      </c>
      <c r="K150" s="15"/>
      <c r="L150" s="16">
        <f t="shared" si="65"/>
        <v>0</v>
      </c>
      <c r="M150" s="15"/>
      <c r="N150" s="15"/>
      <c r="O150" s="16">
        <f t="shared" si="72"/>
        <v>0</v>
      </c>
      <c r="P150" s="15"/>
      <c r="Q150" s="16">
        <f t="shared" si="66"/>
        <v>0</v>
      </c>
      <c r="R150" s="15"/>
      <c r="S150" s="15"/>
      <c r="T150" s="15"/>
      <c r="U150" s="16">
        <f t="shared" si="67"/>
        <v>0</v>
      </c>
      <c r="V150" s="16"/>
      <c r="W150" s="16">
        <f t="shared" si="70"/>
        <v>0</v>
      </c>
      <c r="X150" s="15"/>
      <c r="Y150" s="16">
        <f t="shared" si="68"/>
        <v>0</v>
      </c>
      <c r="Z150" s="15"/>
      <c r="AA150" s="16">
        <f t="shared" si="69"/>
        <v>0</v>
      </c>
      <c r="AB150" s="16"/>
      <c r="AC150" s="16">
        <f t="shared" si="71"/>
        <v>0</v>
      </c>
      <c r="AD150" s="15"/>
      <c r="AE150" s="15"/>
      <c r="AF150" s="64">
        <f t="shared" si="73"/>
        <v>0</v>
      </c>
      <c r="AG150" s="17">
        <f t="shared" si="74"/>
        <v>0</v>
      </c>
      <c r="AH150" s="18"/>
    </row>
    <row r="151" spans="1:34" ht="21" x14ac:dyDescent="0.3">
      <c r="A151" s="54"/>
      <c r="B151" s="54"/>
      <c r="C151" s="52"/>
      <c r="D151" s="53"/>
      <c r="E151" s="12">
        <v>9</v>
      </c>
      <c r="F151" s="12"/>
      <c r="G151" s="13"/>
      <c r="H151" s="14">
        <f t="shared" si="63"/>
        <v>0</v>
      </c>
      <c r="I151" s="15"/>
      <c r="J151" s="16">
        <f t="shared" si="64"/>
        <v>0</v>
      </c>
      <c r="K151" s="15"/>
      <c r="L151" s="16">
        <f t="shared" si="65"/>
        <v>0</v>
      </c>
      <c r="M151" s="15"/>
      <c r="N151" s="15"/>
      <c r="O151" s="16">
        <f t="shared" si="72"/>
        <v>0</v>
      </c>
      <c r="P151" s="15"/>
      <c r="Q151" s="16">
        <f t="shared" si="66"/>
        <v>0</v>
      </c>
      <c r="R151" s="15"/>
      <c r="S151" s="15"/>
      <c r="T151" s="15"/>
      <c r="U151" s="16">
        <f t="shared" si="67"/>
        <v>0</v>
      </c>
      <c r="V151" s="16"/>
      <c r="W151" s="16">
        <f t="shared" si="70"/>
        <v>0</v>
      </c>
      <c r="X151" s="15"/>
      <c r="Y151" s="16">
        <f t="shared" si="68"/>
        <v>0</v>
      </c>
      <c r="Z151" s="15"/>
      <c r="AA151" s="16">
        <f t="shared" si="69"/>
        <v>0</v>
      </c>
      <c r="AB151" s="16"/>
      <c r="AC151" s="16">
        <f t="shared" si="71"/>
        <v>0</v>
      </c>
      <c r="AD151" s="15"/>
      <c r="AE151" s="15"/>
      <c r="AF151" s="64">
        <f t="shared" si="73"/>
        <v>0</v>
      </c>
      <c r="AG151" s="17">
        <f t="shared" si="74"/>
        <v>0</v>
      </c>
      <c r="AH151" s="18"/>
    </row>
    <row r="152" spans="1:34" ht="21" x14ac:dyDescent="0.3">
      <c r="A152" s="54"/>
      <c r="B152" s="54"/>
      <c r="C152" s="52"/>
      <c r="D152" s="53"/>
      <c r="E152" s="12">
        <v>9</v>
      </c>
      <c r="F152" s="12"/>
      <c r="G152" s="13"/>
      <c r="H152" s="14">
        <f t="shared" si="63"/>
        <v>0</v>
      </c>
      <c r="I152" s="15"/>
      <c r="J152" s="16">
        <f t="shared" si="64"/>
        <v>0</v>
      </c>
      <c r="K152" s="15"/>
      <c r="L152" s="16">
        <f t="shared" si="65"/>
        <v>0</v>
      </c>
      <c r="M152" s="15"/>
      <c r="N152" s="15"/>
      <c r="O152" s="16">
        <f t="shared" si="72"/>
        <v>0</v>
      </c>
      <c r="P152" s="15"/>
      <c r="Q152" s="16">
        <f t="shared" si="66"/>
        <v>0</v>
      </c>
      <c r="R152" s="15"/>
      <c r="S152" s="15"/>
      <c r="T152" s="15"/>
      <c r="U152" s="16">
        <f t="shared" si="67"/>
        <v>0</v>
      </c>
      <c r="V152" s="16"/>
      <c r="W152" s="16">
        <f t="shared" si="70"/>
        <v>0</v>
      </c>
      <c r="X152" s="15"/>
      <c r="Y152" s="16">
        <f t="shared" si="68"/>
        <v>0</v>
      </c>
      <c r="Z152" s="15"/>
      <c r="AA152" s="16">
        <f t="shared" si="69"/>
        <v>0</v>
      </c>
      <c r="AB152" s="16"/>
      <c r="AC152" s="16">
        <f t="shared" si="71"/>
        <v>0</v>
      </c>
      <c r="AD152" s="15"/>
      <c r="AE152" s="15"/>
      <c r="AF152" s="64">
        <f t="shared" si="73"/>
        <v>0</v>
      </c>
      <c r="AG152" s="17">
        <f t="shared" si="74"/>
        <v>0</v>
      </c>
      <c r="AH152" s="18"/>
    </row>
    <row r="153" spans="1:34" ht="21" x14ac:dyDescent="0.3">
      <c r="A153" s="54"/>
      <c r="B153" s="72"/>
      <c r="C153" s="52"/>
      <c r="D153" s="53"/>
      <c r="E153" s="12">
        <v>9</v>
      </c>
      <c r="F153" s="12"/>
      <c r="G153" s="13"/>
      <c r="H153" s="14">
        <f t="shared" si="63"/>
        <v>0</v>
      </c>
      <c r="I153" s="15"/>
      <c r="J153" s="16">
        <f t="shared" si="64"/>
        <v>0</v>
      </c>
      <c r="K153" s="15"/>
      <c r="L153" s="16">
        <f t="shared" si="65"/>
        <v>0</v>
      </c>
      <c r="M153" s="15"/>
      <c r="N153" s="15"/>
      <c r="O153" s="16">
        <f t="shared" si="72"/>
        <v>0</v>
      </c>
      <c r="P153" s="15"/>
      <c r="Q153" s="16">
        <f t="shared" si="66"/>
        <v>0</v>
      </c>
      <c r="R153" s="15"/>
      <c r="S153" s="15"/>
      <c r="T153" s="15"/>
      <c r="U153" s="16">
        <f t="shared" si="67"/>
        <v>0</v>
      </c>
      <c r="V153" s="16"/>
      <c r="W153" s="16">
        <f t="shared" si="70"/>
        <v>0</v>
      </c>
      <c r="X153" s="15"/>
      <c r="Y153" s="16">
        <f t="shared" si="68"/>
        <v>0</v>
      </c>
      <c r="Z153" s="15"/>
      <c r="AA153" s="16">
        <f t="shared" si="69"/>
        <v>0</v>
      </c>
      <c r="AB153" s="16"/>
      <c r="AC153" s="16">
        <f t="shared" si="71"/>
        <v>0</v>
      </c>
      <c r="AD153" s="15"/>
      <c r="AE153" s="15"/>
      <c r="AF153" s="64">
        <f t="shared" si="73"/>
        <v>0</v>
      </c>
      <c r="AG153" s="17">
        <f t="shared" si="74"/>
        <v>0</v>
      </c>
      <c r="AH153" s="18"/>
    </row>
    <row r="154" spans="1:34" ht="21" x14ac:dyDescent="0.25">
      <c r="A154" s="54"/>
      <c r="B154" s="72"/>
      <c r="C154" s="52"/>
      <c r="D154" s="52"/>
      <c r="E154" s="12">
        <v>9</v>
      </c>
      <c r="F154" s="12"/>
      <c r="G154" s="13"/>
      <c r="H154" s="14">
        <f t="shared" si="63"/>
        <v>0</v>
      </c>
      <c r="I154" s="15"/>
      <c r="J154" s="16">
        <f t="shared" si="64"/>
        <v>0</v>
      </c>
      <c r="K154" s="15"/>
      <c r="L154" s="16">
        <f t="shared" si="65"/>
        <v>0</v>
      </c>
      <c r="M154" s="15"/>
      <c r="N154" s="15"/>
      <c r="O154" s="16">
        <f t="shared" si="72"/>
        <v>0</v>
      </c>
      <c r="P154" s="15"/>
      <c r="Q154" s="16">
        <f t="shared" si="66"/>
        <v>0</v>
      </c>
      <c r="R154" s="15"/>
      <c r="S154" s="15"/>
      <c r="T154" s="15"/>
      <c r="U154" s="16">
        <f t="shared" si="67"/>
        <v>0</v>
      </c>
      <c r="V154" s="16"/>
      <c r="W154" s="16">
        <f t="shared" si="70"/>
        <v>0</v>
      </c>
      <c r="X154" s="15"/>
      <c r="Y154" s="16">
        <f t="shared" si="68"/>
        <v>0</v>
      </c>
      <c r="Z154" s="15"/>
      <c r="AA154" s="16">
        <f t="shared" si="69"/>
        <v>0</v>
      </c>
      <c r="AB154" s="16"/>
      <c r="AC154" s="16">
        <f t="shared" si="71"/>
        <v>0</v>
      </c>
      <c r="AD154" s="15"/>
      <c r="AE154" s="15"/>
      <c r="AF154" s="64">
        <f t="shared" si="73"/>
        <v>0</v>
      </c>
      <c r="AG154" s="17">
        <f t="shared" si="74"/>
        <v>0</v>
      </c>
      <c r="AH154" s="18"/>
    </row>
    <row r="155" spans="1:34" ht="21" x14ac:dyDescent="0.3">
      <c r="A155" s="54"/>
      <c r="B155" s="54"/>
      <c r="C155" s="52"/>
      <c r="D155" s="53"/>
      <c r="E155" s="12">
        <v>9</v>
      </c>
      <c r="F155" s="12"/>
      <c r="G155" s="13"/>
      <c r="H155" s="14">
        <f t="shared" si="63"/>
        <v>0</v>
      </c>
      <c r="I155" s="15"/>
      <c r="J155" s="16">
        <f t="shared" si="64"/>
        <v>0</v>
      </c>
      <c r="K155" s="15"/>
      <c r="L155" s="16">
        <f t="shared" si="65"/>
        <v>0</v>
      </c>
      <c r="M155" s="15"/>
      <c r="N155" s="15"/>
      <c r="O155" s="16">
        <f t="shared" si="72"/>
        <v>0</v>
      </c>
      <c r="P155" s="15"/>
      <c r="Q155" s="16">
        <f t="shared" si="66"/>
        <v>0</v>
      </c>
      <c r="R155" s="15"/>
      <c r="S155" s="15"/>
      <c r="T155" s="15"/>
      <c r="U155" s="16">
        <f t="shared" si="67"/>
        <v>0</v>
      </c>
      <c r="V155" s="16"/>
      <c r="W155" s="16">
        <f t="shared" si="70"/>
        <v>0</v>
      </c>
      <c r="X155" s="15"/>
      <c r="Y155" s="16">
        <f t="shared" si="68"/>
        <v>0</v>
      </c>
      <c r="Z155" s="15"/>
      <c r="AA155" s="16">
        <f t="shared" si="69"/>
        <v>0</v>
      </c>
      <c r="AB155" s="16"/>
      <c r="AC155" s="16">
        <f t="shared" si="71"/>
        <v>0</v>
      </c>
      <c r="AD155" s="15"/>
      <c r="AE155" s="15"/>
      <c r="AF155" s="64">
        <f t="shared" si="73"/>
        <v>0</v>
      </c>
      <c r="AG155" s="17">
        <f t="shared" si="74"/>
        <v>0</v>
      </c>
      <c r="AH155" s="18"/>
    </row>
    <row r="156" spans="1:34" ht="21" x14ac:dyDescent="0.3">
      <c r="A156" s="54"/>
      <c r="B156" s="72"/>
      <c r="C156" s="52"/>
      <c r="D156" s="53"/>
      <c r="E156" s="12">
        <v>9</v>
      </c>
      <c r="F156" s="12"/>
      <c r="G156" s="13"/>
      <c r="H156" s="14">
        <f t="shared" si="63"/>
        <v>0</v>
      </c>
      <c r="I156" s="15"/>
      <c r="J156" s="16">
        <f t="shared" si="64"/>
        <v>0</v>
      </c>
      <c r="K156" s="15"/>
      <c r="L156" s="16">
        <f t="shared" si="65"/>
        <v>0</v>
      </c>
      <c r="M156" s="15"/>
      <c r="N156" s="15"/>
      <c r="O156" s="16">
        <f t="shared" si="72"/>
        <v>0</v>
      </c>
      <c r="P156" s="15"/>
      <c r="Q156" s="16">
        <f t="shared" si="66"/>
        <v>0</v>
      </c>
      <c r="R156" s="15"/>
      <c r="S156" s="15"/>
      <c r="T156" s="15"/>
      <c r="U156" s="16">
        <f t="shared" si="67"/>
        <v>0</v>
      </c>
      <c r="V156" s="16"/>
      <c r="W156" s="16">
        <f t="shared" si="70"/>
        <v>0</v>
      </c>
      <c r="X156" s="15"/>
      <c r="Y156" s="16">
        <f t="shared" si="68"/>
        <v>0</v>
      </c>
      <c r="Z156" s="15"/>
      <c r="AA156" s="16">
        <f t="shared" si="69"/>
        <v>0</v>
      </c>
      <c r="AB156" s="16"/>
      <c r="AC156" s="16">
        <f t="shared" si="71"/>
        <v>0</v>
      </c>
      <c r="AD156" s="15"/>
      <c r="AE156" s="15"/>
      <c r="AF156" s="64">
        <f t="shared" si="73"/>
        <v>0</v>
      </c>
      <c r="AG156" s="17">
        <f t="shared" si="74"/>
        <v>0</v>
      </c>
      <c r="AH156" s="18"/>
    </row>
    <row r="157" spans="1:34" ht="21" x14ac:dyDescent="0.25">
      <c r="A157" s="54"/>
      <c r="B157" s="54"/>
      <c r="C157" s="52"/>
      <c r="D157" s="52"/>
      <c r="E157" s="12">
        <v>9</v>
      </c>
      <c r="F157" s="12"/>
      <c r="G157" s="13"/>
      <c r="H157" s="14">
        <f t="shared" si="63"/>
        <v>0</v>
      </c>
      <c r="I157" s="15"/>
      <c r="J157" s="16">
        <f t="shared" si="64"/>
        <v>0</v>
      </c>
      <c r="K157" s="15"/>
      <c r="L157" s="16">
        <f t="shared" si="65"/>
        <v>0</v>
      </c>
      <c r="M157" s="15"/>
      <c r="N157" s="15"/>
      <c r="O157" s="16">
        <f t="shared" si="72"/>
        <v>0</v>
      </c>
      <c r="P157" s="15"/>
      <c r="Q157" s="16">
        <f t="shared" si="66"/>
        <v>0</v>
      </c>
      <c r="R157" s="15"/>
      <c r="S157" s="15"/>
      <c r="T157" s="15"/>
      <c r="U157" s="16">
        <f t="shared" si="67"/>
        <v>0</v>
      </c>
      <c r="V157" s="16"/>
      <c r="W157" s="16">
        <f t="shared" si="70"/>
        <v>0</v>
      </c>
      <c r="X157" s="15"/>
      <c r="Y157" s="16">
        <f t="shared" si="68"/>
        <v>0</v>
      </c>
      <c r="Z157" s="15"/>
      <c r="AA157" s="16">
        <f t="shared" si="69"/>
        <v>0</v>
      </c>
      <c r="AB157" s="16"/>
      <c r="AC157" s="16">
        <f t="shared" si="71"/>
        <v>0</v>
      </c>
      <c r="AD157" s="15"/>
      <c r="AE157" s="15"/>
      <c r="AF157" s="64">
        <f t="shared" si="73"/>
        <v>0</v>
      </c>
      <c r="AG157" s="17">
        <f t="shared" si="74"/>
        <v>0</v>
      </c>
      <c r="AH157" s="18"/>
    </row>
    <row r="158" spans="1:34" ht="21" x14ac:dyDescent="0.3">
      <c r="A158" s="54"/>
      <c r="B158" s="54"/>
      <c r="C158" s="52"/>
      <c r="D158" s="53"/>
      <c r="E158" s="12">
        <v>9</v>
      </c>
      <c r="F158" s="12"/>
      <c r="G158" s="13"/>
      <c r="H158" s="14">
        <f t="shared" si="63"/>
        <v>0</v>
      </c>
      <c r="I158" s="15"/>
      <c r="J158" s="16">
        <f t="shared" si="64"/>
        <v>0</v>
      </c>
      <c r="K158" s="15"/>
      <c r="L158" s="16">
        <f t="shared" si="65"/>
        <v>0</v>
      </c>
      <c r="M158" s="15"/>
      <c r="N158" s="15"/>
      <c r="O158" s="16">
        <f t="shared" si="72"/>
        <v>0</v>
      </c>
      <c r="P158" s="15"/>
      <c r="Q158" s="16">
        <f t="shared" si="66"/>
        <v>0</v>
      </c>
      <c r="R158" s="15"/>
      <c r="S158" s="15"/>
      <c r="T158" s="15"/>
      <c r="U158" s="16">
        <f t="shared" si="67"/>
        <v>0</v>
      </c>
      <c r="V158" s="16"/>
      <c r="W158" s="16">
        <f t="shared" si="70"/>
        <v>0</v>
      </c>
      <c r="X158" s="15"/>
      <c r="Y158" s="16">
        <f t="shared" si="68"/>
        <v>0</v>
      </c>
      <c r="Z158" s="15"/>
      <c r="AA158" s="16">
        <f t="shared" si="69"/>
        <v>0</v>
      </c>
      <c r="AB158" s="16"/>
      <c r="AC158" s="16">
        <f t="shared" si="71"/>
        <v>0</v>
      </c>
      <c r="AD158" s="15"/>
      <c r="AE158" s="15"/>
      <c r="AF158" s="64">
        <f t="shared" si="73"/>
        <v>0</v>
      </c>
      <c r="AG158" s="17">
        <f t="shared" si="74"/>
        <v>0</v>
      </c>
      <c r="AH158" s="18"/>
    </row>
    <row r="159" spans="1:34" ht="21" x14ac:dyDescent="0.3">
      <c r="A159" s="54"/>
      <c r="B159" s="54"/>
      <c r="C159" s="52"/>
      <c r="D159" s="53"/>
      <c r="E159" s="12">
        <v>9</v>
      </c>
      <c r="F159" s="12"/>
      <c r="G159" s="13"/>
      <c r="H159" s="14">
        <f t="shared" si="63"/>
        <v>0</v>
      </c>
      <c r="I159" s="15"/>
      <c r="J159" s="16">
        <f t="shared" si="64"/>
        <v>0</v>
      </c>
      <c r="K159" s="15"/>
      <c r="L159" s="16">
        <f t="shared" si="65"/>
        <v>0</v>
      </c>
      <c r="M159" s="15"/>
      <c r="N159" s="15"/>
      <c r="O159" s="16">
        <f t="shared" si="72"/>
        <v>0</v>
      </c>
      <c r="P159" s="15"/>
      <c r="Q159" s="16">
        <f t="shared" si="66"/>
        <v>0</v>
      </c>
      <c r="R159" s="15"/>
      <c r="S159" s="15"/>
      <c r="T159" s="15"/>
      <c r="U159" s="16">
        <f t="shared" si="67"/>
        <v>0</v>
      </c>
      <c r="V159" s="16"/>
      <c r="W159" s="16">
        <f t="shared" si="70"/>
        <v>0</v>
      </c>
      <c r="X159" s="15"/>
      <c r="Y159" s="16">
        <f t="shared" si="68"/>
        <v>0</v>
      </c>
      <c r="Z159" s="15"/>
      <c r="AA159" s="16">
        <f t="shared" si="69"/>
        <v>0</v>
      </c>
      <c r="AB159" s="16"/>
      <c r="AC159" s="16">
        <f t="shared" si="71"/>
        <v>0</v>
      </c>
      <c r="AD159" s="15"/>
      <c r="AE159" s="15"/>
      <c r="AF159" s="64">
        <f t="shared" si="73"/>
        <v>0</v>
      </c>
      <c r="AG159" s="17">
        <f t="shared" si="74"/>
        <v>0</v>
      </c>
      <c r="AH159" s="18"/>
    </row>
    <row r="160" spans="1:34" ht="21" x14ac:dyDescent="0.3">
      <c r="A160" s="56"/>
      <c r="B160" s="71"/>
      <c r="C160" s="52"/>
      <c r="D160" s="53"/>
      <c r="E160" s="12">
        <v>9</v>
      </c>
      <c r="F160" s="12"/>
      <c r="G160" s="13"/>
      <c r="H160" s="14">
        <f t="shared" si="63"/>
        <v>0</v>
      </c>
      <c r="I160" s="15"/>
      <c r="J160" s="16">
        <f t="shared" si="64"/>
        <v>0</v>
      </c>
      <c r="K160" s="15"/>
      <c r="L160" s="16">
        <f t="shared" si="65"/>
        <v>0</v>
      </c>
      <c r="M160" s="15"/>
      <c r="N160" s="15"/>
      <c r="O160" s="16">
        <f t="shared" si="72"/>
        <v>0</v>
      </c>
      <c r="P160" s="15"/>
      <c r="Q160" s="16">
        <f t="shared" si="66"/>
        <v>0</v>
      </c>
      <c r="R160" s="15"/>
      <c r="S160" s="15"/>
      <c r="T160" s="15"/>
      <c r="U160" s="16">
        <f t="shared" si="67"/>
        <v>0</v>
      </c>
      <c r="V160" s="16"/>
      <c r="W160" s="16">
        <f t="shared" si="70"/>
        <v>0</v>
      </c>
      <c r="X160" s="15"/>
      <c r="Y160" s="16">
        <f t="shared" si="68"/>
        <v>0</v>
      </c>
      <c r="Z160" s="15"/>
      <c r="AA160" s="16">
        <f t="shared" si="69"/>
        <v>0</v>
      </c>
      <c r="AB160" s="16"/>
      <c r="AC160" s="16">
        <f t="shared" si="71"/>
        <v>0</v>
      </c>
      <c r="AD160" s="15"/>
      <c r="AE160" s="15"/>
      <c r="AF160" s="64">
        <f t="shared" si="73"/>
        <v>0</v>
      </c>
      <c r="AG160" s="17">
        <f t="shared" si="74"/>
        <v>0</v>
      </c>
      <c r="AH160" s="18"/>
    </row>
    <row r="161" spans="1:34" ht="21" x14ac:dyDescent="0.25">
      <c r="A161" s="54"/>
      <c r="B161" s="54"/>
      <c r="C161" s="52"/>
      <c r="D161" s="52"/>
      <c r="E161" s="12">
        <v>9</v>
      </c>
      <c r="F161" s="12"/>
      <c r="G161" s="13"/>
      <c r="H161" s="14">
        <f t="shared" si="63"/>
        <v>0</v>
      </c>
      <c r="I161" s="15"/>
      <c r="J161" s="16">
        <f t="shared" si="64"/>
        <v>0</v>
      </c>
      <c r="K161" s="15"/>
      <c r="L161" s="16">
        <f t="shared" si="65"/>
        <v>0</v>
      </c>
      <c r="M161" s="15"/>
      <c r="N161" s="15"/>
      <c r="O161" s="16">
        <f t="shared" si="72"/>
        <v>0</v>
      </c>
      <c r="P161" s="15"/>
      <c r="Q161" s="16">
        <f t="shared" si="66"/>
        <v>0</v>
      </c>
      <c r="R161" s="15"/>
      <c r="S161" s="15"/>
      <c r="T161" s="15"/>
      <c r="U161" s="16">
        <f t="shared" si="67"/>
        <v>0</v>
      </c>
      <c r="V161" s="16"/>
      <c r="W161" s="16">
        <f t="shared" si="70"/>
        <v>0</v>
      </c>
      <c r="X161" s="15"/>
      <c r="Y161" s="16">
        <f t="shared" si="68"/>
        <v>0</v>
      </c>
      <c r="Z161" s="15"/>
      <c r="AA161" s="16">
        <f t="shared" si="69"/>
        <v>0</v>
      </c>
      <c r="AB161" s="16"/>
      <c r="AC161" s="16">
        <f t="shared" si="71"/>
        <v>0</v>
      </c>
      <c r="AD161" s="15"/>
      <c r="AE161" s="15"/>
      <c r="AF161" s="64">
        <f t="shared" si="73"/>
        <v>0</v>
      </c>
      <c r="AG161" s="17">
        <f t="shared" si="74"/>
        <v>0</v>
      </c>
      <c r="AH161" s="18"/>
    </row>
    <row r="162" spans="1:34" ht="21" x14ac:dyDescent="0.25">
      <c r="A162" s="54"/>
      <c r="B162" s="54"/>
      <c r="C162" s="52"/>
      <c r="D162" s="52"/>
      <c r="E162" s="12">
        <v>9</v>
      </c>
      <c r="F162" s="12"/>
      <c r="G162" s="13"/>
      <c r="H162" s="14">
        <f t="shared" si="63"/>
        <v>0</v>
      </c>
      <c r="I162" s="15"/>
      <c r="J162" s="16">
        <f t="shared" si="64"/>
        <v>0</v>
      </c>
      <c r="K162" s="15"/>
      <c r="L162" s="16">
        <f t="shared" si="65"/>
        <v>0</v>
      </c>
      <c r="M162" s="15"/>
      <c r="N162" s="15"/>
      <c r="O162" s="16">
        <f t="shared" si="72"/>
        <v>0</v>
      </c>
      <c r="P162" s="15"/>
      <c r="Q162" s="16">
        <f t="shared" si="66"/>
        <v>0</v>
      </c>
      <c r="R162" s="15"/>
      <c r="S162" s="15"/>
      <c r="T162" s="15"/>
      <c r="U162" s="16">
        <f t="shared" si="67"/>
        <v>0</v>
      </c>
      <c r="V162" s="16"/>
      <c r="W162" s="16">
        <f t="shared" si="70"/>
        <v>0</v>
      </c>
      <c r="X162" s="15"/>
      <c r="Y162" s="16">
        <f t="shared" si="68"/>
        <v>0</v>
      </c>
      <c r="Z162" s="15"/>
      <c r="AA162" s="16">
        <f t="shared" si="69"/>
        <v>0</v>
      </c>
      <c r="AB162" s="16"/>
      <c r="AC162" s="16">
        <f t="shared" si="71"/>
        <v>0</v>
      </c>
      <c r="AD162" s="15"/>
      <c r="AE162" s="15"/>
      <c r="AF162" s="64">
        <f t="shared" si="73"/>
        <v>0</v>
      </c>
      <c r="AG162" s="17">
        <f t="shared" si="74"/>
        <v>0</v>
      </c>
      <c r="AH162" s="18"/>
    </row>
    <row r="163" spans="1:34" ht="21" x14ac:dyDescent="0.3">
      <c r="A163" s="54"/>
      <c r="B163" s="54"/>
      <c r="C163" s="52"/>
      <c r="D163" s="53"/>
      <c r="E163" s="12">
        <v>9</v>
      </c>
      <c r="F163" s="12"/>
      <c r="G163" s="13"/>
      <c r="H163" s="14">
        <f t="shared" si="63"/>
        <v>0</v>
      </c>
      <c r="I163" s="15"/>
      <c r="J163" s="16">
        <f t="shared" si="64"/>
        <v>0</v>
      </c>
      <c r="K163" s="15"/>
      <c r="L163" s="16">
        <f t="shared" si="65"/>
        <v>0</v>
      </c>
      <c r="M163" s="15"/>
      <c r="N163" s="15"/>
      <c r="O163" s="16">
        <f t="shared" si="72"/>
        <v>0</v>
      </c>
      <c r="P163" s="15"/>
      <c r="Q163" s="16">
        <f t="shared" si="66"/>
        <v>0</v>
      </c>
      <c r="R163" s="15"/>
      <c r="S163" s="15"/>
      <c r="T163" s="15"/>
      <c r="U163" s="16">
        <f t="shared" si="67"/>
        <v>0</v>
      </c>
      <c r="V163" s="16"/>
      <c r="W163" s="16">
        <f t="shared" si="70"/>
        <v>0</v>
      </c>
      <c r="X163" s="15"/>
      <c r="Y163" s="16">
        <f t="shared" si="68"/>
        <v>0</v>
      </c>
      <c r="Z163" s="15"/>
      <c r="AA163" s="16">
        <f t="shared" si="69"/>
        <v>0</v>
      </c>
      <c r="AB163" s="16"/>
      <c r="AC163" s="16">
        <f t="shared" si="71"/>
        <v>0</v>
      </c>
      <c r="AD163" s="15"/>
      <c r="AE163" s="15"/>
      <c r="AF163" s="64">
        <f t="shared" si="73"/>
        <v>0</v>
      </c>
      <c r="AG163" s="17">
        <f t="shared" si="74"/>
        <v>0</v>
      </c>
      <c r="AH163" s="18"/>
    </row>
    <row r="164" spans="1:34" ht="21" x14ac:dyDescent="0.3">
      <c r="A164" s="54"/>
      <c r="B164" s="54"/>
      <c r="C164" s="52"/>
      <c r="D164" s="53"/>
      <c r="E164" s="12">
        <v>9</v>
      </c>
      <c r="F164" s="12"/>
      <c r="G164" s="13"/>
      <c r="H164" s="14">
        <f t="shared" si="63"/>
        <v>0</v>
      </c>
      <c r="I164" s="15"/>
      <c r="J164" s="16">
        <f t="shared" si="64"/>
        <v>0</v>
      </c>
      <c r="K164" s="15"/>
      <c r="L164" s="16">
        <f t="shared" si="65"/>
        <v>0</v>
      </c>
      <c r="M164" s="15"/>
      <c r="N164" s="15"/>
      <c r="O164" s="16">
        <f t="shared" si="72"/>
        <v>0</v>
      </c>
      <c r="P164" s="15"/>
      <c r="Q164" s="16">
        <f t="shared" si="66"/>
        <v>0</v>
      </c>
      <c r="R164" s="15"/>
      <c r="S164" s="15"/>
      <c r="T164" s="15"/>
      <c r="U164" s="16">
        <f t="shared" si="67"/>
        <v>0</v>
      </c>
      <c r="V164" s="16"/>
      <c r="W164" s="16">
        <f t="shared" si="70"/>
        <v>0</v>
      </c>
      <c r="X164" s="15"/>
      <c r="Y164" s="16">
        <f t="shared" si="68"/>
        <v>0</v>
      </c>
      <c r="Z164" s="15"/>
      <c r="AA164" s="16">
        <f t="shared" si="69"/>
        <v>0</v>
      </c>
      <c r="AB164" s="16"/>
      <c r="AC164" s="16">
        <f t="shared" si="71"/>
        <v>0</v>
      </c>
      <c r="AD164" s="15"/>
      <c r="AE164" s="15"/>
      <c r="AF164" s="64">
        <f t="shared" si="73"/>
        <v>0</v>
      </c>
      <c r="AG164" s="17">
        <f t="shared" si="74"/>
        <v>0</v>
      </c>
      <c r="AH164" s="18"/>
    </row>
    <row r="165" spans="1:34" ht="21" x14ac:dyDescent="0.3">
      <c r="A165" s="54"/>
      <c r="B165" s="72"/>
      <c r="C165" s="52"/>
      <c r="D165" s="53"/>
      <c r="E165" s="12">
        <v>9</v>
      </c>
      <c r="F165" s="12"/>
      <c r="G165" s="13"/>
      <c r="H165" s="14">
        <f t="shared" si="63"/>
        <v>0</v>
      </c>
      <c r="I165" s="15"/>
      <c r="J165" s="16">
        <f t="shared" si="64"/>
        <v>0</v>
      </c>
      <c r="K165" s="15"/>
      <c r="L165" s="16">
        <f t="shared" si="65"/>
        <v>0</v>
      </c>
      <c r="M165" s="15"/>
      <c r="N165" s="15"/>
      <c r="O165" s="16">
        <f t="shared" si="72"/>
        <v>0</v>
      </c>
      <c r="P165" s="15"/>
      <c r="Q165" s="16">
        <f t="shared" si="66"/>
        <v>0</v>
      </c>
      <c r="R165" s="15"/>
      <c r="S165" s="15"/>
      <c r="T165" s="15"/>
      <c r="U165" s="16">
        <f t="shared" si="67"/>
        <v>0</v>
      </c>
      <c r="V165" s="16"/>
      <c r="W165" s="16">
        <f t="shared" si="70"/>
        <v>0</v>
      </c>
      <c r="X165" s="15"/>
      <c r="Y165" s="16">
        <f t="shared" si="68"/>
        <v>0</v>
      </c>
      <c r="Z165" s="15"/>
      <c r="AA165" s="16">
        <f t="shared" si="69"/>
        <v>0</v>
      </c>
      <c r="AB165" s="16"/>
      <c r="AC165" s="16">
        <f t="shared" si="71"/>
        <v>0</v>
      </c>
      <c r="AD165" s="15"/>
      <c r="AE165" s="15"/>
      <c r="AF165" s="64">
        <f t="shared" si="73"/>
        <v>0</v>
      </c>
      <c r="AG165" s="17">
        <f t="shared" si="74"/>
        <v>0</v>
      </c>
      <c r="AH165" s="18"/>
    </row>
    <row r="166" spans="1:34" ht="21" x14ac:dyDescent="0.3">
      <c r="A166" s="54"/>
      <c r="B166" s="72"/>
      <c r="C166" s="52"/>
      <c r="D166" s="53"/>
      <c r="E166" s="12">
        <v>9</v>
      </c>
      <c r="F166" s="12"/>
      <c r="G166" s="13"/>
      <c r="H166" s="14">
        <f t="shared" si="63"/>
        <v>0</v>
      </c>
      <c r="I166" s="15"/>
      <c r="J166" s="16">
        <f t="shared" si="64"/>
        <v>0</v>
      </c>
      <c r="K166" s="15"/>
      <c r="L166" s="16">
        <f t="shared" si="65"/>
        <v>0</v>
      </c>
      <c r="M166" s="15"/>
      <c r="N166" s="15"/>
      <c r="O166" s="16">
        <f t="shared" si="72"/>
        <v>0</v>
      </c>
      <c r="P166" s="15"/>
      <c r="Q166" s="16">
        <f t="shared" si="66"/>
        <v>0</v>
      </c>
      <c r="R166" s="15"/>
      <c r="S166" s="15"/>
      <c r="T166" s="15"/>
      <c r="U166" s="16">
        <f t="shared" si="67"/>
        <v>0</v>
      </c>
      <c r="V166" s="16"/>
      <c r="W166" s="16">
        <f t="shared" si="70"/>
        <v>0</v>
      </c>
      <c r="X166" s="15"/>
      <c r="Y166" s="16">
        <f t="shared" si="68"/>
        <v>0</v>
      </c>
      <c r="Z166" s="15"/>
      <c r="AA166" s="16">
        <f t="shared" si="69"/>
        <v>0</v>
      </c>
      <c r="AB166" s="16"/>
      <c r="AC166" s="16">
        <f t="shared" si="71"/>
        <v>0</v>
      </c>
      <c r="AD166" s="15"/>
      <c r="AE166" s="15"/>
      <c r="AF166" s="64">
        <f t="shared" si="73"/>
        <v>0</v>
      </c>
      <c r="AG166" s="17">
        <f t="shared" si="74"/>
        <v>0</v>
      </c>
      <c r="AH166" s="18"/>
    </row>
    <row r="167" spans="1:34" ht="21" x14ac:dyDescent="0.3">
      <c r="A167" s="54"/>
      <c r="B167" s="54"/>
      <c r="C167" s="52"/>
      <c r="D167" s="53"/>
      <c r="E167" s="12">
        <v>9</v>
      </c>
      <c r="F167" s="12"/>
      <c r="G167" s="13"/>
      <c r="H167" s="14">
        <f t="shared" si="63"/>
        <v>0</v>
      </c>
      <c r="I167" s="15"/>
      <c r="J167" s="16">
        <f t="shared" si="64"/>
        <v>0</v>
      </c>
      <c r="K167" s="15"/>
      <c r="L167" s="16">
        <f t="shared" si="65"/>
        <v>0</v>
      </c>
      <c r="M167" s="15"/>
      <c r="N167" s="15"/>
      <c r="O167" s="16">
        <f t="shared" si="72"/>
        <v>0</v>
      </c>
      <c r="P167" s="15"/>
      <c r="Q167" s="16">
        <f t="shared" si="66"/>
        <v>0</v>
      </c>
      <c r="R167" s="15"/>
      <c r="S167" s="15"/>
      <c r="T167" s="15"/>
      <c r="U167" s="16">
        <f t="shared" si="67"/>
        <v>0</v>
      </c>
      <c r="V167" s="16"/>
      <c r="W167" s="16">
        <f t="shared" si="70"/>
        <v>0</v>
      </c>
      <c r="X167" s="15"/>
      <c r="Y167" s="16">
        <f t="shared" si="68"/>
        <v>0</v>
      </c>
      <c r="Z167" s="15"/>
      <c r="AA167" s="16">
        <f t="shared" si="69"/>
        <v>0</v>
      </c>
      <c r="AB167" s="16"/>
      <c r="AC167" s="16">
        <f t="shared" si="71"/>
        <v>0</v>
      </c>
      <c r="AD167" s="15"/>
      <c r="AE167" s="15"/>
      <c r="AF167" s="64">
        <f t="shared" si="73"/>
        <v>0</v>
      </c>
      <c r="AG167" s="17">
        <f t="shared" si="74"/>
        <v>0</v>
      </c>
      <c r="AH167" s="18"/>
    </row>
    <row r="168" spans="1:34" ht="21" x14ac:dyDescent="0.25">
      <c r="A168" s="54"/>
      <c r="B168" s="72"/>
      <c r="C168" s="52"/>
      <c r="D168" s="52"/>
      <c r="E168" s="12">
        <v>9</v>
      </c>
      <c r="F168" s="12"/>
      <c r="G168" s="13"/>
      <c r="H168" s="14">
        <f t="shared" si="63"/>
        <v>0</v>
      </c>
      <c r="I168" s="15"/>
      <c r="J168" s="16">
        <f t="shared" si="64"/>
        <v>0</v>
      </c>
      <c r="K168" s="15"/>
      <c r="L168" s="16">
        <f t="shared" si="65"/>
        <v>0</v>
      </c>
      <c r="M168" s="15"/>
      <c r="N168" s="15"/>
      <c r="O168" s="16">
        <f t="shared" si="72"/>
        <v>0</v>
      </c>
      <c r="P168" s="15"/>
      <c r="Q168" s="16">
        <f t="shared" si="66"/>
        <v>0</v>
      </c>
      <c r="R168" s="15"/>
      <c r="S168" s="15"/>
      <c r="T168" s="15"/>
      <c r="U168" s="16">
        <f t="shared" si="67"/>
        <v>0</v>
      </c>
      <c r="V168" s="16"/>
      <c r="W168" s="16">
        <f t="shared" si="70"/>
        <v>0</v>
      </c>
      <c r="X168" s="15"/>
      <c r="Y168" s="16">
        <f t="shared" si="68"/>
        <v>0</v>
      </c>
      <c r="Z168" s="15"/>
      <c r="AA168" s="16">
        <f t="shared" si="69"/>
        <v>0</v>
      </c>
      <c r="AB168" s="16"/>
      <c r="AC168" s="16">
        <f t="shared" si="71"/>
        <v>0</v>
      </c>
      <c r="AD168" s="15"/>
      <c r="AE168" s="15"/>
      <c r="AF168" s="64">
        <f t="shared" si="73"/>
        <v>0</v>
      </c>
      <c r="AG168" s="17">
        <f t="shared" si="74"/>
        <v>0</v>
      </c>
      <c r="AH168" s="18"/>
    </row>
    <row r="169" spans="1:34" ht="21" x14ac:dyDescent="0.3">
      <c r="A169" s="54"/>
      <c r="B169" s="54"/>
      <c r="C169" s="52"/>
      <c r="D169" s="53"/>
      <c r="E169" s="12">
        <v>9</v>
      </c>
      <c r="F169" s="12"/>
      <c r="G169" s="13"/>
      <c r="H169" s="14">
        <f t="shared" si="63"/>
        <v>0</v>
      </c>
      <c r="I169" s="15"/>
      <c r="J169" s="16">
        <f t="shared" si="64"/>
        <v>0</v>
      </c>
      <c r="K169" s="15"/>
      <c r="L169" s="16">
        <f t="shared" si="65"/>
        <v>0</v>
      </c>
      <c r="M169" s="15"/>
      <c r="N169" s="15"/>
      <c r="O169" s="16">
        <f t="shared" si="72"/>
        <v>0</v>
      </c>
      <c r="P169" s="15"/>
      <c r="Q169" s="16">
        <f t="shared" si="66"/>
        <v>0</v>
      </c>
      <c r="R169" s="15"/>
      <c r="S169" s="15"/>
      <c r="T169" s="15"/>
      <c r="U169" s="16">
        <f t="shared" si="67"/>
        <v>0</v>
      </c>
      <c r="V169" s="16"/>
      <c r="W169" s="16">
        <f t="shared" si="70"/>
        <v>0</v>
      </c>
      <c r="X169" s="15"/>
      <c r="Y169" s="16">
        <f t="shared" si="68"/>
        <v>0</v>
      </c>
      <c r="Z169" s="15"/>
      <c r="AA169" s="16">
        <f t="shared" si="69"/>
        <v>0</v>
      </c>
      <c r="AB169" s="16"/>
      <c r="AC169" s="16">
        <f t="shared" si="71"/>
        <v>0</v>
      </c>
      <c r="AD169" s="15"/>
      <c r="AE169" s="15"/>
      <c r="AF169" s="64">
        <f t="shared" si="73"/>
        <v>0</v>
      </c>
      <c r="AG169" s="17">
        <f t="shared" si="74"/>
        <v>0</v>
      </c>
      <c r="AH169" s="18"/>
    </row>
    <row r="170" spans="1:34" ht="21" x14ac:dyDescent="0.25">
      <c r="A170" s="54"/>
      <c r="B170" s="72"/>
      <c r="C170" s="52"/>
      <c r="D170" s="52"/>
      <c r="E170" s="12">
        <v>9</v>
      </c>
      <c r="F170" s="12"/>
      <c r="G170" s="13"/>
      <c r="H170" s="14">
        <f t="shared" si="63"/>
        <v>0</v>
      </c>
      <c r="I170" s="15"/>
      <c r="J170" s="16">
        <f t="shared" si="64"/>
        <v>0</v>
      </c>
      <c r="K170" s="15"/>
      <c r="L170" s="16">
        <f t="shared" si="65"/>
        <v>0</v>
      </c>
      <c r="M170" s="15"/>
      <c r="N170" s="15"/>
      <c r="O170" s="16">
        <f t="shared" si="72"/>
        <v>0</v>
      </c>
      <c r="P170" s="15"/>
      <c r="Q170" s="16">
        <f t="shared" si="66"/>
        <v>0</v>
      </c>
      <c r="R170" s="15"/>
      <c r="S170" s="15"/>
      <c r="T170" s="15"/>
      <c r="U170" s="16">
        <f t="shared" si="67"/>
        <v>0</v>
      </c>
      <c r="V170" s="16"/>
      <c r="W170" s="16">
        <f t="shared" si="70"/>
        <v>0</v>
      </c>
      <c r="X170" s="15"/>
      <c r="Y170" s="16">
        <f t="shared" si="68"/>
        <v>0</v>
      </c>
      <c r="Z170" s="15"/>
      <c r="AA170" s="16">
        <f t="shared" si="69"/>
        <v>0</v>
      </c>
      <c r="AB170" s="16"/>
      <c r="AC170" s="16">
        <f t="shared" si="71"/>
        <v>0</v>
      </c>
      <c r="AD170" s="15"/>
      <c r="AE170" s="15"/>
      <c r="AF170" s="64">
        <f t="shared" si="73"/>
        <v>0</v>
      </c>
      <c r="AG170" s="17">
        <f t="shared" si="74"/>
        <v>0</v>
      </c>
      <c r="AH170" s="18"/>
    </row>
    <row r="171" spans="1:34" ht="21" x14ac:dyDescent="0.3">
      <c r="A171" s="54"/>
      <c r="B171" s="72"/>
      <c r="C171" s="52"/>
      <c r="D171" s="53"/>
      <c r="E171" s="12">
        <v>9</v>
      </c>
      <c r="F171" s="12"/>
      <c r="G171" s="13"/>
      <c r="H171" s="14">
        <f t="shared" si="63"/>
        <v>0</v>
      </c>
      <c r="I171" s="15"/>
      <c r="J171" s="16">
        <f t="shared" si="64"/>
        <v>0</v>
      </c>
      <c r="K171" s="15"/>
      <c r="L171" s="16">
        <f t="shared" si="65"/>
        <v>0</v>
      </c>
      <c r="M171" s="15"/>
      <c r="N171" s="15"/>
      <c r="O171" s="16">
        <f t="shared" si="72"/>
        <v>0</v>
      </c>
      <c r="P171" s="15"/>
      <c r="Q171" s="16">
        <f t="shared" si="66"/>
        <v>0</v>
      </c>
      <c r="R171" s="15"/>
      <c r="S171" s="15"/>
      <c r="T171" s="15"/>
      <c r="U171" s="16">
        <f t="shared" si="67"/>
        <v>0</v>
      </c>
      <c r="V171" s="62"/>
      <c r="W171" s="16">
        <f t="shared" si="70"/>
        <v>0</v>
      </c>
      <c r="X171" s="15"/>
      <c r="Y171" s="16">
        <f t="shared" si="68"/>
        <v>0</v>
      </c>
      <c r="Z171" s="15"/>
      <c r="AA171" s="16">
        <f t="shared" si="69"/>
        <v>0</v>
      </c>
      <c r="AB171" s="16"/>
      <c r="AC171" s="16">
        <f t="shared" si="71"/>
        <v>0</v>
      </c>
      <c r="AD171" s="15"/>
      <c r="AE171" s="15"/>
      <c r="AF171" s="64">
        <f t="shared" si="73"/>
        <v>0</v>
      </c>
      <c r="AG171" s="17">
        <f t="shared" si="74"/>
        <v>0</v>
      </c>
      <c r="AH171" s="18"/>
    </row>
    <row r="172" spans="1:34" ht="21" x14ac:dyDescent="0.25">
      <c r="A172" s="54"/>
      <c r="B172" s="72"/>
      <c r="C172" s="52"/>
      <c r="D172" s="52"/>
      <c r="E172" s="12">
        <v>9</v>
      </c>
      <c r="F172" s="12"/>
      <c r="G172" s="13"/>
      <c r="H172" s="14">
        <f t="shared" si="63"/>
        <v>0</v>
      </c>
      <c r="I172" s="15"/>
      <c r="J172" s="16">
        <f t="shared" si="64"/>
        <v>0</v>
      </c>
      <c r="K172" s="15"/>
      <c r="L172" s="16">
        <f t="shared" si="65"/>
        <v>0</v>
      </c>
      <c r="M172" s="15"/>
      <c r="N172" s="15"/>
      <c r="O172" s="16">
        <f t="shared" si="72"/>
        <v>0</v>
      </c>
      <c r="P172" s="15"/>
      <c r="Q172" s="16">
        <f t="shared" si="66"/>
        <v>0</v>
      </c>
      <c r="R172" s="15"/>
      <c r="S172" s="15"/>
      <c r="T172" s="15"/>
      <c r="U172" s="16">
        <f t="shared" si="67"/>
        <v>0</v>
      </c>
      <c r="V172" s="16"/>
      <c r="W172" s="16">
        <f t="shared" si="70"/>
        <v>0</v>
      </c>
      <c r="X172" s="15"/>
      <c r="Y172" s="16">
        <f t="shared" si="68"/>
        <v>0</v>
      </c>
      <c r="Z172" s="15"/>
      <c r="AA172" s="16">
        <f t="shared" si="69"/>
        <v>0</v>
      </c>
      <c r="AB172" s="16"/>
      <c r="AC172" s="16">
        <f t="shared" si="71"/>
        <v>0</v>
      </c>
      <c r="AD172" s="15"/>
      <c r="AE172" s="15"/>
      <c r="AF172" s="64">
        <f t="shared" si="73"/>
        <v>0</v>
      </c>
      <c r="AG172" s="17">
        <f t="shared" si="74"/>
        <v>0</v>
      </c>
      <c r="AH172" s="18"/>
    </row>
    <row r="173" spans="1:34" ht="21" x14ac:dyDescent="0.3">
      <c r="A173" s="54"/>
      <c r="B173" s="54"/>
      <c r="C173" s="52"/>
      <c r="D173" s="53"/>
      <c r="E173" s="12">
        <v>9</v>
      </c>
      <c r="F173" s="12"/>
      <c r="G173" s="13"/>
      <c r="H173" s="14">
        <f t="shared" si="63"/>
        <v>0</v>
      </c>
      <c r="I173" s="15"/>
      <c r="J173" s="16">
        <f t="shared" si="64"/>
        <v>0</v>
      </c>
      <c r="K173" s="15"/>
      <c r="L173" s="16">
        <f t="shared" si="65"/>
        <v>0</v>
      </c>
      <c r="M173" s="15"/>
      <c r="N173" s="15"/>
      <c r="O173" s="16">
        <f t="shared" si="72"/>
        <v>0</v>
      </c>
      <c r="P173" s="15"/>
      <c r="Q173" s="16">
        <f t="shared" si="66"/>
        <v>0</v>
      </c>
      <c r="R173" s="15"/>
      <c r="S173" s="15"/>
      <c r="T173" s="15"/>
      <c r="U173" s="16">
        <f t="shared" si="67"/>
        <v>0</v>
      </c>
      <c r="V173" s="16"/>
      <c r="W173" s="16">
        <f t="shared" si="70"/>
        <v>0</v>
      </c>
      <c r="X173" s="15"/>
      <c r="Y173" s="16">
        <f t="shared" si="68"/>
        <v>0</v>
      </c>
      <c r="Z173" s="15"/>
      <c r="AA173" s="16">
        <f t="shared" si="69"/>
        <v>0</v>
      </c>
      <c r="AB173" s="16"/>
      <c r="AC173" s="16">
        <f t="shared" si="71"/>
        <v>0</v>
      </c>
      <c r="AD173" s="15"/>
      <c r="AE173" s="15"/>
      <c r="AF173" s="64">
        <f t="shared" si="73"/>
        <v>0</v>
      </c>
      <c r="AG173" s="17">
        <f t="shared" si="74"/>
        <v>0</v>
      </c>
      <c r="AH173" s="18"/>
    </row>
    <row r="174" spans="1:34" ht="21" x14ac:dyDescent="0.25">
      <c r="A174" s="54"/>
      <c r="B174" s="54"/>
      <c r="C174" s="52"/>
      <c r="D174" s="52"/>
      <c r="E174" s="12">
        <v>9</v>
      </c>
      <c r="F174" s="12"/>
      <c r="G174" s="13"/>
      <c r="H174" s="14">
        <f t="shared" si="63"/>
        <v>0</v>
      </c>
      <c r="I174" s="15"/>
      <c r="J174" s="16">
        <f t="shared" si="64"/>
        <v>0</v>
      </c>
      <c r="K174" s="15"/>
      <c r="L174" s="16">
        <f t="shared" si="65"/>
        <v>0</v>
      </c>
      <c r="M174" s="15"/>
      <c r="N174" s="15"/>
      <c r="O174" s="16">
        <f t="shared" si="72"/>
        <v>0</v>
      </c>
      <c r="P174" s="15"/>
      <c r="Q174" s="16">
        <f t="shared" si="66"/>
        <v>0</v>
      </c>
      <c r="R174" s="15"/>
      <c r="S174" s="15"/>
      <c r="T174" s="15"/>
      <c r="U174" s="16">
        <f t="shared" si="67"/>
        <v>0</v>
      </c>
      <c r="V174" s="16"/>
      <c r="W174" s="16">
        <f t="shared" si="70"/>
        <v>0</v>
      </c>
      <c r="X174" s="15"/>
      <c r="Y174" s="16">
        <f t="shared" si="68"/>
        <v>0</v>
      </c>
      <c r="Z174" s="15"/>
      <c r="AA174" s="16">
        <f t="shared" si="69"/>
        <v>0</v>
      </c>
      <c r="AB174" s="16"/>
      <c r="AC174" s="16">
        <f t="shared" si="71"/>
        <v>0</v>
      </c>
      <c r="AD174" s="15"/>
      <c r="AE174" s="15"/>
      <c r="AF174" s="64">
        <f t="shared" si="73"/>
        <v>0</v>
      </c>
      <c r="AG174" s="17">
        <f t="shared" si="74"/>
        <v>0</v>
      </c>
      <c r="AH174" s="18"/>
    </row>
    <row r="175" spans="1:34" ht="21" x14ac:dyDescent="0.25">
      <c r="A175" s="54"/>
      <c r="B175" s="54"/>
      <c r="C175" s="52"/>
      <c r="D175" s="52"/>
      <c r="E175" s="12">
        <v>9</v>
      </c>
      <c r="F175" s="12"/>
      <c r="G175" s="13"/>
      <c r="H175" s="14">
        <f t="shared" si="63"/>
        <v>0</v>
      </c>
      <c r="I175" s="15"/>
      <c r="J175" s="16">
        <f t="shared" si="64"/>
        <v>0</v>
      </c>
      <c r="K175" s="15"/>
      <c r="L175" s="16">
        <f t="shared" si="65"/>
        <v>0</v>
      </c>
      <c r="M175" s="15"/>
      <c r="N175" s="15"/>
      <c r="O175" s="16">
        <f t="shared" si="72"/>
        <v>0</v>
      </c>
      <c r="P175" s="15"/>
      <c r="Q175" s="16">
        <f t="shared" si="66"/>
        <v>0</v>
      </c>
      <c r="R175" s="15"/>
      <c r="S175" s="15"/>
      <c r="T175" s="15"/>
      <c r="U175" s="16">
        <f t="shared" si="67"/>
        <v>0</v>
      </c>
      <c r="V175" s="16"/>
      <c r="W175" s="16">
        <f t="shared" si="70"/>
        <v>0</v>
      </c>
      <c r="X175" s="15"/>
      <c r="Y175" s="16">
        <f t="shared" si="68"/>
        <v>0</v>
      </c>
      <c r="Z175" s="15"/>
      <c r="AA175" s="16">
        <f t="shared" si="69"/>
        <v>0</v>
      </c>
      <c r="AB175" s="16"/>
      <c r="AC175" s="16">
        <f t="shared" si="71"/>
        <v>0</v>
      </c>
      <c r="AD175" s="15"/>
      <c r="AE175" s="15"/>
      <c r="AF175" s="64">
        <f t="shared" si="73"/>
        <v>0</v>
      </c>
      <c r="AG175" s="17">
        <f t="shared" si="74"/>
        <v>0</v>
      </c>
      <c r="AH175" s="18"/>
    </row>
    <row r="176" spans="1:34" ht="21" x14ac:dyDescent="0.25">
      <c r="A176" s="54"/>
      <c r="B176" s="72"/>
      <c r="C176" s="52"/>
      <c r="D176" s="52"/>
      <c r="E176" s="12">
        <v>9</v>
      </c>
      <c r="F176" s="12"/>
      <c r="G176" s="13"/>
      <c r="H176" s="14">
        <f t="shared" si="63"/>
        <v>0</v>
      </c>
      <c r="I176" s="15"/>
      <c r="J176" s="16">
        <f t="shared" si="64"/>
        <v>0</v>
      </c>
      <c r="K176" s="15"/>
      <c r="L176" s="16">
        <f t="shared" si="65"/>
        <v>0</v>
      </c>
      <c r="M176" s="15"/>
      <c r="N176" s="15"/>
      <c r="O176" s="16">
        <f t="shared" si="72"/>
        <v>0</v>
      </c>
      <c r="P176" s="15"/>
      <c r="Q176" s="16">
        <f t="shared" si="66"/>
        <v>0</v>
      </c>
      <c r="R176" s="15"/>
      <c r="S176" s="15"/>
      <c r="T176" s="15"/>
      <c r="U176" s="16">
        <f t="shared" si="67"/>
        <v>0</v>
      </c>
      <c r="V176" s="16"/>
      <c r="W176" s="16">
        <f t="shared" si="70"/>
        <v>0</v>
      </c>
      <c r="X176" s="15"/>
      <c r="Y176" s="16">
        <f t="shared" si="68"/>
        <v>0</v>
      </c>
      <c r="Z176" s="15"/>
      <c r="AA176" s="16">
        <f t="shared" si="69"/>
        <v>0</v>
      </c>
      <c r="AB176" s="16"/>
      <c r="AC176" s="16">
        <f t="shared" si="71"/>
        <v>0</v>
      </c>
      <c r="AD176" s="15"/>
      <c r="AE176" s="15"/>
      <c r="AF176" s="64">
        <f t="shared" si="73"/>
        <v>0</v>
      </c>
      <c r="AG176" s="17">
        <f t="shared" si="74"/>
        <v>0</v>
      </c>
      <c r="AH176" s="18"/>
    </row>
    <row r="177" spans="1:34" ht="21" x14ac:dyDescent="0.25">
      <c r="A177" s="54"/>
      <c r="B177" s="72"/>
      <c r="C177" s="52"/>
      <c r="D177" s="52"/>
      <c r="E177" s="12">
        <v>9</v>
      </c>
      <c r="F177" s="12"/>
      <c r="G177" s="13"/>
      <c r="H177" s="14">
        <f t="shared" si="63"/>
        <v>0</v>
      </c>
      <c r="I177" s="15"/>
      <c r="J177" s="16">
        <f t="shared" si="64"/>
        <v>0</v>
      </c>
      <c r="K177" s="15"/>
      <c r="L177" s="16">
        <f t="shared" si="65"/>
        <v>0</v>
      </c>
      <c r="M177" s="15"/>
      <c r="N177" s="15"/>
      <c r="O177" s="16">
        <f t="shared" si="72"/>
        <v>0</v>
      </c>
      <c r="P177" s="15"/>
      <c r="Q177" s="16">
        <f t="shared" si="66"/>
        <v>0</v>
      </c>
      <c r="R177" s="15"/>
      <c r="S177" s="15"/>
      <c r="T177" s="15"/>
      <c r="U177" s="16">
        <f t="shared" si="67"/>
        <v>0</v>
      </c>
      <c r="V177" s="16"/>
      <c r="W177" s="16">
        <f t="shared" si="70"/>
        <v>0</v>
      </c>
      <c r="X177" s="15"/>
      <c r="Y177" s="16">
        <f t="shared" si="68"/>
        <v>0</v>
      </c>
      <c r="Z177" s="15"/>
      <c r="AA177" s="16">
        <f t="shared" si="69"/>
        <v>0</v>
      </c>
      <c r="AB177" s="16"/>
      <c r="AC177" s="16">
        <f t="shared" si="71"/>
        <v>0</v>
      </c>
      <c r="AD177" s="15"/>
      <c r="AE177" s="15"/>
      <c r="AF177" s="64">
        <f t="shared" si="73"/>
        <v>0</v>
      </c>
      <c r="AG177" s="17">
        <f t="shared" si="74"/>
        <v>0</v>
      </c>
      <c r="AH177" s="18"/>
    </row>
    <row r="178" spans="1:34" ht="21" x14ac:dyDescent="0.3">
      <c r="A178" s="55"/>
      <c r="B178" s="72"/>
      <c r="C178" s="52"/>
      <c r="D178" s="53"/>
      <c r="E178" s="12">
        <v>9</v>
      </c>
      <c r="F178" s="12"/>
      <c r="G178" s="13"/>
      <c r="H178" s="14">
        <f t="shared" si="63"/>
        <v>0</v>
      </c>
      <c r="I178" s="15"/>
      <c r="J178" s="16">
        <f t="shared" si="64"/>
        <v>0</v>
      </c>
      <c r="K178" s="15"/>
      <c r="L178" s="16">
        <f t="shared" si="65"/>
        <v>0</v>
      </c>
      <c r="M178" s="15"/>
      <c r="N178" s="15"/>
      <c r="O178" s="16">
        <f t="shared" si="72"/>
        <v>0</v>
      </c>
      <c r="P178" s="15"/>
      <c r="Q178" s="16">
        <f t="shared" si="66"/>
        <v>0</v>
      </c>
      <c r="R178" s="15"/>
      <c r="S178" s="15"/>
      <c r="T178" s="15"/>
      <c r="U178" s="16">
        <f t="shared" si="67"/>
        <v>0</v>
      </c>
      <c r="V178" s="16"/>
      <c r="W178" s="16">
        <f t="shared" si="70"/>
        <v>0</v>
      </c>
      <c r="X178" s="15"/>
      <c r="Y178" s="16">
        <f t="shared" si="68"/>
        <v>0</v>
      </c>
      <c r="Z178" s="15"/>
      <c r="AA178" s="16">
        <f t="shared" si="69"/>
        <v>0</v>
      </c>
      <c r="AB178" s="16"/>
      <c r="AC178" s="16">
        <f t="shared" si="71"/>
        <v>0</v>
      </c>
      <c r="AD178" s="15"/>
      <c r="AE178" s="15"/>
      <c r="AF178" s="64">
        <f t="shared" si="73"/>
        <v>0</v>
      </c>
      <c r="AG178" s="17">
        <f t="shared" si="74"/>
        <v>0</v>
      </c>
      <c r="AH178" s="18"/>
    </row>
    <row r="179" spans="1:34" ht="21" x14ac:dyDescent="0.3">
      <c r="A179" s="54"/>
      <c r="B179" s="72"/>
      <c r="C179" s="52"/>
      <c r="D179" s="53"/>
      <c r="E179" s="12">
        <v>9</v>
      </c>
      <c r="F179" s="12"/>
      <c r="G179" s="13"/>
      <c r="H179" s="14">
        <f t="shared" si="63"/>
        <v>0</v>
      </c>
      <c r="I179" s="15"/>
      <c r="J179" s="16">
        <f t="shared" si="64"/>
        <v>0</v>
      </c>
      <c r="K179" s="15"/>
      <c r="L179" s="16">
        <f t="shared" si="65"/>
        <v>0</v>
      </c>
      <c r="M179" s="15"/>
      <c r="N179" s="15"/>
      <c r="O179" s="16">
        <f t="shared" si="72"/>
        <v>0</v>
      </c>
      <c r="P179" s="15"/>
      <c r="Q179" s="16">
        <f t="shared" si="66"/>
        <v>0</v>
      </c>
      <c r="R179" s="15"/>
      <c r="S179" s="15"/>
      <c r="T179" s="15"/>
      <c r="U179" s="16">
        <f t="shared" si="67"/>
        <v>0</v>
      </c>
      <c r="V179" s="16"/>
      <c r="W179" s="16">
        <f t="shared" si="70"/>
        <v>0</v>
      </c>
      <c r="X179" s="15"/>
      <c r="Y179" s="16">
        <f t="shared" si="68"/>
        <v>0</v>
      </c>
      <c r="Z179" s="15"/>
      <c r="AA179" s="16">
        <f t="shared" si="69"/>
        <v>0</v>
      </c>
      <c r="AB179" s="16"/>
      <c r="AC179" s="16">
        <f t="shared" si="71"/>
        <v>0</v>
      </c>
      <c r="AD179" s="15"/>
      <c r="AE179" s="15"/>
      <c r="AF179" s="64">
        <f t="shared" si="73"/>
        <v>0</v>
      </c>
      <c r="AG179" s="17">
        <f t="shared" si="74"/>
        <v>0</v>
      </c>
      <c r="AH179" s="18"/>
    </row>
    <row r="180" spans="1:34" ht="21" x14ac:dyDescent="0.3">
      <c r="A180" s="54"/>
      <c r="B180" s="54"/>
      <c r="C180" s="52"/>
      <c r="D180" s="53"/>
      <c r="E180" s="12">
        <v>9</v>
      </c>
      <c r="F180" s="12"/>
      <c r="G180" s="13"/>
      <c r="H180" s="14">
        <f t="shared" si="63"/>
        <v>0</v>
      </c>
      <c r="I180" s="15"/>
      <c r="J180" s="16">
        <f t="shared" si="64"/>
        <v>0</v>
      </c>
      <c r="K180" s="15"/>
      <c r="L180" s="16">
        <f t="shared" si="65"/>
        <v>0</v>
      </c>
      <c r="M180" s="15"/>
      <c r="N180" s="15"/>
      <c r="O180" s="16">
        <f t="shared" si="72"/>
        <v>0</v>
      </c>
      <c r="P180" s="15"/>
      <c r="Q180" s="16">
        <f t="shared" si="66"/>
        <v>0</v>
      </c>
      <c r="R180" s="15"/>
      <c r="S180" s="15"/>
      <c r="T180" s="15"/>
      <c r="U180" s="16">
        <f t="shared" si="67"/>
        <v>0</v>
      </c>
      <c r="V180" s="16"/>
      <c r="W180" s="16">
        <f t="shared" si="70"/>
        <v>0</v>
      </c>
      <c r="X180" s="15"/>
      <c r="Y180" s="16">
        <f t="shared" si="68"/>
        <v>0</v>
      </c>
      <c r="Z180" s="15"/>
      <c r="AA180" s="16">
        <f t="shared" si="69"/>
        <v>0</v>
      </c>
      <c r="AB180" s="16"/>
      <c r="AC180" s="16">
        <f t="shared" si="71"/>
        <v>0</v>
      </c>
      <c r="AD180" s="15"/>
      <c r="AE180" s="15"/>
      <c r="AF180" s="64">
        <f t="shared" si="73"/>
        <v>0</v>
      </c>
      <c r="AG180" s="17">
        <f t="shared" si="74"/>
        <v>0</v>
      </c>
      <c r="AH180" s="18"/>
    </row>
    <row r="181" spans="1:34" ht="21" x14ac:dyDescent="0.25">
      <c r="A181" s="54"/>
      <c r="B181" s="54"/>
      <c r="C181" s="52"/>
      <c r="D181" s="52"/>
      <c r="E181" s="12">
        <v>9</v>
      </c>
      <c r="F181" s="12"/>
      <c r="G181" s="13"/>
      <c r="H181" s="14">
        <f t="shared" si="63"/>
        <v>0</v>
      </c>
      <c r="I181" s="15"/>
      <c r="J181" s="16">
        <f t="shared" si="64"/>
        <v>0</v>
      </c>
      <c r="K181" s="15"/>
      <c r="L181" s="16">
        <f t="shared" si="65"/>
        <v>0</v>
      </c>
      <c r="M181" s="15"/>
      <c r="N181" s="15"/>
      <c r="O181" s="16">
        <f t="shared" si="72"/>
        <v>0</v>
      </c>
      <c r="P181" s="15"/>
      <c r="Q181" s="16">
        <f t="shared" si="66"/>
        <v>0</v>
      </c>
      <c r="R181" s="15"/>
      <c r="S181" s="15"/>
      <c r="T181" s="15"/>
      <c r="U181" s="16">
        <f t="shared" si="67"/>
        <v>0</v>
      </c>
      <c r="V181" s="16"/>
      <c r="W181" s="16">
        <f t="shared" si="70"/>
        <v>0</v>
      </c>
      <c r="X181" s="15"/>
      <c r="Y181" s="16">
        <f t="shared" si="68"/>
        <v>0</v>
      </c>
      <c r="Z181" s="15"/>
      <c r="AA181" s="16">
        <f t="shared" si="69"/>
        <v>0</v>
      </c>
      <c r="AB181" s="16"/>
      <c r="AC181" s="16">
        <f t="shared" si="71"/>
        <v>0</v>
      </c>
      <c r="AD181" s="15"/>
      <c r="AE181" s="15"/>
      <c r="AF181" s="64">
        <f t="shared" si="73"/>
        <v>0</v>
      </c>
      <c r="AG181" s="17">
        <f t="shared" si="74"/>
        <v>0</v>
      </c>
      <c r="AH181" s="18"/>
    </row>
    <row r="182" spans="1:34" ht="21" x14ac:dyDescent="0.3">
      <c r="A182" s="56"/>
      <c r="B182" s="56"/>
      <c r="C182" s="52"/>
      <c r="D182" s="53"/>
      <c r="E182" s="12">
        <v>9</v>
      </c>
      <c r="F182" s="12"/>
      <c r="G182" s="13"/>
      <c r="H182" s="14">
        <f t="shared" si="63"/>
        <v>0</v>
      </c>
      <c r="I182" s="15"/>
      <c r="J182" s="16">
        <f t="shared" si="64"/>
        <v>0</v>
      </c>
      <c r="K182" s="15"/>
      <c r="L182" s="16">
        <f t="shared" si="65"/>
        <v>0</v>
      </c>
      <c r="M182" s="15"/>
      <c r="N182" s="15"/>
      <c r="O182" s="16">
        <f t="shared" si="72"/>
        <v>0</v>
      </c>
      <c r="P182" s="15"/>
      <c r="Q182" s="16">
        <f t="shared" si="66"/>
        <v>0</v>
      </c>
      <c r="R182" s="15"/>
      <c r="S182" s="15"/>
      <c r="T182" s="15"/>
      <c r="U182" s="16">
        <f t="shared" si="67"/>
        <v>0</v>
      </c>
      <c r="V182" s="62"/>
      <c r="W182" s="16">
        <f t="shared" si="70"/>
        <v>0</v>
      </c>
      <c r="X182" s="15"/>
      <c r="Y182" s="16">
        <f t="shared" si="68"/>
        <v>0</v>
      </c>
      <c r="Z182" s="15"/>
      <c r="AA182" s="16">
        <f t="shared" si="69"/>
        <v>0</v>
      </c>
      <c r="AB182" s="16"/>
      <c r="AC182" s="16">
        <f t="shared" si="71"/>
        <v>0</v>
      </c>
      <c r="AD182" s="15"/>
      <c r="AE182" s="15"/>
      <c r="AF182" s="64">
        <f t="shared" si="73"/>
        <v>0</v>
      </c>
      <c r="AG182" s="17">
        <f t="shared" si="74"/>
        <v>0</v>
      </c>
      <c r="AH182" s="18"/>
    </row>
    <row r="183" spans="1:34" ht="21" x14ac:dyDescent="0.35">
      <c r="A183" s="58"/>
      <c r="B183" s="58"/>
      <c r="C183" s="52"/>
      <c r="D183" s="53"/>
      <c r="E183" s="12">
        <v>9</v>
      </c>
      <c r="F183" s="12"/>
      <c r="G183" s="13"/>
      <c r="H183" s="14">
        <f t="shared" si="63"/>
        <v>0</v>
      </c>
      <c r="I183" s="15"/>
      <c r="J183" s="16">
        <f t="shared" si="64"/>
        <v>0</v>
      </c>
      <c r="K183" s="15"/>
      <c r="L183" s="16">
        <f t="shared" si="65"/>
        <v>0</v>
      </c>
      <c r="M183" s="15"/>
      <c r="N183" s="15"/>
      <c r="O183" s="16">
        <f t="shared" si="72"/>
        <v>0</v>
      </c>
      <c r="P183" s="15"/>
      <c r="Q183" s="16">
        <f t="shared" si="66"/>
        <v>0</v>
      </c>
      <c r="R183" s="15"/>
      <c r="S183" s="15"/>
      <c r="T183" s="15"/>
      <c r="U183" s="16">
        <f t="shared" si="67"/>
        <v>0</v>
      </c>
      <c r="V183" s="16"/>
      <c r="W183" s="16">
        <f t="shared" si="70"/>
        <v>0</v>
      </c>
      <c r="X183" s="15"/>
      <c r="Y183" s="16">
        <f t="shared" si="68"/>
        <v>0</v>
      </c>
      <c r="Z183" s="15"/>
      <c r="AA183" s="16">
        <f t="shared" si="69"/>
        <v>0</v>
      </c>
      <c r="AB183" s="16"/>
      <c r="AC183" s="16">
        <f t="shared" si="71"/>
        <v>0</v>
      </c>
      <c r="AD183" s="15"/>
      <c r="AE183" s="15"/>
      <c r="AF183" s="64">
        <f t="shared" si="73"/>
        <v>0</v>
      </c>
      <c r="AG183" s="17">
        <f t="shared" si="74"/>
        <v>0</v>
      </c>
      <c r="AH183" s="18"/>
    </row>
    <row r="184" spans="1:34" ht="21" x14ac:dyDescent="0.35">
      <c r="A184" s="57"/>
      <c r="B184" s="58"/>
      <c r="C184" s="52"/>
      <c r="D184" s="53"/>
      <c r="E184" s="12">
        <v>9</v>
      </c>
      <c r="F184" s="12"/>
      <c r="G184" s="13"/>
      <c r="H184" s="14">
        <f t="shared" si="63"/>
        <v>0</v>
      </c>
      <c r="I184" s="15"/>
      <c r="J184" s="16">
        <f t="shared" si="64"/>
        <v>0</v>
      </c>
      <c r="K184" s="15"/>
      <c r="L184" s="16">
        <f t="shared" si="65"/>
        <v>0</v>
      </c>
      <c r="M184" s="15"/>
      <c r="N184" s="15"/>
      <c r="O184" s="16">
        <f t="shared" si="72"/>
        <v>0</v>
      </c>
      <c r="P184" s="15"/>
      <c r="Q184" s="16">
        <f t="shared" si="66"/>
        <v>0</v>
      </c>
      <c r="R184" s="15"/>
      <c r="S184" s="15"/>
      <c r="T184" s="15"/>
      <c r="U184" s="16">
        <f t="shared" si="67"/>
        <v>0</v>
      </c>
      <c r="V184" s="16"/>
      <c r="W184" s="16">
        <f t="shared" si="70"/>
        <v>0</v>
      </c>
      <c r="X184" s="15"/>
      <c r="Y184" s="16">
        <f t="shared" si="68"/>
        <v>0</v>
      </c>
      <c r="Z184" s="15"/>
      <c r="AA184" s="16">
        <f t="shared" si="69"/>
        <v>0</v>
      </c>
      <c r="AB184" s="16"/>
      <c r="AC184" s="16">
        <f t="shared" si="71"/>
        <v>0</v>
      </c>
      <c r="AD184" s="15"/>
      <c r="AE184" s="15"/>
      <c r="AF184" s="64">
        <f t="shared" si="73"/>
        <v>0</v>
      </c>
      <c r="AG184" s="17">
        <f t="shared" si="74"/>
        <v>0</v>
      </c>
      <c r="AH184" s="18"/>
    </row>
    <row r="185" spans="1:34" ht="21" x14ac:dyDescent="0.35">
      <c r="A185" s="57"/>
      <c r="B185" s="58"/>
      <c r="C185" s="52"/>
      <c r="D185" s="53"/>
      <c r="E185" s="12">
        <v>9</v>
      </c>
      <c r="F185" s="12"/>
      <c r="G185" s="13"/>
      <c r="H185" s="14">
        <f t="shared" si="63"/>
        <v>0</v>
      </c>
      <c r="I185" s="15"/>
      <c r="J185" s="16">
        <f t="shared" si="64"/>
        <v>0</v>
      </c>
      <c r="K185" s="15"/>
      <c r="L185" s="16">
        <f t="shared" si="65"/>
        <v>0</v>
      </c>
      <c r="M185" s="15"/>
      <c r="N185" s="15"/>
      <c r="O185" s="16">
        <f t="shared" si="72"/>
        <v>0</v>
      </c>
      <c r="P185" s="15"/>
      <c r="Q185" s="16">
        <f t="shared" si="66"/>
        <v>0</v>
      </c>
      <c r="R185" s="15"/>
      <c r="S185" s="15"/>
      <c r="T185" s="15"/>
      <c r="U185" s="16">
        <f t="shared" si="67"/>
        <v>0</v>
      </c>
      <c r="V185" s="16"/>
      <c r="W185" s="16">
        <f t="shared" si="70"/>
        <v>0</v>
      </c>
      <c r="X185" s="15"/>
      <c r="Y185" s="16">
        <f t="shared" si="68"/>
        <v>0</v>
      </c>
      <c r="Z185" s="15"/>
      <c r="AA185" s="16">
        <f t="shared" si="69"/>
        <v>0</v>
      </c>
      <c r="AB185" s="16"/>
      <c r="AC185" s="16">
        <f t="shared" si="71"/>
        <v>0</v>
      </c>
      <c r="AD185" s="15"/>
      <c r="AE185" s="15"/>
      <c r="AF185" s="64">
        <f t="shared" si="73"/>
        <v>0</v>
      </c>
      <c r="AG185" s="17">
        <f t="shared" si="74"/>
        <v>0</v>
      </c>
      <c r="AH185" s="18"/>
    </row>
    <row r="186" spans="1:34" ht="21" x14ac:dyDescent="0.35">
      <c r="A186" s="57"/>
      <c r="B186" s="58"/>
      <c r="C186" s="52"/>
      <c r="D186" s="53"/>
      <c r="E186" s="12">
        <v>9</v>
      </c>
      <c r="F186" s="12"/>
      <c r="G186" s="13"/>
      <c r="H186" s="14">
        <f t="shared" si="63"/>
        <v>0</v>
      </c>
      <c r="I186" s="15"/>
      <c r="J186" s="16">
        <f t="shared" si="64"/>
        <v>0</v>
      </c>
      <c r="K186" s="15"/>
      <c r="L186" s="16">
        <f t="shared" si="65"/>
        <v>0</v>
      </c>
      <c r="M186" s="15"/>
      <c r="N186" s="15"/>
      <c r="O186" s="16">
        <f t="shared" si="72"/>
        <v>0</v>
      </c>
      <c r="P186" s="15"/>
      <c r="Q186" s="16">
        <f t="shared" si="66"/>
        <v>0</v>
      </c>
      <c r="R186" s="15"/>
      <c r="S186" s="15"/>
      <c r="T186" s="15"/>
      <c r="U186" s="16">
        <f t="shared" si="67"/>
        <v>0</v>
      </c>
      <c r="V186" s="16"/>
      <c r="W186" s="16">
        <f t="shared" si="70"/>
        <v>0</v>
      </c>
      <c r="X186" s="15"/>
      <c r="Y186" s="16">
        <f t="shared" si="68"/>
        <v>0</v>
      </c>
      <c r="Z186" s="15"/>
      <c r="AA186" s="16">
        <f t="shared" si="69"/>
        <v>0</v>
      </c>
      <c r="AB186" s="16"/>
      <c r="AC186" s="16">
        <f t="shared" si="71"/>
        <v>0</v>
      </c>
      <c r="AD186" s="15"/>
      <c r="AE186" s="15"/>
      <c r="AF186" s="64">
        <f t="shared" si="73"/>
        <v>0</v>
      </c>
      <c r="AG186" s="17">
        <f t="shared" si="74"/>
        <v>0</v>
      </c>
      <c r="AH186" s="18"/>
    </row>
    <row r="187" spans="1:34" ht="21" x14ac:dyDescent="0.35">
      <c r="A187" s="57"/>
      <c r="B187" s="58"/>
      <c r="C187" s="52"/>
      <c r="D187" s="53"/>
      <c r="E187" s="12">
        <v>9</v>
      </c>
      <c r="F187" s="12"/>
      <c r="G187" s="13"/>
      <c r="H187" s="14">
        <f t="shared" si="63"/>
        <v>0</v>
      </c>
      <c r="I187" s="15"/>
      <c r="J187" s="16">
        <f t="shared" si="64"/>
        <v>0</v>
      </c>
      <c r="K187" s="15"/>
      <c r="L187" s="16">
        <f t="shared" si="65"/>
        <v>0</v>
      </c>
      <c r="M187" s="15"/>
      <c r="N187" s="15"/>
      <c r="O187" s="16">
        <f t="shared" si="72"/>
        <v>0</v>
      </c>
      <c r="P187" s="15"/>
      <c r="Q187" s="16">
        <f t="shared" si="66"/>
        <v>0</v>
      </c>
      <c r="R187" s="15"/>
      <c r="S187" s="15"/>
      <c r="T187" s="15"/>
      <c r="U187" s="16">
        <f t="shared" si="67"/>
        <v>0</v>
      </c>
      <c r="V187" s="16"/>
      <c r="W187" s="16">
        <f t="shared" si="70"/>
        <v>0</v>
      </c>
      <c r="X187" s="15"/>
      <c r="Y187" s="16">
        <f t="shared" si="68"/>
        <v>0</v>
      </c>
      <c r="Z187" s="15"/>
      <c r="AA187" s="16">
        <f t="shared" si="69"/>
        <v>0</v>
      </c>
      <c r="AB187" s="16"/>
      <c r="AC187" s="16">
        <f t="shared" si="71"/>
        <v>0</v>
      </c>
      <c r="AD187" s="15"/>
      <c r="AE187" s="15"/>
      <c r="AF187" s="64">
        <f t="shared" si="73"/>
        <v>0</v>
      </c>
      <c r="AG187" s="17">
        <f t="shared" si="74"/>
        <v>0</v>
      </c>
      <c r="AH187" s="18"/>
    </row>
    <row r="188" spans="1:34" ht="21" x14ac:dyDescent="0.35">
      <c r="A188" s="57"/>
      <c r="B188" s="58"/>
      <c r="C188" s="52"/>
      <c r="D188" s="53"/>
      <c r="E188" s="12">
        <v>9</v>
      </c>
      <c r="F188" s="12"/>
      <c r="G188" s="13"/>
      <c r="H188" s="14">
        <f t="shared" si="63"/>
        <v>0</v>
      </c>
      <c r="I188" s="15"/>
      <c r="J188" s="16">
        <f t="shared" si="64"/>
        <v>0</v>
      </c>
      <c r="K188" s="15"/>
      <c r="L188" s="16">
        <f t="shared" si="65"/>
        <v>0</v>
      </c>
      <c r="M188" s="15"/>
      <c r="N188" s="15"/>
      <c r="O188" s="16">
        <f t="shared" si="72"/>
        <v>0</v>
      </c>
      <c r="P188" s="15"/>
      <c r="Q188" s="16">
        <f t="shared" si="66"/>
        <v>0</v>
      </c>
      <c r="R188" s="15"/>
      <c r="S188" s="15"/>
      <c r="T188" s="15"/>
      <c r="U188" s="16">
        <f t="shared" si="67"/>
        <v>0</v>
      </c>
      <c r="V188" s="16"/>
      <c r="W188" s="16">
        <f t="shared" si="70"/>
        <v>0</v>
      </c>
      <c r="X188" s="15"/>
      <c r="Y188" s="16">
        <f t="shared" si="68"/>
        <v>0</v>
      </c>
      <c r="Z188" s="15"/>
      <c r="AA188" s="16">
        <f t="shared" si="69"/>
        <v>0</v>
      </c>
      <c r="AB188" s="16"/>
      <c r="AC188" s="16">
        <f t="shared" si="71"/>
        <v>0</v>
      </c>
      <c r="AD188" s="15"/>
      <c r="AE188" s="15"/>
      <c r="AF188" s="64">
        <f t="shared" si="73"/>
        <v>0</v>
      </c>
      <c r="AG188" s="17">
        <f t="shared" si="74"/>
        <v>0</v>
      </c>
      <c r="AH188" s="18"/>
    </row>
    <row r="189" spans="1:34" ht="21" x14ac:dyDescent="0.35">
      <c r="A189" s="57"/>
      <c r="B189" s="58"/>
      <c r="C189" s="52"/>
      <c r="D189" s="53"/>
      <c r="E189" s="12">
        <v>9</v>
      </c>
      <c r="F189" s="12"/>
      <c r="G189" s="13"/>
      <c r="H189" s="14">
        <f t="shared" si="63"/>
        <v>0</v>
      </c>
      <c r="I189" s="15"/>
      <c r="J189" s="16">
        <f t="shared" si="64"/>
        <v>0</v>
      </c>
      <c r="K189" s="15"/>
      <c r="L189" s="16">
        <f t="shared" si="65"/>
        <v>0</v>
      </c>
      <c r="M189" s="15"/>
      <c r="N189" s="15"/>
      <c r="O189" s="16">
        <f t="shared" si="72"/>
        <v>0</v>
      </c>
      <c r="P189" s="15"/>
      <c r="Q189" s="16">
        <f t="shared" si="66"/>
        <v>0</v>
      </c>
      <c r="R189" s="15"/>
      <c r="S189" s="15"/>
      <c r="T189" s="15"/>
      <c r="U189" s="16">
        <f t="shared" si="67"/>
        <v>0</v>
      </c>
      <c r="V189" s="16"/>
      <c r="W189" s="16">
        <f t="shared" si="70"/>
        <v>0</v>
      </c>
      <c r="X189" s="15"/>
      <c r="Y189" s="16">
        <f t="shared" si="68"/>
        <v>0</v>
      </c>
      <c r="Z189" s="15"/>
      <c r="AA189" s="16">
        <f t="shared" si="69"/>
        <v>0</v>
      </c>
      <c r="AB189" s="16"/>
      <c r="AC189" s="16">
        <f t="shared" si="71"/>
        <v>0</v>
      </c>
      <c r="AD189" s="15"/>
      <c r="AE189" s="15"/>
      <c r="AF189" s="64">
        <f t="shared" si="73"/>
        <v>0</v>
      </c>
      <c r="AG189" s="17">
        <f t="shared" si="74"/>
        <v>0</v>
      </c>
      <c r="AH189" s="18"/>
    </row>
    <row r="190" spans="1:34" ht="21" x14ac:dyDescent="0.35">
      <c r="A190" s="57"/>
      <c r="B190" s="58"/>
      <c r="C190" s="52"/>
      <c r="D190" s="53"/>
      <c r="E190" s="12">
        <v>9</v>
      </c>
      <c r="F190" s="12"/>
      <c r="G190" s="13"/>
      <c r="H190" s="14">
        <f t="shared" ref="H190:H200" si="75">+F190/30*G190</f>
        <v>0</v>
      </c>
      <c r="I190" s="15"/>
      <c r="J190" s="16">
        <f t="shared" ref="J190:J200" si="76">+I190*F190/30/E190</f>
        <v>0</v>
      </c>
      <c r="K190" s="15"/>
      <c r="L190" s="16">
        <f t="shared" ref="L190:L200" si="77">+K190*F190/30</f>
        <v>0</v>
      </c>
      <c r="M190" s="15"/>
      <c r="N190" s="15"/>
      <c r="O190" s="16">
        <f t="shared" si="72"/>
        <v>0</v>
      </c>
      <c r="P190" s="15"/>
      <c r="Q190" s="16">
        <f t="shared" ref="Q190:Q200" si="78">+F190/30/E190*P190</f>
        <v>0</v>
      </c>
      <c r="R190" s="15"/>
      <c r="S190" s="15"/>
      <c r="T190" s="15"/>
      <c r="U190" s="16">
        <f t="shared" ref="U190:U200" si="79">+F190/30*T190</f>
        <v>0</v>
      </c>
      <c r="V190" s="16"/>
      <c r="W190" s="16">
        <f t="shared" si="70"/>
        <v>0</v>
      </c>
      <c r="X190" s="15"/>
      <c r="Y190" s="16">
        <f t="shared" ref="Y190:Y200" si="80">+F190/30*X190*1</f>
        <v>0</v>
      </c>
      <c r="Z190" s="15"/>
      <c r="AA190" s="16">
        <f t="shared" ref="AA190:AA200" si="81">+(F190/30*Z190)*0.25</f>
        <v>0</v>
      </c>
      <c r="AB190" s="16"/>
      <c r="AC190" s="16">
        <f t="shared" si="71"/>
        <v>0</v>
      </c>
      <c r="AD190" s="15"/>
      <c r="AE190" s="15"/>
      <c r="AF190" s="64">
        <f t="shared" si="73"/>
        <v>0</v>
      </c>
      <c r="AG190" s="17">
        <f t="shared" si="74"/>
        <v>0</v>
      </c>
      <c r="AH190" s="18"/>
    </row>
    <row r="191" spans="1:34" ht="21" x14ac:dyDescent="0.35">
      <c r="A191" s="57"/>
      <c r="B191" s="58"/>
      <c r="C191" s="52"/>
      <c r="D191" s="53"/>
      <c r="E191" s="12">
        <v>9</v>
      </c>
      <c r="F191" s="12"/>
      <c r="G191" s="13"/>
      <c r="H191" s="14">
        <f t="shared" si="75"/>
        <v>0</v>
      </c>
      <c r="I191" s="15"/>
      <c r="J191" s="16">
        <f t="shared" si="76"/>
        <v>0</v>
      </c>
      <c r="K191" s="15"/>
      <c r="L191" s="16">
        <f t="shared" si="77"/>
        <v>0</v>
      </c>
      <c r="M191" s="15"/>
      <c r="N191" s="15"/>
      <c r="O191" s="16">
        <f t="shared" si="72"/>
        <v>0</v>
      </c>
      <c r="P191" s="15"/>
      <c r="Q191" s="16">
        <f t="shared" si="78"/>
        <v>0</v>
      </c>
      <c r="R191" s="15"/>
      <c r="S191" s="15"/>
      <c r="T191" s="15"/>
      <c r="U191" s="16">
        <f t="shared" si="79"/>
        <v>0</v>
      </c>
      <c r="V191" s="16"/>
      <c r="W191" s="16">
        <f t="shared" ref="W191:W200" si="82">+H191/30*V191</f>
        <v>0</v>
      </c>
      <c r="X191" s="15"/>
      <c r="Y191" s="16">
        <f t="shared" si="80"/>
        <v>0</v>
      </c>
      <c r="Z191" s="15"/>
      <c r="AA191" s="16">
        <f t="shared" si="81"/>
        <v>0</v>
      </c>
      <c r="AB191" s="16"/>
      <c r="AC191" s="16">
        <f t="shared" ref="AC191:AC200" si="83">AB191*11%</f>
        <v>0</v>
      </c>
      <c r="AD191" s="15"/>
      <c r="AE191" s="15"/>
      <c r="AF191" s="64">
        <f t="shared" si="73"/>
        <v>0</v>
      </c>
      <c r="AG191" s="17">
        <f t="shared" si="74"/>
        <v>0</v>
      </c>
      <c r="AH191" s="18"/>
    </row>
    <row r="192" spans="1:34" ht="21" x14ac:dyDescent="0.35">
      <c r="A192" s="57"/>
      <c r="B192" s="58"/>
      <c r="C192" s="52"/>
      <c r="D192" s="53"/>
      <c r="E192" s="12">
        <v>9</v>
      </c>
      <c r="F192" s="12"/>
      <c r="G192" s="13"/>
      <c r="H192" s="14">
        <f t="shared" si="75"/>
        <v>0</v>
      </c>
      <c r="I192" s="15"/>
      <c r="J192" s="16">
        <f t="shared" si="76"/>
        <v>0</v>
      </c>
      <c r="K192" s="15"/>
      <c r="L192" s="16">
        <f t="shared" si="77"/>
        <v>0</v>
      </c>
      <c r="M192" s="15"/>
      <c r="N192" s="15"/>
      <c r="O192" s="16">
        <f t="shared" ref="O192:O200" si="84">+N192+M192+L192+J192+H192</f>
        <v>0</v>
      </c>
      <c r="P192" s="15"/>
      <c r="Q192" s="16">
        <f t="shared" si="78"/>
        <v>0</v>
      </c>
      <c r="R192" s="15"/>
      <c r="S192" s="15"/>
      <c r="T192" s="15"/>
      <c r="U192" s="16">
        <f t="shared" si="79"/>
        <v>0</v>
      </c>
      <c r="V192" s="16"/>
      <c r="W192" s="16">
        <f t="shared" si="82"/>
        <v>0</v>
      </c>
      <c r="X192" s="15"/>
      <c r="Y192" s="16">
        <f t="shared" si="80"/>
        <v>0</v>
      </c>
      <c r="Z192" s="15"/>
      <c r="AA192" s="16">
        <f t="shared" si="81"/>
        <v>0</v>
      </c>
      <c r="AB192" s="16"/>
      <c r="AC192" s="16">
        <f t="shared" si="83"/>
        <v>0</v>
      </c>
      <c r="AD192" s="15"/>
      <c r="AE192" s="15"/>
      <c r="AF192" s="64">
        <f t="shared" si="73"/>
        <v>0</v>
      </c>
      <c r="AG192" s="17">
        <f t="shared" si="74"/>
        <v>0</v>
      </c>
      <c r="AH192" s="18"/>
    </row>
    <row r="193" spans="1:34" ht="21" x14ac:dyDescent="0.35">
      <c r="A193" s="57"/>
      <c r="B193" s="58"/>
      <c r="C193" s="52"/>
      <c r="D193" s="53"/>
      <c r="E193" s="12">
        <v>9</v>
      </c>
      <c r="F193" s="12"/>
      <c r="G193" s="13"/>
      <c r="H193" s="14">
        <f t="shared" si="75"/>
        <v>0</v>
      </c>
      <c r="I193" s="15"/>
      <c r="J193" s="16">
        <f t="shared" si="76"/>
        <v>0</v>
      </c>
      <c r="K193" s="15"/>
      <c r="L193" s="16">
        <f t="shared" si="77"/>
        <v>0</v>
      </c>
      <c r="M193" s="15"/>
      <c r="N193" s="15"/>
      <c r="O193" s="16">
        <f t="shared" si="84"/>
        <v>0</v>
      </c>
      <c r="P193" s="15"/>
      <c r="Q193" s="16">
        <f t="shared" si="78"/>
        <v>0</v>
      </c>
      <c r="R193" s="15"/>
      <c r="S193" s="15"/>
      <c r="T193" s="15"/>
      <c r="U193" s="16">
        <f t="shared" si="79"/>
        <v>0</v>
      </c>
      <c r="V193" s="16"/>
      <c r="W193" s="16">
        <f t="shared" si="82"/>
        <v>0</v>
      </c>
      <c r="X193" s="15"/>
      <c r="Y193" s="16">
        <f t="shared" si="80"/>
        <v>0</v>
      </c>
      <c r="Z193" s="15"/>
      <c r="AA193" s="16">
        <f t="shared" si="81"/>
        <v>0</v>
      </c>
      <c r="AB193" s="16"/>
      <c r="AC193" s="16">
        <f t="shared" si="83"/>
        <v>0</v>
      </c>
      <c r="AD193" s="15"/>
      <c r="AE193" s="15"/>
      <c r="AF193" s="64">
        <f t="shared" ref="AF193:AF200" si="85">+AE193+AD193+Y193+U193+R193+Q193+AA193+S193+W193+AC193</f>
        <v>0</v>
      </c>
      <c r="AG193" s="17">
        <f t="shared" ref="AG193:AG200" si="86">+O193-AF193</f>
        <v>0</v>
      </c>
      <c r="AH193" s="18"/>
    </row>
    <row r="194" spans="1:34" ht="21" x14ac:dyDescent="0.35">
      <c r="A194" s="57"/>
      <c r="B194" s="58"/>
      <c r="C194" s="52"/>
      <c r="D194" s="53"/>
      <c r="E194" s="12">
        <v>9</v>
      </c>
      <c r="F194" s="12"/>
      <c r="G194" s="13"/>
      <c r="H194" s="14">
        <f t="shared" si="75"/>
        <v>0</v>
      </c>
      <c r="I194" s="15"/>
      <c r="J194" s="16">
        <f t="shared" si="76"/>
        <v>0</v>
      </c>
      <c r="K194" s="15"/>
      <c r="L194" s="16">
        <f t="shared" si="77"/>
        <v>0</v>
      </c>
      <c r="M194" s="15"/>
      <c r="N194" s="15"/>
      <c r="O194" s="16">
        <f t="shared" si="84"/>
        <v>0</v>
      </c>
      <c r="P194" s="15"/>
      <c r="Q194" s="16">
        <f t="shared" si="78"/>
        <v>0</v>
      </c>
      <c r="R194" s="15"/>
      <c r="S194" s="15"/>
      <c r="T194" s="15"/>
      <c r="U194" s="16">
        <f t="shared" si="79"/>
        <v>0</v>
      </c>
      <c r="V194" s="16"/>
      <c r="W194" s="16">
        <f t="shared" si="82"/>
        <v>0</v>
      </c>
      <c r="X194" s="15"/>
      <c r="Y194" s="16">
        <f t="shared" si="80"/>
        <v>0</v>
      </c>
      <c r="Z194" s="15"/>
      <c r="AA194" s="16">
        <f t="shared" si="81"/>
        <v>0</v>
      </c>
      <c r="AB194" s="16"/>
      <c r="AC194" s="16">
        <f t="shared" si="83"/>
        <v>0</v>
      </c>
      <c r="AD194" s="15"/>
      <c r="AE194" s="15"/>
      <c r="AF194" s="64">
        <f t="shared" si="85"/>
        <v>0</v>
      </c>
      <c r="AG194" s="17">
        <f t="shared" si="86"/>
        <v>0</v>
      </c>
      <c r="AH194" s="18"/>
    </row>
    <row r="195" spans="1:34" ht="18.75" x14ac:dyDescent="0.3">
      <c r="A195" s="57"/>
      <c r="B195" s="57"/>
      <c r="C195" s="52"/>
      <c r="D195" s="53"/>
      <c r="E195" s="12">
        <v>9</v>
      </c>
      <c r="F195" s="12"/>
      <c r="G195" s="13"/>
      <c r="H195" s="14">
        <f t="shared" si="75"/>
        <v>0</v>
      </c>
      <c r="I195" s="15"/>
      <c r="J195" s="16">
        <f t="shared" si="76"/>
        <v>0</v>
      </c>
      <c r="K195" s="15"/>
      <c r="L195" s="16">
        <f t="shared" si="77"/>
        <v>0</v>
      </c>
      <c r="M195" s="15"/>
      <c r="N195" s="15"/>
      <c r="O195" s="16">
        <f t="shared" si="84"/>
        <v>0</v>
      </c>
      <c r="P195" s="15"/>
      <c r="Q195" s="16">
        <f t="shared" si="78"/>
        <v>0</v>
      </c>
      <c r="R195" s="15"/>
      <c r="S195" s="15"/>
      <c r="T195" s="15"/>
      <c r="U195" s="16">
        <f t="shared" si="79"/>
        <v>0</v>
      </c>
      <c r="V195" s="16"/>
      <c r="W195" s="16">
        <f t="shared" si="82"/>
        <v>0</v>
      </c>
      <c r="X195" s="15"/>
      <c r="Y195" s="16">
        <f t="shared" si="80"/>
        <v>0</v>
      </c>
      <c r="Z195" s="15"/>
      <c r="AA195" s="16">
        <f t="shared" si="81"/>
        <v>0</v>
      </c>
      <c r="AB195" s="16"/>
      <c r="AC195" s="16">
        <f t="shared" si="83"/>
        <v>0</v>
      </c>
      <c r="AD195" s="15"/>
      <c r="AE195" s="15"/>
      <c r="AF195" s="64">
        <f t="shared" si="85"/>
        <v>0</v>
      </c>
      <c r="AG195" s="17">
        <f t="shared" si="86"/>
        <v>0</v>
      </c>
      <c r="AH195" s="18"/>
    </row>
    <row r="196" spans="1:34" ht="21" x14ac:dyDescent="0.3">
      <c r="A196" s="54"/>
      <c r="B196" s="54"/>
      <c r="C196" s="52"/>
      <c r="D196" s="53"/>
      <c r="E196" s="12">
        <v>9</v>
      </c>
      <c r="F196" s="12"/>
      <c r="G196" s="13"/>
      <c r="H196" s="14">
        <f t="shared" si="75"/>
        <v>0</v>
      </c>
      <c r="I196" s="15"/>
      <c r="J196" s="16">
        <f t="shared" si="76"/>
        <v>0</v>
      </c>
      <c r="K196" s="15"/>
      <c r="L196" s="16">
        <f t="shared" si="77"/>
        <v>0</v>
      </c>
      <c r="M196" s="15"/>
      <c r="N196" s="15"/>
      <c r="O196" s="16">
        <f t="shared" si="84"/>
        <v>0</v>
      </c>
      <c r="P196" s="15"/>
      <c r="Q196" s="16">
        <f t="shared" si="78"/>
        <v>0</v>
      </c>
      <c r="R196" s="15"/>
      <c r="S196" s="15"/>
      <c r="T196" s="15"/>
      <c r="U196" s="16">
        <f t="shared" si="79"/>
        <v>0</v>
      </c>
      <c r="V196" s="16"/>
      <c r="W196" s="16">
        <f t="shared" si="82"/>
        <v>0</v>
      </c>
      <c r="X196" s="15"/>
      <c r="Y196" s="16">
        <f t="shared" si="80"/>
        <v>0</v>
      </c>
      <c r="Z196" s="15"/>
      <c r="AA196" s="16">
        <f t="shared" si="81"/>
        <v>0</v>
      </c>
      <c r="AB196" s="16"/>
      <c r="AC196" s="16">
        <f t="shared" si="83"/>
        <v>0</v>
      </c>
      <c r="AD196" s="15"/>
      <c r="AE196" s="15"/>
      <c r="AF196" s="64">
        <f t="shared" si="85"/>
        <v>0</v>
      </c>
      <c r="AG196" s="17">
        <f t="shared" si="86"/>
        <v>0</v>
      </c>
      <c r="AH196" s="18"/>
    </row>
    <row r="197" spans="1:34" ht="21" x14ac:dyDescent="0.3">
      <c r="A197" s="55"/>
      <c r="B197" s="54"/>
      <c r="C197" s="52"/>
      <c r="D197" s="53"/>
      <c r="E197" s="12">
        <v>9</v>
      </c>
      <c r="F197" s="12"/>
      <c r="G197" s="13"/>
      <c r="H197" s="14">
        <f t="shared" si="75"/>
        <v>0</v>
      </c>
      <c r="I197" s="15"/>
      <c r="J197" s="16">
        <f t="shared" si="76"/>
        <v>0</v>
      </c>
      <c r="K197" s="15"/>
      <c r="L197" s="16">
        <f t="shared" si="77"/>
        <v>0</v>
      </c>
      <c r="M197" s="15"/>
      <c r="N197" s="15"/>
      <c r="O197" s="16">
        <f t="shared" si="84"/>
        <v>0</v>
      </c>
      <c r="P197" s="15"/>
      <c r="Q197" s="16">
        <f t="shared" si="78"/>
        <v>0</v>
      </c>
      <c r="R197" s="15"/>
      <c r="S197" s="15"/>
      <c r="T197" s="15"/>
      <c r="U197" s="16">
        <f t="shared" si="79"/>
        <v>0</v>
      </c>
      <c r="V197" s="16"/>
      <c r="W197" s="16">
        <f t="shared" si="82"/>
        <v>0</v>
      </c>
      <c r="X197" s="15"/>
      <c r="Y197" s="16">
        <f t="shared" si="80"/>
        <v>0</v>
      </c>
      <c r="Z197" s="15"/>
      <c r="AA197" s="16">
        <f t="shared" si="81"/>
        <v>0</v>
      </c>
      <c r="AB197" s="16"/>
      <c r="AC197" s="16">
        <f t="shared" si="83"/>
        <v>0</v>
      </c>
      <c r="AD197" s="15"/>
      <c r="AE197" s="15"/>
      <c r="AF197" s="64">
        <f t="shared" si="85"/>
        <v>0</v>
      </c>
      <c r="AG197" s="17">
        <f t="shared" si="86"/>
        <v>0</v>
      </c>
      <c r="AH197" s="18"/>
    </row>
    <row r="198" spans="1:34" ht="21" x14ac:dyDescent="0.3">
      <c r="A198" s="56"/>
      <c r="B198" s="56"/>
      <c r="C198" s="52"/>
      <c r="D198" s="53"/>
      <c r="E198" s="12">
        <v>9</v>
      </c>
      <c r="F198" s="12"/>
      <c r="G198" s="13"/>
      <c r="H198" s="14">
        <f t="shared" si="75"/>
        <v>0</v>
      </c>
      <c r="I198" s="15"/>
      <c r="J198" s="16">
        <f t="shared" si="76"/>
        <v>0</v>
      </c>
      <c r="K198" s="15"/>
      <c r="L198" s="16">
        <f t="shared" si="77"/>
        <v>0</v>
      </c>
      <c r="M198" s="15"/>
      <c r="N198" s="15"/>
      <c r="O198" s="16">
        <f t="shared" si="84"/>
        <v>0</v>
      </c>
      <c r="P198" s="15"/>
      <c r="Q198" s="16">
        <f t="shared" si="78"/>
        <v>0</v>
      </c>
      <c r="R198" s="15"/>
      <c r="S198" s="15"/>
      <c r="T198" s="15"/>
      <c r="U198" s="16">
        <f t="shared" si="79"/>
        <v>0</v>
      </c>
      <c r="V198" s="16"/>
      <c r="W198" s="16">
        <f t="shared" si="82"/>
        <v>0</v>
      </c>
      <c r="X198" s="15"/>
      <c r="Y198" s="16">
        <f t="shared" si="80"/>
        <v>0</v>
      </c>
      <c r="Z198" s="15"/>
      <c r="AA198" s="16">
        <f t="shared" si="81"/>
        <v>0</v>
      </c>
      <c r="AB198" s="16"/>
      <c r="AC198" s="16">
        <f t="shared" si="83"/>
        <v>0</v>
      </c>
      <c r="AD198" s="15"/>
      <c r="AE198" s="15"/>
      <c r="AF198" s="64">
        <f t="shared" si="85"/>
        <v>0</v>
      </c>
      <c r="AG198" s="17">
        <f t="shared" si="86"/>
        <v>0</v>
      </c>
      <c r="AH198" s="18"/>
    </row>
    <row r="199" spans="1:34" ht="21" x14ac:dyDescent="0.3">
      <c r="A199" s="55"/>
      <c r="B199" s="54"/>
      <c r="C199" s="52"/>
      <c r="D199" s="53"/>
      <c r="E199" s="12">
        <v>9</v>
      </c>
      <c r="F199" s="12"/>
      <c r="G199" s="13"/>
      <c r="H199" s="14">
        <f t="shared" si="75"/>
        <v>0</v>
      </c>
      <c r="I199" s="15"/>
      <c r="J199" s="16">
        <f t="shared" si="76"/>
        <v>0</v>
      </c>
      <c r="K199" s="15"/>
      <c r="L199" s="16">
        <f t="shared" si="77"/>
        <v>0</v>
      </c>
      <c r="M199" s="15"/>
      <c r="N199" s="15"/>
      <c r="O199" s="16">
        <f t="shared" si="84"/>
        <v>0</v>
      </c>
      <c r="P199" s="15"/>
      <c r="Q199" s="16">
        <f t="shared" si="78"/>
        <v>0</v>
      </c>
      <c r="R199" s="15"/>
      <c r="S199" s="15"/>
      <c r="T199" s="15"/>
      <c r="U199" s="16">
        <f t="shared" si="79"/>
        <v>0</v>
      </c>
      <c r="V199" s="16"/>
      <c r="W199" s="16">
        <f t="shared" si="82"/>
        <v>0</v>
      </c>
      <c r="X199" s="15"/>
      <c r="Y199" s="16">
        <f t="shared" si="80"/>
        <v>0</v>
      </c>
      <c r="Z199" s="15"/>
      <c r="AA199" s="16">
        <f t="shared" si="81"/>
        <v>0</v>
      </c>
      <c r="AB199" s="16"/>
      <c r="AC199" s="16">
        <f t="shared" si="83"/>
        <v>0</v>
      </c>
      <c r="AD199" s="15"/>
      <c r="AE199" s="15"/>
      <c r="AF199" s="64">
        <f t="shared" si="85"/>
        <v>0</v>
      </c>
      <c r="AG199" s="17">
        <f t="shared" si="86"/>
        <v>0</v>
      </c>
      <c r="AH199" s="18"/>
    </row>
    <row r="200" spans="1:34" ht="21" x14ac:dyDescent="0.3">
      <c r="A200" s="55"/>
      <c r="B200" s="55"/>
      <c r="C200" s="52"/>
      <c r="D200" s="53"/>
      <c r="E200" s="12">
        <v>9</v>
      </c>
      <c r="F200" s="12"/>
      <c r="G200" s="13"/>
      <c r="H200" s="14">
        <f t="shared" si="75"/>
        <v>0</v>
      </c>
      <c r="I200" s="15"/>
      <c r="J200" s="16">
        <f t="shared" si="76"/>
        <v>0</v>
      </c>
      <c r="K200" s="15"/>
      <c r="L200" s="16">
        <f t="shared" si="77"/>
        <v>0</v>
      </c>
      <c r="M200" s="15"/>
      <c r="N200" s="15"/>
      <c r="O200" s="16">
        <f t="shared" si="84"/>
        <v>0</v>
      </c>
      <c r="P200" s="15"/>
      <c r="Q200" s="16">
        <f t="shared" si="78"/>
        <v>0</v>
      </c>
      <c r="R200" s="15"/>
      <c r="S200" s="15"/>
      <c r="T200" s="15"/>
      <c r="U200" s="16">
        <f t="shared" si="79"/>
        <v>0</v>
      </c>
      <c r="V200" s="16"/>
      <c r="W200" s="16">
        <f t="shared" si="82"/>
        <v>0</v>
      </c>
      <c r="X200" s="15"/>
      <c r="Y200" s="16">
        <f t="shared" si="80"/>
        <v>0</v>
      </c>
      <c r="Z200" s="15"/>
      <c r="AA200" s="16">
        <f t="shared" si="81"/>
        <v>0</v>
      </c>
      <c r="AB200" s="16"/>
      <c r="AC200" s="16">
        <f t="shared" si="83"/>
        <v>0</v>
      </c>
      <c r="AD200" s="15"/>
      <c r="AE200" s="15"/>
      <c r="AF200" s="64">
        <f t="shared" si="85"/>
        <v>0</v>
      </c>
      <c r="AG200" s="17">
        <f t="shared" si="86"/>
        <v>0</v>
      </c>
      <c r="AH200" s="18"/>
    </row>
    <row r="201" spans="1:34" ht="28.5" x14ac:dyDescent="0.25">
      <c r="A201" s="49" t="s">
        <v>36</v>
      </c>
      <c r="B201" s="65"/>
      <c r="C201" s="50"/>
      <c r="D201" s="50"/>
      <c r="E201" s="51"/>
      <c r="F201" s="20">
        <f t="shared" ref="F201:N201" si="87">SUM(F5:F200)</f>
        <v>162500</v>
      </c>
      <c r="G201" s="21">
        <f t="shared" si="87"/>
        <v>605</v>
      </c>
      <c r="H201" s="21">
        <f t="shared" si="87"/>
        <v>145366.66666666669</v>
      </c>
      <c r="I201" s="21">
        <f t="shared" si="87"/>
        <v>204</v>
      </c>
      <c r="J201" s="21">
        <f t="shared" si="87"/>
        <v>5592.5925925925922</v>
      </c>
      <c r="K201" s="21">
        <f t="shared" si="87"/>
        <v>0</v>
      </c>
      <c r="L201" s="21">
        <f t="shared" si="87"/>
        <v>0</v>
      </c>
      <c r="M201" s="21">
        <f t="shared" si="87"/>
        <v>6000</v>
      </c>
      <c r="N201" s="21">
        <f t="shared" si="87"/>
        <v>0</v>
      </c>
      <c r="O201" s="16">
        <f t="shared" ref="O201" si="88">+N201+M201+L201+J201+H201</f>
        <v>156959.25925925927</v>
      </c>
      <c r="P201" s="21">
        <f t="shared" ref="P201:AC201" si="89">SUM(P5:P200)</f>
        <v>35</v>
      </c>
      <c r="Q201" s="21">
        <f t="shared" si="89"/>
        <v>837.03703703703707</v>
      </c>
      <c r="R201" s="21">
        <f t="shared" si="89"/>
        <v>37485</v>
      </c>
      <c r="S201" s="21">
        <f t="shared" si="89"/>
        <v>0</v>
      </c>
      <c r="T201" s="21">
        <f t="shared" si="89"/>
        <v>8</v>
      </c>
      <c r="U201" s="21">
        <f t="shared" si="89"/>
        <v>1833.333333333333</v>
      </c>
      <c r="V201" s="21">
        <f t="shared" si="89"/>
        <v>0</v>
      </c>
      <c r="W201" s="21">
        <f t="shared" si="89"/>
        <v>0</v>
      </c>
      <c r="X201" s="21">
        <f t="shared" si="89"/>
        <v>3</v>
      </c>
      <c r="Y201" s="21">
        <f t="shared" si="89"/>
        <v>600</v>
      </c>
      <c r="Z201" s="21">
        <f t="shared" si="89"/>
        <v>0</v>
      </c>
      <c r="AA201" s="21">
        <f t="shared" si="89"/>
        <v>0</v>
      </c>
      <c r="AB201" s="21">
        <f t="shared" si="89"/>
        <v>0</v>
      </c>
      <c r="AC201" s="21">
        <f t="shared" si="89"/>
        <v>0</v>
      </c>
      <c r="AD201" s="21"/>
      <c r="AE201" s="21">
        <f>SUM(AE5:AE200)</f>
        <v>1465</v>
      </c>
      <c r="AF201" s="21">
        <f>SUM(AF5:AF200)</f>
        <v>42220.370370370372</v>
      </c>
      <c r="AG201" s="75">
        <f>SUM(AG5:AG200)</f>
        <v>114738.88888888889</v>
      </c>
      <c r="AH201" s="22"/>
    </row>
    <row r="202" spans="1:34" ht="18.75" x14ac:dyDescent="0.25">
      <c r="A202" s="23" t="s">
        <v>37</v>
      </c>
      <c r="B202" s="23"/>
      <c r="C202" s="23"/>
      <c r="D202" s="23"/>
      <c r="E202" s="24">
        <f>SUBTOTAL(9,E5:E201)</f>
        <v>1764</v>
      </c>
      <c r="F202" s="25">
        <f t="shared" ref="F202:AF202" si="90">SUBTOTAL(9,F5:F200)</f>
        <v>162500</v>
      </c>
      <c r="G202" s="25">
        <f t="shared" si="90"/>
        <v>605</v>
      </c>
      <c r="H202" s="25">
        <f t="shared" si="90"/>
        <v>145366.66666666669</v>
      </c>
      <c r="I202" s="25">
        <f t="shared" si="90"/>
        <v>204</v>
      </c>
      <c r="J202" s="25">
        <f t="shared" si="90"/>
        <v>5592.5925925925922</v>
      </c>
      <c r="K202" s="25">
        <f t="shared" si="90"/>
        <v>0</v>
      </c>
      <c r="L202" s="25">
        <f t="shared" si="90"/>
        <v>0</v>
      </c>
      <c r="M202" s="25">
        <f t="shared" si="90"/>
        <v>6000</v>
      </c>
      <c r="N202" s="25">
        <f t="shared" si="90"/>
        <v>0</v>
      </c>
      <c r="O202" s="25">
        <f t="shared" si="90"/>
        <v>156959.25925925927</v>
      </c>
      <c r="P202" s="25">
        <f t="shared" si="90"/>
        <v>35</v>
      </c>
      <c r="Q202" s="25">
        <f t="shared" si="90"/>
        <v>837.03703703703707</v>
      </c>
      <c r="R202" s="25">
        <f t="shared" si="90"/>
        <v>37485</v>
      </c>
      <c r="S202" s="25">
        <f t="shared" si="90"/>
        <v>0</v>
      </c>
      <c r="T202" s="25">
        <f t="shared" si="90"/>
        <v>8</v>
      </c>
      <c r="U202" s="25">
        <f t="shared" si="90"/>
        <v>1833.333333333333</v>
      </c>
      <c r="V202" s="25">
        <f t="shared" si="90"/>
        <v>0</v>
      </c>
      <c r="W202" s="25">
        <f t="shared" si="90"/>
        <v>0</v>
      </c>
      <c r="X202" s="25">
        <f t="shared" si="90"/>
        <v>3</v>
      </c>
      <c r="Y202" s="25">
        <f t="shared" si="90"/>
        <v>600</v>
      </c>
      <c r="Z202" s="25">
        <f t="shared" si="90"/>
        <v>0</v>
      </c>
      <c r="AA202" s="25">
        <f t="shared" si="90"/>
        <v>0</v>
      </c>
      <c r="AB202" s="25">
        <f t="shared" si="90"/>
        <v>0</v>
      </c>
      <c r="AC202" s="25">
        <f t="shared" si="90"/>
        <v>0</v>
      </c>
      <c r="AD202" s="25">
        <f t="shared" si="90"/>
        <v>0</v>
      </c>
      <c r="AE202" s="25">
        <f t="shared" si="90"/>
        <v>1465</v>
      </c>
      <c r="AF202" s="25">
        <f t="shared" si="90"/>
        <v>42220.370370370372</v>
      </c>
      <c r="AG202" s="17">
        <f t="shared" ref="AG202" si="91">+O202-AF202</f>
        <v>114738.88888888891</v>
      </c>
      <c r="AH202" s="26">
        <f>SUM(F202-AG202)</f>
        <v>47761.111111111095</v>
      </c>
    </row>
  </sheetData>
  <autoFilter ref="A4:AH201" xr:uid="{00000000-0009-0000-0000-000000000000}"/>
  <mergeCells count="10">
    <mergeCell ref="A1:AG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conditionalFormatting sqref="A2 A4">
    <cfRule type="duplicateValues" dxfId="828" priority="1072"/>
  </conditionalFormatting>
  <conditionalFormatting sqref="A5:A113">
    <cfRule type="duplicateValues" dxfId="827" priority="1483"/>
    <cfRule type="duplicateValues" dxfId="826" priority="1484"/>
    <cfRule type="duplicateValues" dxfId="825" priority="1482"/>
    <cfRule type="duplicateValues" dxfId="824" priority="1485"/>
    <cfRule type="duplicateValues" dxfId="823" priority="1489"/>
    <cfRule type="duplicateValues" dxfId="822" priority="1490"/>
    <cfRule type="duplicateValues" dxfId="821" priority="1486"/>
    <cfRule type="duplicateValues" dxfId="820" priority="1487"/>
    <cfRule type="duplicateValues" dxfId="819" priority="1488"/>
  </conditionalFormatting>
  <conditionalFormatting sqref="A5:A198">
    <cfRule type="duplicateValues" dxfId="818" priority="1500"/>
  </conditionalFormatting>
  <conditionalFormatting sqref="A119">
    <cfRule type="duplicateValues" dxfId="817" priority="324"/>
    <cfRule type="duplicateValues" dxfId="816" priority="322"/>
    <cfRule type="duplicateValues" dxfId="815" priority="323"/>
  </conditionalFormatting>
  <conditionalFormatting sqref="A120">
    <cfRule type="duplicateValues" dxfId="814" priority="316"/>
    <cfRule type="duplicateValues" dxfId="813" priority="317"/>
    <cfRule type="duplicateValues" dxfId="812" priority="321"/>
    <cfRule type="duplicateValues" dxfId="811" priority="315"/>
  </conditionalFormatting>
  <conditionalFormatting sqref="A121">
    <cfRule type="duplicateValues" dxfId="810" priority="310"/>
  </conditionalFormatting>
  <conditionalFormatting sqref="A122">
    <cfRule type="duplicateValues" dxfId="809" priority="299"/>
    <cfRule type="duplicateValues" dxfId="808" priority="295"/>
    <cfRule type="duplicateValues" dxfId="807" priority="294"/>
    <cfRule type="duplicateValues" dxfId="806" priority="302"/>
    <cfRule type="duplicateValues" dxfId="805" priority="301"/>
    <cfRule type="duplicateValues" dxfId="804" priority="293"/>
    <cfRule type="duplicateValues" dxfId="803" priority="300"/>
    <cfRule type="duplicateValues" dxfId="802" priority="306"/>
  </conditionalFormatting>
  <conditionalFormatting sqref="A123:A124 A114:A118">
    <cfRule type="duplicateValues" dxfId="801" priority="337"/>
    <cfRule type="duplicateValues" dxfId="800" priority="329"/>
    <cfRule type="duplicateValues" dxfId="799" priority="338"/>
  </conditionalFormatting>
  <conditionalFormatting sqref="A123:A124 A121 A119">
    <cfRule type="duplicateValues" dxfId="798" priority="328"/>
  </conditionalFormatting>
  <conditionalFormatting sqref="A123:A124">
    <cfRule type="duplicateValues" dxfId="797" priority="336"/>
  </conditionalFormatting>
  <conditionalFormatting sqref="A125:A129">
    <cfRule type="duplicateValues" dxfId="796" priority="359"/>
    <cfRule type="duplicateValues" dxfId="795" priority="360"/>
  </conditionalFormatting>
  <conditionalFormatting sqref="A126">
    <cfRule type="duplicateValues" dxfId="794" priority="357"/>
    <cfRule type="duplicateValues" dxfId="793" priority="356"/>
    <cfRule type="duplicateValues" dxfId="792" priority="355"/>
    <cfRule type="duplicateValues" dxfId="791" priority="358"/>
  </conditionalFormatting>
  <conditionalFormatting sqref="A127">
    <cfRule type="duplicateValues" dxfId="790" priority="354"/>
  </conditionalFormatting>
  <conditionalFormatting sqref="A128">
    <cfRule type="duplicateValues" dxfId="789" priority="350"/>
  </conditionalFormatting>
  <conditionalFormatting sqref="A129 A125">
    <cfRule type="duplicateValues" dxfId="788" priority="363"/>
  </conditionalFormatting>
  <conditionalFormatting sqref="A129 A125:A126">
    <cfRule type="duplicateValues" dxfId="787" priority="361"/>
  </conditionalFormatting>
  <conditionalFormatting sqref="A129 A125:A127">
    <cfRule type="duplicateValues" dxfId="786" priority="362"/>
  </conditionalFormatting>
  <conditionalFormatting sqref="A130:A134">
    <cfRule type="duplicateValues" dxfId="785" priority="278"/>
    <cfRule type="duplicateValues" dxfId="784" priority="277"/>
    <cfRule type="duplicateValues" dxfId="783" priority="276"/>
  </conditionalFormatting>
  <conditionalFormatting sqref="A130:A136">
    <cfRule type="duplicateValues" dxfId="782" priority="282"/>
  </conditionalFormatting>
  <conditionalFormatting sqref="A130:A138">
    <cfRule type="duplicateValues" dxfId="781" priority="281"/>
    <cfRule type="duplicateValues" dxfId="780" priority="280"/>
  </conditionalFormatting>
  <conditionalFormatting sqref="A130:A139">
    <cfRule type="duplicateValues" dxfId="779" priority="279"/>
  </conditionalFormatting>
  <conditionalFormatting sqref="A130:A142">
    <cfRule type="duplicateValues" dxfId="778" priority="273"/>
    <cfRule type="duplicateValues" dxfId="777" priority="283"/>
    <cfRule type="duplicateValues" dxfId="776" priority="274"/>
    <cfRule type="duplicateValues" dxfId="775" priority="275"/>
  </conditionalFormatting>
  <conditionalFormatting sqref="A137">
    <cfRule type="duplicateValues" dxfId="774" priority="266"/>
  </conditionalFormatting>
  <conditionalFormatting sqref="A138">
    <cfRule type="duplicateValues" dxfId="773" priority="262"/>
  </conditionalFormatting>
  <conditionalFormatting sqref="A139">
    <cfRule type="duplicateValues" dxfId="772" priority="258"/>
    <cfRule type="duplicateValues" dxfId="771" priority="257"/>
    <cfRule type="duplicateValues" dxfId="770" priority="256"/>
  </conditionalFormatting>
  <conditionalFormatting sqref="A140">
    <cfRule type="duplicateValues" dxfId="769" priority="255"/>
    <cfRule type="duplicateValues" dxfId="768" priority="253"/>
    <cfRule type="duplicateValues" dxfId="767" priority="254"/>
  </conditionalFormatting>
  <conditionalFormatting sqref="A141">
    <cfRule type="duplicateValues" dxfId="766" priority="249"/>
  </conditionalFormatting>
  <conditionalFormatting sqref="A142">
    <cfRule type="duplicateValues" dxfId="765" priority="248"/>
  </conditionalFormatting>
  <conditionalFormatting sqref="A143">
    <cfRule type="duplicateValues" dxfId="764" priority="244"/>
    <cfRule type="duplicateValues" dxfId="763" priority="243"/>
    <cfRule type="duplicateValues" dxfId="762" priority="242"/>
  </conditionalFormatting>
  <conditionalFormatting sqref="A144">
    <cfRule type="duplicateValues" dxfId="761" priority="288"/>
    <cfRule type="duplicateValues" dxfId="760" priority="287"/>
  </conditionalFormatting>
  <conditionalFormatting sqref="A145:A146">
    <cfRule type="duplicateValues" dxfId="759" priority="218"/>
    <cfRule type="duplicateValues" dxfId="758" priority="220"/>
    <cfRule type="duplicateValues" dxfId="757" priority="219"/>
  </conditionalFormatting>
  <conditionalFormatting sqref="A145:A174">
    <cfRule type="duplicateValues" dxfId="756" priority="225"/>
  </conditionalFormatting>
  <conditionalFormatting sqref="A145:A179">
    <cfRule type="duplicateValues" dxfId="755" priority="215"/>
  </conditionalFormatting>
  <conditionalFormatting sqref="A152:A154 A145:A150">
    <cfRule type="duplicateValues" dxfId="754" priority="224"/>
  </conditionalFormatting>
  <conditionalFormatting sqref="A155">
    <cfRule type="duplicateValues" dxfId="753" priority="205"/>
  </conditionalFormatting>
  <conditionalFormatting sqref="A156">
    <cfRule type="duplicateValues" dxfId="752" priority="201"/>
  </conditionalFormatting>
  <conditionalFormatting sqref="A157:A158">
    <cfRule type="duplicateValues" dxfId="751" priority="197"/>
  </conditionalFormatting>
  <conditionalFormatting sqref="A160">
    <cfRule type="duplicateValues" dxfId="750" priority="189"/>
    <cfRule type="duplicateValues" dxfId="749" priority="188"/>
    <cfRule type="duplicateValues" dxfId="748" priority="186"/>
    <cfRule type="duplicateValues" dxfId="747" priority="187"/>
  </conditionalFormatting>
  <conditionalFormatting sqref="A161">
    <cfRule type="duplicateValues" dxfId="746" priority="185"/>
  </conditionalFormatting>
  <conditionalFormatting sqref="A162">
    <cfRule type="duplicateValues" dxfId="745" priority="181"/>
  </conditionalFormatting>
  <conditionalFormatting sqref="A163:A165 A145:A160">
    <cfRule type="duplicateValues" dxfId="744" priority="223"/>
  </conditionalFormatting>
  <conditionalFormatting sqref="A163:A165 A145:A161">
    <cfRule type="duplicateValues" dxfId="743" priority="222"/>
  </conditionalFormatting>
  <conditionalFormatting sqref="A163:A165 A159">
    <cfRule type="duplicateValues" dxfId="742" priority="193"/>
  </conditionalFormatting>
  <conditionalFormatting sqref="A163:A165">
    <cfRule type="duplicateValues" dxfId="741" priority="221"/>
  </conditionalFormatting>
  <conditionalFormatting sqref="A166">
    <cfRule type="duplicateValues" dxfId="740" priority="173"/>
  </conditionalFormatting>
  <conditionalFormatting sqref="A167">
    <cfRule type="duplicateValues" dxfId="739" priority="177"/>
  </conditionalFormatting>
  <conditionalFormatting sqref="A171">
    <cfRule type="duplicateValues" dxfId="738" priority="165"/>
    <cfRule type="duplicateValues" dxfId="737" priority="164"/>
    <cfRule type="duplicateValues" dxfId="736" priority="163"/>
  </conditionalFormatting>
  <conditionalFormatting sqref="A172 A168:A170">
    <cfRule type="duplicateValues" dxfId="735" priority="166"/>
  </conditionalFormatting>
  <conditionalFormatting sqref="A173">
    <cfRule type="duplicateValues" dxfId="734" priority="158"/>
  </conditionalFormatting>
  <conditionalFormatting sqref="A174">
    <cfRule type="duplicateValues" dxfId="733" priority="162"/>
  </conditionalFormatting>
  <conditionalFormatting sqref="A175">
    <cfRule type="duplicateValues" dxfId="732" priority="153"/>
    <cfRule type="duplicateValues" dxfId="731" priority="154"/>
  </conditionalFormatting>
  <conditionalFormatting sqref="A176">
    <cfRule type="duplicateValues" dxfId="730" priority="146"/>
  </conditionalFormatting>
  <conditionalFormatting sqref="A177">
    <cfRule type="duplicateValues" dxfId="729" priority="144"/>
  </conditionalFormatting>
  <conditionalFormatting sqref="A178">
    <cfRule type="duplicateValues" dxfId="728" priority="135"/>
    <cfRule type="duplicateValues" dxfId="727" priority="139"/>
    <cfRule type="duplicateValues" dxfId="726" priority="140"/>
    <cfRule type="duplicateValues" dxfId="725" priority="134"/>
  </conditionalFormatting>
  <conditionalFormatting sqref="A179 A145:A176">
    <cfRule type="duplicateValues" dxfId="724" priority="217"/>
  </conditionalFormatting>
  <conditionalFormatting sqref="A179 A145:A177">
    <cfRule type="duplicateValues" dxfId="723" priority="216"/>
  </conditionalFormatting>
  <conditionalFormatting sqref="A179 A176">
    <cfRule type="duplicateValues" dxfId="722" priority="145"/>
  </conditionalFormatting>
  <conditionalFormatting sqref="A180:A181">
    <cfRule type="duplicateValues" dxfId="721" priority="133"/>
    <cfRule type="duplicateValues" dxfId="720" priority="125"/>
  </conditionalFormatting>
  <conditionalFormatting sqref="A182">
    <cfRule type="duplicateValues" dxfId="719" priority="231"/>
    <cfRule type="duplicateValues" dxfId="718" priority="226"/>
    <cfRule type="duplicateValues" dxfId="717" priority="227"/>
  </conditionalFormatting>
  <conditionalFormatting sqref="A183">
    <cfRule type="duplicateValues" dxfId="716" priority="232"/>
    <cfRule type="duplicateValues" dxfId="715" priority="233"/>
  </conditionalFormatting>
  <conditionalFormatting sqref="A183:A195">
    <cfRule type="duplicateValues" dxfId="714" priority="240"/>
    <cfRule type="duplicateValues" dxfId="713" priority="241"/>
  </conditionalFormatting>
  <conditionalFormatting sqref="A195">
    <cfRule type="duplicateValues" dxfId="712" priority="234"/>
    <cfRule type="duplicateValues" dxfId="711" priority="235"/>
  </conditionalFormatting>
  <conditionalFormatting sqref="A196">
    <cfRule type="duplicateValues" dxfId="710" priority="110"/>
    <cfRule type="duplicateValues" dxfId="709" priority="111"/>
    <cfRule type="duplicateValues" dxfId="708" priority="112"/>
    <cfRule type="duplicateValues" dxfId="707" priority="105"/>
    <cfRule type="duplicateValues" dxfId="706" priority="104"/>
    <cfRule type="duplicateValues" dxfId="705" priority="106"/>
    <cfRule type="duplicateValues" dxfId="704" priority="107"/>
    <cfRule type="duplicateValues" dxfId="703" priority="108"/>
    <cfRule type="duplicateValues" dxfId="702" priority="109"/>
  </conditionalFormatting>
  <conditionalFormatting sqref="A197">
    <cfRule type="duplicateValues" dxfId="701" priority="100"/>
  </conditionalFormatting>
  <conditionalFormatting sqref="A198">
    <cfRule type="duplicateValues" dxfId="700" priority="114"/>
    <cfRule type="duplicateValues" dxfId="699" priority="115"/>
    <cfRule type="duplicateValues" dxfId="698" priority="117"/>
    <cfRule type="duplicateValues" dxfId="697" priority="118"/>
    <cfRule type="duplicateValues" dxfId="696" priority="120"/>
    <cfRule type="duplicateValues" dxfId="695" priority="116"/>
    <cfRule type="duplicateValues" dxfId="694" priority="121"/>
    <cfRule type="duplicateValues" dxfId="693" priority="119"/>
    <cfRule type="duplicateValues" dxfId="692" priority="113"/>
  </conditionalFormatting>
  <conditionalFormatting sqref="A199:A200">
    <cfRule type="duplicateValues" dxfId="691" priority="84"/>
    <cfRule type="duplicateValues" dxfId="690" priority="85"/>
  </conditionalFormatting>
  <conditionalFormatting sqref="A201">
    <cfRule type="duplicateValues" dxfId="689" priority="1067"/>
    <cfRule type="duplicateValues" dxfId="688" priority="1070"/>
    <cfRule type="duplicateValues" dxfId="687" priority="1071"/>
    <cfRule type="duplicateValues" dxfId="686" priority="1069"/>
    <cfRule type="duplicateValues" dxfId="685" priority="1065"/>
    <cfRule type="duplicateValues" dxfId="684" priority="1066"/>
    <cfRule type="duplicateValues" dxfId="683" priority="1068"/>
  </conditionalFormatting>
  <conditionalFormatting sqref="A201:A202 A2 A4">
    <cfRule type="duplicateValues" dxfId="682" priority="1064"/>
  </conditionalFormatting>
  <conditionalFormatting sqref="A120:B120">
    <cfRule type="duplicateValues" dxfId="681" priority="320"/>
    <cfRule type="duplicateValues" dxfId="680" priority="319"/>
    <cfRule type="duplicateValues" dxfId="679" priority="318"/>
  </conditionalFormatting>
  <conditionalFormatting sqref="A121:B121">
    <cfRule type="duplicateValues" dxfId="678" priority="307"/>
    <cfRule type="duplicateValues" dxfId="677" priority="309"/>
    <cfRule type="duplicateValues" dxfId="676" priority="308"/>
  </conditionalFormatting>
  <conditionalFormatting sqref="A122:B122">
    <cfRule type="duplicateValues" dxfId="675" priority="305"/>
    <cfRule type="duplicateValues" dxfId="674" priority="296"/>
    <cfRule type="duplicateValues" dxfId="673" priority="304"/>
    <cfRule type="duplicateValues" dxfId="672" priority="303"/>
    <cfRule type="duplicateValues" dxfId="671" priority="298"/>
    <cfRule type="duplicateValues" dxfId="670" priority="297"/>
  </conditionalFormatting>
  <conditionalFormatting sqref="A123:B124 A114:B118 B113">
    <cfRule type="duplicateValues" dxfId="669" priority="331"/>
    <cfRule type="duplicateValues" dxfId="668" priority="332"/>
    <cfRule type="duplicateValues" dxfId="667" priority="330"/>
  </conditionalFormatting>
  <conditionalFormatting sqref="A123:B124 A121:B121 A119:B119">
    <cfRule type="duplicateValues" dxfId="666" priority="325"/>
    <cfRule type="duplicateValues" dxfId="665" priority="326"/>
    <cfRule type="duplicateValues" dxfId="664" priority="327"/>
  </conditionalFormatting>
  <conditionalFormatting sqref="A125:B125 A129:B129">
    <cfRule type="duplicateValues" dxfId="663" priority="365"/>
    <cfRule type="duplicateValues" dxfId="662" priority="366"/>
    <cfRule type="duplicateValues" dxfId="661" priority="364"/>
  </conditionalFormatting>
  <conditionalFormatting sqref="A127:B127">
    <cfRule type="duplicateValues" dxfId="660" priority="353"/>
    <cfRule type="duplicateValues" dxfId="659" priority="352"/>
    <cfRule type="duplicateValues" dxfId="658" priority="351"/>
  </conditionalFormatting>
  <conditionalFormatting sqref="A128:B128">
    <cfRule type="duplicateValues" dxfId="657" priority="347"/>
    <cfRule type="duplicateValues" dxfId="656" priority="348"/>
    <cfRule type="duplicateValues" dxfId="655" priority="349"/>
  </conditionalFormatting>
  <conditionalFormatting sqref="A135:B135">
    <cfRule type="duplicateValues" dxfId="654" priority="272"/>
    <cfRule type="duplicateValues" dxfId="653" priority="271"/>
    <cfRule type="duplicateValues" dxfId="652" priority="270"/>
  </conditionalFormatting>
  <conditionalFormatting sqref="A136:B136">
    <cfRule type="duplicateValues" dxfId="651" priority="267"/>
    <cfRule type="duplicateValues" dxfId="650" priority="269"/>
    <cfRule type="duplicateValues" dxfId="649" priority="268"/>
  </conditionalFormatting>
  <conditionalFormatting sqref="A137:B137">
    <cfRule type="duplicateValues" dxfId="648" priority="265"/>
    <cfRule type="duplicateValues" dxfId="647" priority="264"/>
    <cfRule type="duplicateValues" dxfId="646" priority="263"/>
  </conditionalFormatting>
  <conditionalFormatting sqref="A141:B141">
    <cfRule type="duplicateValues" dxfId="645" priority="250"/>
    <cfRule type="duplicateValues" dxfId="644" priority="252"/>
    <cfRule type="duplicateValues" dxfId="643" priority="251"/>
  </conditionalFormatting>
  <conditionalFormatting sqref="A142:B142">
    <cfRule type="duplicateValues" dxfId="642" priority="247"/>
    <cfRule type="duplicateValues" dxfId="641" priority="246"/>
    <cfRule type="duplicateValues" dxfId="640" priority="245"/>
  </conditionalFormatting>
  <conditionalFormatting sqref="A144:B144">
    <cfRule type="duplicateValues" dxfId="639" priority="284"/>
    <cfRule type="duplicateValues" dxfId="638" priority="285"/>
    <cfRule type="duplicateValues" dxfId="637" priority="286"/>
  </conditionalFormatting>
  <conditionalFormatting sqref="A147:B147">
    <cfRule type="duplicateValues" dxfId="636" priority="212"/>
    <cfRule type="duplicateValues" dxfId="635" priority="213"/>
    <cfRule type="duplicateValues" dxfId="634" priority="214"/>
  </conditionalFormatting>
  <conditionalFormatting sqref="A151:B151">
    <cfRule type="duplicateValues" dxfId="633" priority="211"/>
    <cfRule type="duplicateValues" dxfId="632" priority="210"/>
    <cfRule type="duplicateValues" dxfId="631" priority="209"/>
  </conditionalFormatting>
  <conditionalFormatting sqref="A152:B154 A148:B150">
    <cfRule type="duplicateValues" dxfId="630" priority="206"/>
    <cfRule type="duplicateValues" dxfId="629" priority="208"/>
    <cfRule type="duplicateValues" dxfId="628" priority="207"/>
  </conditionalFormatting>
  <conditionalFormatting sqref="A155:B155">
    <cfRule type="duplicateValues" dxfId="627" priority="202"/>
    <cfRule type="duplicateValues" dxfId="626" priority="203"/>
    <cfRule type="duplicateValues" dxfId="625" priority="204"/>
  </conditionalFormatting>
  <conditionalFormatting sqref="A156:B156">
    <cfRule type="duplicateValues" dxfId="624" priority="198"/>
    <cfRule type="duplicateValues" dxfId="623" priority="200"/>
    <cfRule type="duplicateValues" dxfId="622" priority="199"/>
  </conditionalFormatting>
  <conditionalFormatting sqref="A157:B158">
    <cfRule type="duplicateValues" dxfId="621" priority="195"/>
    <cfRule type="duplicateValues" dxfId="620" priority="194"/>
    <cfRule type="duplicateValues" dxfId="619" priority="196"/>
  </conditionalFormatting>
  <conditionalFormatting sqref="A161:B161">
    <cfRule type="duplicateValues" dxfId="618" priority="183"/>
    <cfRule type="duplicateValues" dxfId="617" priority="184"/>
    <cfRule type="duplicateValues" dxfId="616" priority="182"/>
  </conditionalFormatting>
  <conditionalFormatting sqref="A162:B162">
    <cfRule type="duplicateValues" dxfId="615" priority="180"/>
    <cfRule type="duplicateValues" dxfId="614" priority="179"/>
    <cfRule type="duplicateValues" dxfId="613" priority="178"/>
  </conditionalFormatting>
  <conditionalFormatting sqref="A163:B165 A159:B159">
    <cfRule type="duplicateValues" dxfId="612" priority="192"/>
    <cfRule type="duplicateValues" dxfId="611" priority="190"/>
    <cfRule type="duplicateValues" dxfId="610" priority="191"/>
  </conditionalFormatting>
  <conditionalFormatting sqref="A166:B166">
    <cfRule type="duplicateValues" dxfId="609" priority="171"/>
    <cfRule type="duplicateValues" dxfId="608" priority="170"/>
    <cfRule type="duplicateValues" dxfId="607" priority="172"/>
  </conditionalFormatting>
  <conditionalFormatting sqref="A167:B167">
    <cfRule type="duplicateValues" dxfId="606" priority="175"/>
    <cfRule type="duplicateValues" dxfId="605" priority="174"/>
    <cfRule type="duplicateValues" dxfId="604" priority="176"/>
  </conditionalFormatting>
  <conditionalFormatting sqref="A172:B172 A168:B170">
    <cfRule type="duplicateValues" dxfId="603" priority="167"/>
    <cfRule type="duplicateValues" dxfId="602" priority="168"/>
    <cfRule type="duplicateValues" dxfId="601" priority="169"/>
  </conditionalFormatting>
  <conditionalFormatting sqref="A173:B173">
    <cfRule type="duplicateValues" dxfId="600" priority="157"/>
    <cfRule type="duplicateValues" dxfId="599" priority="156"/>
    <cfRule type="duplicateValues" dxfId="598" priority="155"/>
  </conditionalFormatting>
  <conditionalFormatting sqref="A174:B174">
    <cfRule type="duplicateValues" dxfId="597" priority="159"/>
    <cfRule type="duplicateValues" dxfId="596" priority="161"/>
    <cfRule type="duplicateValues" dxfId="595" priority="160"/>
  </conditionalFormatting>
  <conditionalFormatting sqref="A175:B175">
    <cfRule type="duplicateValues" dxfId="594" priority="150"/>
    <cfRule type="duplicateValues" dxfId="593" priority="151"/>
    <cfRule type="duplicateValues" dxfId="592" priority="152"/>
  </conditionalFormatting>
  <conditionalFormatting sqref="A177:B177">
    <cfRule type="duplicateValues" dxfId="591" priority="142"/>
    <cfRule type="duplicateValues" dxfId="590" priority="141"/>
    <cfRule type="duplicateValues" dxfId="589" priority="143"/>
  </conditionalFormatting>
  <conditionalFormatting sqref="A178:B178">
    <cfRule type="duplicateValues" dxfId="588" priority="137"/>
    <cfRule type="duplicateValues" dxfId="587" priority="136"/>
    <cfRule type="duplicateValues" dxfId="586" priority="138"/>
  </conditionalFormatting>
  <conditionalFormatting sqref="A179:B179 A176:B176">
    <cfRule type="duplicateValues" dxfId="585" priority="149"/>
    <cfRule type="duplicateValues" dxfId="584" priority="148"/>
    <cfRule type="duplicateValues" dxfId="583" priority="147"/>
  </conditionalFormatting>
  <conditionalFormatting sqref="A180:B181">
    <cfRule type="duplicateValues" dxfId="582" priority="132"/>
    <cfRule type="duplicateValues" dxfId="581" priority="131"/>
    <cfRule type="duplicateValues" dxfId="580" priority="130"/>
    <cfRule type="duplicateValues" dxfId="579" priority="124"/>
    <cfRule type="duplicateValues" dxfId="578" priority="123"/>
    <cfRule type="duplicateValues" dxfId="577" priority="122"/>
  </conditionalFormatting>
  <conditionalFormatting sqref="A182:B182">
    <cfRule type="duplicateValues" dxfId="576" priority="228"/>
    <cfRule type="duplicateValues" dxfId="575" priority="229"/>
    <cfRule type="duplicateValues" dxfId="574" priority="230"/>
  </conditionalFormatting>
  <conditionalFormatting sqref="A197:B197">
    <cfRule type="duplicateValues" dxfId="573" priority="103"/>
    <cfRule type="duplicateValues" dxfId="572" priority="102"/>
    <cfRule type="duplicateValues" dxfId="571" priority="101"/>
  </conditionalFormatting>
  <conditionalFormatting sqref="A199:B200">
    <cfRule type="duplicateValues" dxfId="570" priority="86"/>
    <cfRule type="duplicateValues" dxfId="569" priority="87"/>
    <cfRule type="duplicateValues" dxfId="568" priority="88"/>
  </conditionalFormatting>
  <conditionalFormatting sqref="B5:B6">
    <cfRule type="duplicateValues" dxfId="567" priority="1158"/>
    <cfRule type="duplicateValues" dxfId="566" priority="1157"/>
  </conditionalFormatting>
  <conditionalFormatting sqref="B9">
    <cfRule type="duplicateValues" dxfId="565" priority="39"/>
    <cfRule type="duplicateValues" dxfId="564" priority="38"/>
    <cfRule type="duplicateValues" dxfId="563" priority="37"/>
  </conditionalFormatting>
  <conditionalFormatting sqref="B10">
    <cfRule type="duplicateValues" dxfId="562" priority="35"/>
    <cfRule type="duplicateValues" dxfId="561" priority="34"/>
    <cfRule type="duplicateValues" dxfId="560" priority="36"/>
  </conditionalFormatting>
  <conditionalFormatting sqref="B11">
    <cfRule type="duplicateValues" dxfId="559" priority="31"/>
    <cfRule type="duplicateValues" dxfId="558" priority="32"/>
    <cfRule type="duplicateValues" dxfId="557" priority="33"/>
  </conditionalFormatting>
  <conditionalFormatting sqref="B12">
    <cfRule type="duplicateValues" dxfId="556" priority="40"/>
    <cfRule type="duplicateValues" dxfId="555" priority="41"/>
    <cfRule type="duplicateValues" dxfId="554" priority="42"/>
  </conditionalFormatting>
  <conditionalFormatting sqref="B13">
    <cfRule type="duplicateValues" dxfId="553" priority="19"/>
    <cfRule type="duplicateValues" dxfId="552" priority="17"/>
    <cfRule type="duplicateValues" dxfId="551" priority="18"/>
  </conditionalFormatting>
  <conditionalFormatting sqref="B13:B15 B74:B109">
    <cfRule type="containsText" dxfId="550" priority="90" operator="containsText" text="m">
      <formula>NOT(ISERROR(SEARCH("m",B13)))</formula>
    </cfRule>
  </conditionalFormatting>
  <conditionalFormatting sqref="B14">
    <cfRule type="duplicateValues" dxfId="549" priority="12"/>
    <cfRule type="duplicateValues" dxfId="548" priority="11"/>
    <cfRule type="duplicateValues" dxfId="547" priority="10"/>
  </conditionalFormatting>
  <conditionalFormatting sqref="B15">
    <cfRule type="duplicateValues" dxfId="546" priority="1397"/>
    <cfRule type="duplicateValues" dxfId="545" priority="1398"/>
    <cfRule type="duplicateValues" dxfId="544" priority="1396"/>
  </conditionalFormatting>
  <conditionalFormatting sqref="B17:B18">
    <cfRule type="duplicateValues" dxfId="543" priority="21"/>
    <cfRule type="duplicateValues" dxfId="542" priority="23"/>
    <cfRule type="duplicateValues" dxfId="541" priority="22"/>
  </conditionalFormatting>
  <conditionalFormatting sqref="B19">
    <cfRule type="duplicateValues" dxfId="540" priority="3"/>
    <cfRule type="duplicateValues" dxfId="539" priority="4"/>
    <cfRule type="duplicateValues" dxfId="538" priority="2"/>
  </conditionalFormatting>
  <conditionalFormatting sqref="B19:B21">
    <cfRule type="containsText" dxfId="537" priority="1" operator="containsText" text="m">
      <formula>NOT(ISERROR(SEARCH("m",B19)))</formula>
    </cfRule>
  </conditionalFormatting>
  <conditionalFormatting sqref="B20">
    <cfRule type="duplicateValues" dxfId="536" priority="13"/>
    <cfRule type="duplicateValues" dxfId="535" priority="14"/>
    <cfRule type="duplicateValues" dxfId="534" priority="15"/>
  </conditionalFormatting>
  <conditionalFormatting sqref="B23">
    <cfRule type="duplicateValues" dxfId="533" priority="60"/>
    <cfRule type="duplicateValues" dxfId="532" priority="61"/>
    <cfRule type="duplicateValues" dxfId="531" priority="62"/>
  </conditionalFormatting>
  <conditionalFormatting sqref="B24">
    <cfRule type="duplicateValues" dxfId="530" priority="57"/>
    <cfRule type="duplicateValues" dxfId="529" priority="58"/>
    <cfRule type="duplicateValues" dxfId="528" priority="59"/>
  </conditionalFormatting>
  <conditionalFormatting sqref="B25">
    <cfRule type="duplicateValues" dxfId="527" priority="54"/>
    <cfRule type="duplicateValues" dxfId="526" priority="55"/>
    <cfRule type="duplicateValues" dxfId="525" priority="56"/>
  </conditionalFormatting>
  <conditionalFormatting sqref="B26">
    <cfRule type="duplicateValues" dxfId="524" priority="51"/>
    <cfRule type="duplicateValues" dxfId="523" priority="52"/>
    <cfRule type="duplicateValues" dxfId="522" priority="53"/>
  </conditionalFormatting>
  <conditionalFormatting sqref="B27">
    <cfRule type="duplicateValues" dxfId="521" priority="48"/>
    <cfRule type="duplicateValues" dxfId="520" priority="49"/>
    <cfRule type="duplicateValues" dxfId="519" priority="50"/>
  </conditionalFormatting>
  <conditionalFormatting sqref="B28">
    <cfRule type="duplicateValues" dxfId="518" priority="610"/>
    <cfRule type="duplicateValues" dxfId="517" priority="609"/>
    <cfRule type="duplicateValues" dxfId="516" priority="608"/>
  </conditionalFormatting>
  <conditionalFormatting sqref="B29:B30">
    <cfRule type="duplicateValues" dxfId="515" priority="604"/>
    <cfRule type="duplicateValues" dxfId="514" priority="605"/>
    <cfRule type="duplicateValues" dxfId="513" priority="603"/>
  </conditionalFormatting>
  <conditionalFormatting sqref="B31">
    <cfRule type="duplicateValues" dxfId="512" priority="602"/>
    <cfRule type="duplicateValues" dxfId="511" priority="601"/>
    <cfRule type="duplicateValues" dxfId="510" priority="600"/>
  </conditionalFormatting>
  <conditionalFormatting sqref="B33">
    <cfRule type="duplicateValues" dxfId="509" priority="594"/>
    <cfRule type="duplicateValues" dxfId="508" priority="593"/>
    <cfRule type="duplicateValues" dxfId="507" priority="592"/>
  </conditionalFormatting>
  <conditionalFormatting sqref="B34:B37">
    <cfRule type="duplicateValues" dxfId="506" priority="584"/>
    <cfRule type="duplicateValues" dxfId="505" priority="586"/>
    <cfRule type="duplicateValues" dxfId="504" priority="585"/>
  </conditionalFormatting>
  <conditionalFormatting sqref="B38:B45">
    <cfRule type="duplicateValues" dxfId="503" priority="581"/>
    <cfRule type="duplicateValues" dxfId="502" priority="580"/>
    <cfRule type="duplicateValues" dxfId="501" priority="579"/>
  </conditionalFormatting>
  <conditionalFormatting sqref="B39:B45">
    <cfRule type="duplicateValues" dxfId="500" priority="573"/>
    <cfRule type="duplicateValues" dxfId="499" priority="574"/>
    <cfRule type="duplicateValues" dxfId="498" priority="572"/>
    <cfRule type="duplicateValues" dxfId="497" priority="575"/>
  </conditionalFormatting>
  <conditionalFormatting sqref="B40:B42">
    <cfRule type="duplicateValues" dxfId="496" priority="570"/>
    <cfRule type="duplicateValues" dxfId="495" priority="569"/>
    <cfRule type="duplicateValues" dxfId="494" priority="568"/>
  </conditionalFormatting>
  <conditionalFormatting sqref="B43:B45">
    <cfRule type="duplicateValues" dxfId="493" priority="567"/>
    <cfRule type="duplicateValues" dxfId="492" priority="566"/>
    <cfRule type="duplicateValues" dxfId="491" priority="565"/>
  </conditionalFormatting>
  <conditionalFormatting sqref="B54">
    <cfRule type="duplicateValues" dxfId="490" priority="667"/>
    <cfRule type="duplicateValues" dxfId="489" priority="668"/>
  </conditionalFormatting>
  <conditionalFormatting sqref="B54:B58">
    <cfRule type="duplicateValues" dxfId="488" priority="670"/>
    <cfRule type="duplicateValues" dxfId="487" priority="669"/>
  </conditionalFormatting>
  <conditionalFormatting sqref="B59">
    <cfRule type="duplicateValues" dxfId="486" priority="662"/>
    <cfRule type="duplicateValues" dxfId="485" priority="663"/>
  </conditionalFormatting>
  <conditionalFormatting sqref="B65">
    <cfRule type="duplicateValues" dxfId="484" priority="540"/>
    <cfRule type="duplicateValues" dxfId="483" priority="539"/>
    <cfRule type="duplicateValues" dxfId="482" priority="538"/>
  </conditionalFormatting>
  <conditionalFormatting sqref="B66">
    <cfRule type="duplicateValues" dxfId="481" priority="535"/>
    <cfRule type="duplicateValues" dxfId="480" priority="534"/>
    <cfRule type="duplicateValues" dxfId="479" priority="533"/>
  </conditionalFormatting>
  <conditionalFormatting sqref="B67">
    <cfRule type="duplicateValues" dxfId="478" priority="530"/>
    <cfRule type="duplicateValues" dxfId="477" priority="531"/>
    <cfRule type="duplicateValues" dxfId="476" priority="532"/>
  </conditionalFormatting>
  <conditionalFormatting sqref="B68">
    <cfRule type="duplicateValues" dxfId="475" priority="527"/>
    <cfRule type="duplicateValues" dxfId="474" priority="526"/>
    <cfRule type="duplicateValues" dxfId="473" priority="525"/>
  </conditionalFormatting>
  <conditionalFormatting sqref="B69">
    <cfRule type="duplicateValues" dxfId="472" priority="517"/>
    <cfRule type="duplicateValues" dxfId="471" priority="519"/>
    <cfRule type="duplicateValues" dxfId="470" priority="518"/>
  </conditionalFormatting>
  <conditionalFormatting sqref="B70">
    <cfRule type="duplicateValues" dxfId="469" priority="523"/>
    <cfRule type="duplicateValues" dxfId="468" priority="522"/>
    <cfRule type="duplicateValues" dxfId="467" priority="521"/>
  </conditionalFormatting>
  <conditionalFormatting sqref="B71">
    <cfRule type="duplicateValues" dxfId="466" priority="516"/>
    <cfRule type="duplicateValues" dxfId="465" priority="515"/>
    <cfRule type="duplicateValues" dxfId="464" priority="514"/>
  </conditionalFormatting>
  <conditionalFormatting sqref="B72">
    <cfRule type="duplicateValues" dxfId="463" priority="511"/>
    <cfRule type="duplicateValues" dxfId="462" priority="510"/>
    <cfRule type="duplicateValues" dxfId="461" priority="512"/>
  </conditionalFormatting>
  <conditionalFormatting sqref="B73">
    <cfRule type="duplicateValues" dxfId="460" priority="554"/>
    <cfRule type="duplicateValues" dxfId="459" priority="553"/>
    <cfRule type="duplicateValues" dxfId="458" priority="552"/>
  </conditionalFormatting>
  <conditionalFormatting sqref="B77">
    <cfRule type="duplicateValues" dxfId="457" priority="467"/>
    <cfRule type="duplicateValues" dxfId="456" priority="469"/>
    <cfRule type="duplicateValues" dxfId="455" priority="468"/>
  </conditionalFormatting>
  <conditionalFormatting sqref="B81">
    <cfRule type="duplicateValues" dxfId="454" priority="461"/>
    <cfRule type="duplicateValues" dxfId="453" priority="462"/>
    <cfRule type="duplicateValues" dxfId="452" priority="460"/>
  </conditionalFormatting>
  <conditionalFormatting sqref="B85">
    <cfRule type="duplicateValues" dxfId="451" priority="450"/>
    <cfRule type="duplicateValues" dxfId="450" priority="452"/>
    <cfRule type="duplicateValues" dxfId="449" priority="451"/>
  </conditionalFormatting>
  <conditionalFormatting sqref="B86 B82:B83 B78:B80">
    <cfRule type="duplicateValues" dxfId="448" priority="465"/>
    <cfRule type="duplicateValues" dxfId="447" priority="463"/>
    <cfRule type="duplicateValues" dxfId="446" priority="464"/>
  </conditionalFormatting>
  <conditionalFormatting sqref="B87:B90">
    <cfRule type="duplicateValues" dxfId="445" priority="447"/>
    <cfRule type="duplicateValues" dxfId="444" priority="446"/>
    <cfRule type="duplicateValues" dxfId="443" priority="445"/>
  </conditionalFormatting>
  <conditionalFormatting sqref="B91">
    <cfRule type="duplicateValues" dxfId="442" priority="444"/>
    <cfRule type="duplicateValues" dxfId="441" priority="443"/>
    <cfRule type="duplicateValues" dxfId="440" priority="442"/>
  </conditionalFormatting>
  <conditionalFormatting sqref="B92">
    <cfRule type="duplicateValues" dxfId="439" priority="440"/>
    <cfRule type="duplicateValues" dxfId="438" priority="438"/>
    <cfRule type="duplicateValues" dxfId="437" priority="439"/>
  </conditionalFormatting>
  <conditionalFormatting sqref="B93">
    <cfRule type="duplicateValues" dxfId="436" priority="435"/>
    <cfRule type="duplicateValues" dxfId="435" priority="434"/>
    <cfRule type="duplicateValues" dxfId="434" priority="433"/>
  </conditionalFormatting>
  <conditionalFormatting sqref="B94">
    <cfRule type="duplicateValues" dxfId="433" priority="428"/>
    <cfRule type="duplicateValues" dxfId="432" priority="430"/>
    <cfRule type="duplicateValues" dxfId="431" priority="429"/>
  </conditionalFormatting>
  <conditionalFormatting sqref="B99">
    <cfRule type="duplicateValues" dxfId="430" priority="414"/>
    <cfRule type="duplicateValues" dxfId="429" priority="406"/>
    <cfRule type="duplicateValues" dxfId="428" priority="421"/>
    <cfRule type="duplicateValues" dxfId="427" priority="407"/>
    <cfRule type="duplicateValues" dxfId="426" priority="420"/>
    <cfRule type="duplicateValues" dxfId="425" priority="422"/>
    <cfRule type="duplicateValues" dxfId="424" priority="415"/>
    <cfRule type="duplicateValues" dxfId="423" priority="413"/>
    <cfRule type="duplicateValues" dxfId="422" priority="409"/>
    <cfRule type="duplicateValues" dxfId="421" priority="408"/>
  </conditionalFormatting>
  <conditionalFormatting sqref="B100 B95:B98">
    <cfRule type="duplicateValues" dxfId="420" priority="427"/>
    <cfRule type="duplicateValues" dxfId="419" priority="425"/>
    <cfRule type="duplicateValues" dxfId="418" priority="426"/>
  </conditionalFormatting>
  <conditionalFormatting sqref="B100">
    <cfRule type="duplicateValues" dxfId="417" priority="402"/>
    <cfRule type="duplicateValues" dxfId="416" priority="403"/>
    <cfRule type="duplicateValues" dxfId="415" priority="404"/>
    <cfRule type="duplicateValues" dxfId="414" priority="400"/>
    <cfRule type="duplicateValues" dxfId="413" priority="398"/>
    <cfRule type="duplicateValues" dxfId="412" priority="399"/>
    <cfRule type="duplicateValues" dxfId="411" priority="401"/>
  </conditionalFormatting>
  <conditionalFormatting sqref="B104 B102">
    <cfRule type="duplicateValues" dxfId="410" priority="506"/>
    <cfRule type="duplicateValues" dxfId="409" priority="507"/>
    <cfRule type="duplicateValues" dxfId="408" priority="508"/>
  </conditionalFormatting>
  <conditionalFormatting sqref="B104">
    <cfRule type="duplicateValues" dxfId="407" priority="387"/>
    <cfRule type="duplicateValues" dxfId="406" priority="388"/>
    <cfRule type="duplicateValues" dxfId="405" priority="386"/>
  </conditionalFormatting>
  <conditionalFormatting sqref="B105">
    <cfRule type="duplicateValues" dxfId="404" priority="375"/>
    <cfRule type="duplicateValues" dxfId="403" priority="374"/>
    <cfRule type="duplicateValues" dxfId="402" priority="373"/>
    <cfRule type="duplicateValues" dxfId="401" priority="372"/>
    <cfRule type="duplicateValues" dxfId="400" priority="371"/>
    <cfRule type="duplicateValues" dxfId="399" priority="369"/>
    <cfRule type="duplicateValues" dxfId="398" priority="368"/>
    <cfRule type="duplicateValues" dxfId="397" priority="367"/>
    <cfRule type="duplicateValues" dxfId="396" priority="500"/>
    <cfRule type="duplicateValues" dxfId="395" priority="370"/>
    <cfRule type="duplicateValues" dxfId="394" priority="391"/>
    <cfRule type="duplicateValues" dxfId="393" priority="377"/>
    <cfRule type="duplicateValues" dxfId="392" priority="378"/>
    <cfRule type="duplicateValues" dxfId="391" priority="379"/>
    <cfRule type="duplicateValues" dxfId="390" priority="390"/>
    <cfRule type="duplicateValues" dxfId="389" priority="383"/>
    <cfRule type="duplicateValues" dxfId="388" priority="389"/>
    <cfRule type="duplicateValues" dxfId="387" priority="498"/>
    <cfRule type="duplicateValues" dxfId="386" priority="499"/>
    <cfRule type="duplicateValues" dxfId="385" priority="384"/>
    <cfRule type="duplicateValues" dxfId="384" priority="385"/>
  </conditionalFormatting>
  <conditionalFormatting sqref="B106">
    <cfRule type="duplicateValues" dxfId="383" priority="382"/>
    <cfRule type="duplicateValues" dxfId="382" priority="381"/>
    <cfRule type="duplicateValues" dxfId="381" priority="380"/>
    <cfRule type="duplicateValues" dxfId="380" priority="494"/>
    <cfRule type="duplicateValues" dxfId="379" priority="496"/>
    <cfRule type="duplicateValues" dxfId="378" priority="495"/>
  </conditionalFormatting>
  <conditionalFormatting sqref="B107">
    <cfRule type="duplicateValues" dxfId="377" priority="490"/>
    <cfRule type="duplicateValues" dxfId="376" priority="489"/>
    <cfRule type="duplicateValues" dxfId="375" priority="491"/>
  </conditionalFormatting>
  <conditionalFormatting sqref="B108">
    <cfRule type="duplicateValues" dxfId="374" priority="92"/>
    <cfRule type="duplicateValues" dxfId="373" priority="93"/>
    <cfRule type="duplicateValues" dxfId="372" priority="91"/>
  </conditionalFormatting>
  <conditionalFormatting sqref="B109">
    <cfRule type="duplicateValues" dxfId="371" priority="486"/>
    <cfRule type="duplicateValues" dxfId="370" priority="484"/>
    <cfRule type="duplicateValues" dxfId="369" priority="485"/>
  </conditionalFormatting>
  <conditionalFormatting sqref="B122">
    <cfRule type="duplicateValues" dxfId="368" priority="292"/>
    <cfRule type="duplicateValues" dxfId="367" priority="291"/>
    <cfRule type="duplicateValues" dxfId="366" priority="290"/>
    <cfRule type="duplicateValues" dxfId="365" priority="289"/>
  </conditionalFormatting>
  <conditionalFormatting sqref="B123:B124 B121">
    <cfRule type="duplicateValues" dxfId="364" priority="313"/>
    <cfRule type="duplicateValues" dxfId="363" priority="312"/>
    <cfRule type="duplicateValues" dxfId="362" priority="311"/>
    <cfRule type="duplicateValues" dxfId="361" priority="314"/>
  </conditionalFormatting>
  <conditionalFormatting sqref="B139 A138:B138">
    <cfRule type="duplicateValues" dxfId="360" priority="259"/>
    <cfRule type="duplicateValues" dxfId="359" priority="260"/>
    <cfRule type="duplicateValues" dxfId="358" priority="261"/>
  </conditionalFormatting>
  <conditionalFormatting sqref="B140">
    <cfRule type="duplicateValues" dxfId="357" priority="83"/>
    <cfRule type="duplicateValues" dxfId="356" priority="82"/>
    <cfRule type="duplicateValues" dxfId="355" priority="81"/>
  </conditionalFormatting>
  <conditionalFormatting sqref="B180:B181">
    <cfRule type="duplicateValues" dxfId="354" priority="129"/>
    <cfRule type="duplicateValues" dxfId="353" priority="128"/>
    <cfRule type="duplicateValues" dxfId="352" priority="127"/>
    <cfRule type="duplicateValues" dxfId="351" priority="126"/>
  </conditionalFormatting>
  <conditionalFormatting sqref="B195">
    <cfRule type="duplicateValues" dxfId="350" priority="239"/>
    <cfRule type="duplicateValues" dxfId="349" priority="238"/>
    <cfRule type="duplicateValues" dxfId="348" priority="236"/>
    <cfRule type="duplicateValues" dxfId="347" priority="23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K8" sqref="K8"/>
      <selection pane="topRight" activeCell="K8" sqref="K8"/>
      <selection pane="bottomLeft" activeCell="K8" sqref="K8"/>
      <selection pane="bottomRight" activeCell="P13" sqref="P13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AH309"/>
  <sheetViews>
    <sheetView rightToLeft="1" topLeftCell="H59" zoomScale="66" zoomScaleNormal="66" workbookViewId="0">
      <selection activeCell="AJ22" sqref="AJ14:AJ22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3.7109375" style="48" customWidth="1"/>
    <col min="31" max="31" width="11.42578125" style="48" bestFit="1" customWidth="1"/>
    <col min="32" max="32" width="15" style="48" bestFit="1" customWidth="1"/>
    <col min="33" max="33" width="18.140625" style="28" customWidth="1"/>
    <col min="34" max="34" width="20" style="28" customWidth="1"/>
    <col min="35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customFormat="1" ht="21" x14ac:dyDescent="0.35">
      <c r="A4" s="52">
        <v>1</v>
      </c>
      <c r="B4" s="58" t="s">
        <v>47</v>
      </c>
      <c r="C4" s="52" t="s">
        <v>48</v>
      </c>
      <c r="D4" s="53" t="s">
        <v>43</v>
      </c>
      <c r="E4" s="74">
        <v>9</v>
      </c>
      <c r="F4" s="74">
        <v>7000</v>
      </c>
      <c r="G4" s="13">
        <v>29</v>
      </c>
      <c r="H4" s="14">
        <f t="shared" ref="H4" si="0">+F4/30*G4</f>
        <v>6766.666666666667</v>
      </c>
      <c r="I4" s="15">
        <v>12</v>
      </c>
      <c r="J4" s="16">
        <f t="shared" ref="J4" si="1">+I4*F4/30/E4</f>
        <v>311.11111111111109</v>
      </c>
      <c r="K4" s="15"/>
      <c r="L4" s="16">
        <f t="shared" ref="L4" si="2">+K4*F4/30</f>
        <v>0</v>
      </c>
      <c r="M4" s="15"/>
      <c r="N4" s="15"/>
      <c r="O4" s="16">
        <f t="shared" ref="O4" si="3">+N4+M4+L4+J4+H4</f>
        <v>7077.7777777777783</v>
      </c>
      <c r="P4" s="15"/>
      <c r="Q4" s="16">
        <f t="shared" ref="Q4" si="4">+F4/30/E4*P4</f>
        <v>0</v>
      </c>
      <c r="R4" s="15">
        <v>1600</v>
      </c>
      <c r="S4" s="15"/>
      <c r="T4" s="15"/>
      <c r="U4" s="16">
        <f t="shared" ref="U4" si="5">+F4/30*T4</f>
        <v>0</v>
      </c>
      <c r="V4" s="16"/>
      <c r="W4" s="16">
        <f t="shared" ref="W4" si="6">+H4/30*V4</f>
        <v>0</v>
      </c>
      <c r="X4" s="15"/>
      <c r="Y4" s="16">
        <f t="shared" ref="Y4" si="7">+F4/30*X4*1</f>
        <v>0</v>
      </c>
      <c r="Z4" s="15"/>
      <c r="AA4" s="16">
        <f t="shared" ref="AA4" si="8">+(F4/30*Z4)*0.25</f>
        <v>0</v>
      </c>
      <c r="AB4" s="16"/>
      <c r="AC4" s="16">
        <f>AB4*11%</f>
        <v>0</v>
      </c>
      <c r="AD4" s="15"/>
      <c r="AE4" s="15"/>
      <c r="AF4" s="64">
        <f>+AE4+AD4+Y4+U4+R4+Q4+AA4+S4+W4+AC4</f>
        <v>1600</v>
      </c>
      <c r="AG4" s="17">
        <f>+O4-AF4</f>
        <v>5477.7777777777783</v>
      </c>
      <c r="AH4" s="18"/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customFormat="1" ht="20.25" customHeight="1" x14ac:dyDescent="0.35">
      <c r="A8" s="52">
        <v>3</v>
      </c>
      <c r="B8" s="58" t="s">
        <v>49</v>
      </c>
      <c r="C8" s="52" t="s">
        <v>48</v>
      </c>
      <c r="D8" s="53" t="s">
        <v>43</v>
      </c>
      <c r="E8" s="74">
        <v>9</v>
      </c>
      <c r="F8" s="74">
        <v>7000</v>
      </c>
      <c r="G8" s="13">
        <v>29</v>
      </c>
      <c r="H8" s="14">
        <f t="shared" ref="H8" si="9">+F8/30*G8</f>
        <v>6766.666666666667</v>
      </c>
      <c r="I8" s="15">
        <v>12</v>
      </c>
      <c r="J8" s="16">
        <f t="shared" ref="J8" si="10">+I8*F8/30/E8</f>
        <v>311.11111111111109</v>
      </c>
      <c r="K8" s="15"/>
      <c r="L8" s="16">
        <f t="shared" ref="L8" si="11">+K8*F8/30</f>
        <v>0</v>
      </c>
      <c r="M8" s="15"/>
      <c r="N8" s="15"/>
      <c r="O8" s="16">
        <f t="shared" ref="O8" si="12">+N8+M8+L8+J8+H8</f>
        <v>7077.7777777777783</v>
      </c>
      <c r="P8" s="15"/>
      <c r="Q8" s="16">
        <f t="shared" ref="Q8" si="13">+F8/30/E8*P8</f>
        <v>0</v>
      </c>
      <c r="R8" s="15">
        <v>500</v>
      </c>
      <c r="S8" s="15"/>
      <c r="T8" s="15"/>
      <c r="U8" s="16">
        <f t="shared" ref="U8" si="14">+F8/30*T8</f>
        <v>0</v>
      </c>
      <c r="V8" s="16"/>
      <c r="W8" s="16">
        <f t="shared" ref="W8" si="15">+H8/30*V8</f>
        <v>0</v>
      </c>
      <c r="X8" s="15"/>
      <c r="Y8" s="16">
        <f t="shared" ref="Y8" si="16">+F8/30*X8*1</f>
        <v>0</v>
      </c>
      <c r="Z8" s="15"/>
      <c r="AA8" s="16">
        <f t="shared" ref="AA8" si="17">+(F8/30*Z8)*0.25</f>
        <v>0</v>
      </c>
      <c r="AB8" s="16"/>
      <c r="AC8" s="16">
        <f t="shared" ref="AC8" si="18">AB8*11%</f>
        <v>0</v>
      </c>
      <c r="AD8" s="15"/>
      <c r="AE8" s="15"/>
      <c r="AF8" s="64">
        <f t="shared" ref="AF8" si="19">+AE8+AD8+Y8+U8+R8+Q8+AA8+S8+W8+AC8</f>
        <v>500</v>
      </c>
      <c r="AG8" s="17">
        <f t="shared" ref="AG8" si="20">+O8-AF8</f>
        <v>6577.7777777777783</v>
      </c>
      <c r="AH8" s="18"/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customFormat="1" ht="21" x14ac:dyDescent="0.35">
      <c r="A12" s="52">
        <v>4</v>
      </c>
      <c r="B12" s="68" t="s">
        <v>50</v>
      </c>
      <c r="C12" s="52" t="s">
        <v>48</v>
      </c>
      <c r="D12" s="53" t="s">
        <v>40</v>
      </c>
      <c r="E12" s="74">
        <v>9</v>
      </c>
      <c r="F12" s="74">
        <v>6500</v>
      </c>
      <c r="G12" s="13">
        <v>30</v>
      </c>
      <c r="H12" s="14">
        <f t="shared" ref="H12" si="21">+F12/30*G12</f>
        <v>6500</v>
      </c>
      <c r="I12" s="15">
        <v>10</v>
      </c>
      <c r="J12" s="16">
        <f t="shared" ref="J12" si="22">+I12*F12/30/E12</f>
        <v>240.74074074074073</v>
      </c>
      <c r="K12" s="15"/>
      <c r="L12" s="16">
        <f t="shared" ref="L12" si="23">+K12*F12/30</f>
        <v>0</v>
      </c>
      <c r="M12" s="15"/>
      <c r="N12" s="15"/>
      <c r="O12" s="16">
        <f t="shared" ref="O12" si="24">+N12+M12+L12+J12+H12</f>
        <v>6740.7407407407409</v>
      </c>
      <c r="P12" s="15">
        <v>6</v>
      </c>
      <c r="Q12" s="16">
        <f t="shared" ref="Q12" si="25">+F12/30/E12*P12</f>
        <v>144.44444444444443</v>
      </c>
      <c r="R12" s="15">
        <v>815</v>
      </c>
      <c r="S12" s="15"/>
      <c r="T12" s="15"/>
      <c r="U12" s="16">
        <f t="shared" ref="U12" si="26">+F12/30*T12</f>
        <v>0</v>
      </c>
      <c r="V12" s="16"/>
      <c r="W12" s="16">
        <f t="shared" ref="W12" si="27">+H12/30*V12</f>
        <v>0</v>
      </c>
      <c r="X12" s="15"/>
      <c r="Y12" s="16">
        <f t="shared" ref="Y12" si="28">+F12/30*X12*1</f>
        <v>0</v>
      </c>
      <c r="Z12" s="15"/>
      <c r="AA12" s="16">
        <f t="shared" ref="AA12" si="29">+(F12/30*Z12)*0.25</f>
        <v>0</v>
      </c>
      <c r="AB12" s="16"/>
      <c r="AC12" s="16">
        <f t="shared" ref="AC12" si="30">AB12*11%</f>
        <v>0</v>
      </c>
      <c r="AD12" s="15"/>
      <c r="AE12" s="15"/>
      <c r="AF12" s="64">
        <f t="shared" ref="AF12" si="31">+AE12+AD12+Y12+U12+R12+Q12+AA12+S12+W12+AC12</f>
        <v>959.44444444444446</v>
      </c>
      <c r="AG12" s="17">
        <f t="shared" ref="AG12" si="32">+O12-AF12</f>
        <v>5781.2962962962965</v>
      </c>
      <c r="AH12" s="18"/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customHeight="1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customFormat="1" ht="21" x14ac:dyDescent="0.35">
      <c r="A16" s="52">
        <v>5</v>
      </c>
      <c r="B16" s="68" t="s">
        <v>51</v>
      </c>
      <c r="C16" s="52" t="s">
        <v>48</v>
      </c>
      <c r="D16" s="53" t="s">
        <v>43</v>
      </c>
      <c r="E16" s="74">
        <v>9</v>
      </c>
      <c r="F16" s="74">
        <v>6000</v>
      </c>
      <c r="G16" s="13">
        <v>29</v>
      </c>
      <c r="H16" s="14">
        <f t="shared" ref="H16" si="33">+F16/30*G16</f>
        <v>5800</v>
      </c>
      <c r="I16" s="15">
        <v>21</v>
      </c>
      <c r="J16" s="16">
        <f t="shared" ref="J16" si="34">+I16*F16/30/E16</f>
        <v>466.66666666666669</v>
      </c>
      <c r="K16" s="15"/>
      <c r="L16" s="16">
        <f t="shared" ref="L16" si="35">+K16*F16/30</f>
        <v>0</v>
      </c>
      <c r="M16" s="15"/>
      <c r="N16" s="15"/>
      <c r="O16" s="16">
        <f t="shared" ref="O16" si="36">+N16+M16+L16+J16+H16</f>
        <v>6266.666666666667</v>
      </c>
      <c r="P16" s="15">
        <v>4</v>
      </c>
      <c r="Q16" s="16">
        <f t="shared" ref="Q16" si="37">+F16/30/E16*P16</f>
        <v>88.888888888888886</v>
      </c>
      <c r="R16" s="15">
        <v>200</v>
      </c>
      <c r="S16" s="15"/>
      <c r="T16" s="15"/>
      <c r="U16" s="16">
        <f t="shared" ref="U16" si="38">+F16/30*T16</f>
        <v>0</v>
      </c>
      <c r="V16" s="16"/>
      <c r="W16" s="16">
        <f t="shared" ref="W16" si="39">+H16/30*V16</f>
        <v>0</v>
      </c>
      <c r="X16" s="15"/>
      <c r="Y16" s="16">
        <f t="shared" ref="Y16" si="40">+F16/30*X16*1</f>
        <v>0</v>
      </c>
      <c r="Z16" s="15"/>
      <c r="AA16" s="16">
        <f t="shared" ref="AA16" si="41">+(F16/30*Z16)*0.25</f>
        <v>0</v>
      </c>
      <c r="AB16" s="16"/>
      <c r="AC16" s="16">
        <f t="shared" ref="AC16" si="42">AB16*11%</f>
        <v>0</v>
      </c>
      <c r="AD16" s="15"/>
      <c r="AE16" s="15"/>
      <c r="AF16" s="64">
        <f t="shared" ref="AF16" si="43">+AE16+AD16+Y16+U16+R16+Q16+AA16+S16+W16+AC16</f>
        <v>288.88888888888891</v>
      </c>
      <c r="AG16" s="17">
        <f t="shared" ref="AG16" si="44">+O16-AF16</f>
        <v>5977.7777777777783</v>
      </c>
      <c r="AH16" s="18"/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customHeight="1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customFormat="1" ht="35.25" customHeight="1" x14ac:dyDescent="0.3">
      <c r="A20" s="52">
        <v>6</v>
      </c>
      <c r="B20" s="52" t="s">
        <v>52</v>
      </c>
      <c r="C20" s="52" t="s">
        <v>48</v>
      </c>
      <c r="D20" s="53" t="s">
        <v>43</v>
      </c>
      <c r="E20" s="74">
        <v>9</v>
      </c>
      <c r="F20" s="74">
        <v>6500</v>
      </c>
      <c r="G20" s="15">
        <v>29</v>
      </c>
      <c r="H20" s="16">
        <f t="shared" ref="H20" si="45">+F20/30*G20</f>
        <v>6283.333333333333</v>
      </c>
      <c r="I20" s="15">
        <v>2</v>
      </c>
      <c r="J20" s="16">
        <f t="shared" ref="J20" si="46">+I20*F20/30/E20</f>
        <v>48.148148148148145</v>
      </c>
      <c r="K20" s="15"/>
      <c r="L20" s="16">
        <f t="shared" ref="L20" si="47">+K20*F20/30</f>
        <v>0</v>
      </c>
      <c r="M20" s="15"/>
      <c r="N20" s="15"/>
      <c r="O20" s="16">
        <f t="shared" ref="O20" si="48">+N20+M20+L20+J20+H20</f>
        <v>6331.4814814814808</v>
      </c>
      <c r="P20" s="15">
        <v>2</v>
      </c>
      <c r="Q20" s="16">
        <f t="shared" ref="Q20" si="49">+F20/30/E20*P20</f>
        <v>48.148148148148145</v>
      </c>
      <c r="R20" s="15">
        <v>3300</v>
      </c>
      <c r="S20" s="15"/>
      <c r="T20" s="15">
        <v>2</v>
      </c>
      <c r="U20" s="16">
        <f t="shared" ref="U20" si="50">+F20/30*T20</f>
        <v>433.33333333333331</v>
      </c>
      <c r="V20" s="16"/>
      <c r="W20" s="16">
        <f t="shared" ref="W20" si="51">+H20/30*V20</f>
        <v>0</v>
      </c>
      <c r="X20" s="15"/>
      <c r="Y20" s="16">
        <f t="shared" ref="Y20" si="52">+F20/30*X20*1</f>
        <v>0</v>
      </c>
      <c r="Z20" s="15"/>
      <c r="AA20" s="16">
        <f t="shared" ref="AA20" si="53">+(F20/30*Z20)*0.25</f>
        <v>0</v>
      </c>
      <c r="AB20" s="16"/>
      <c r="AC20" s="16">
        <f t="shared" ref="AC20" si="54">AB20*11%</f>
        <v>0</v>
      </c>
      <c r="AD20" s="15"/>
      <c r="AE20" s="15">
        <v>700</v>
      </c>
      <c r="AF20" s="64">
        <f t="shared" ref="AF20" si="55">+AE20+AD20+Y20+U20+R20+Q20+AA20+S20+W20+AC20</f>
        <v>4481.4814814814808</v>
      </c>
      <c r="AG20" s="17">
        <f t="shared" ref="AG20" si="56">+O20-AF20</f>
        <v>1850</v>
      </c>
      <c r="AH20" s="18" t="s">
        <v>70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8.7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customFormat="1" ht="18.75" x14ac:dyDescent="0.3">
      <c r="A24" s="52">
        <v>7</v>
      </c>
      <c r="B24" s="52" t="s">
        <v>53</v>
      </c>
      <c r="C24" s="52" t="s">
        <v>48</v>
      </c>
      <c r="D24" s="53" t="s">
        <v>43</v>
      </c>
      <c r="E24" s="74">
        <v>9</v>
      </c>
      <c r="F24" s="74">
        <v>6000</v>
      </c>
      <c r="G24" s="15">
        <v>29</v>
      </c>
      <c r="H24" s="16">
        <f t="shared" ref="H24" si="57">+F24/30*G24</f>
        <v>5800</v>
      </c>
      <c r="I24" s="15">
        <v>22</v>
      </c>
      <c r="J24" s="16">
        <f t="shared" ref="J24" si="58">+I24*F24/30/E24</f>
        <v>488.88888888888891</v>
      </c>
      <c r="K24" s="15"/>
      <c r="L24" s="16">
        <f t="shared" ref="L24" si="59">+K24*F24/30</f>
        <v>0</v>
      </c>
      <c r="M24" s="15"/>
      <c r="N24" s="15"/>
      <c r="O24" s="16">
        <f t="shared" ref="O24" si="60">+N24+M24+L24+J24+H24</f>
        <v>6288.8888888888887</v>
      </c>
      <c r="P24" s="15"/>
      <c r="Q24" s="16">
        <f t="shared" ref="Q24" si="61">+F24/30/E24*P24</f>
        <v>0</v>
      </c>
      <c r="R24" s="15"/>
      <c r="S24" s="15"/>
      <c r="T24" s="15"/>
      <c r="U24" s="16">
        <f t="shared" ref="U24" si="62">+F24/30*T24</f>
        <v>0</v>
      </c>
      <c r="V24" s="16"/>
      <c r="W24" s="16">
        <f t="shared" ref="W24" si="63">+H24/30*V24</f>
        <v>0</v>
      </c>
      <c r="X24" s="15"/>
      <c r="Y24" s="16">
        <f t="shared" ref="Y24" si="64">+F24/30*X24*1</f>
        <v>0</v>
      </c>
      <c r="Z24" s="15"/>
      <c r="AA24" s="16">
        <f t="shared" ref="AA24" si="65">+(F24/30*Z24)*0.25</f>
        <v>0</v>
      </c>
      <c r="AB24" s="16"/>
      <c r="AC24" s="16">
        <f t="shared" ref="AC24" si="66">AB24*11%</f>
        <v>0</v>
      </c>
      <c r="AD24" s="15"/>
      <c r="AE24" s="15"/>
      <c r="AF24" s="64">
        <f t="shared" ref="AF24" si="67">+AE24+AD24+Y24+U24+R24+Q24+AA24+S24+W24+AC24</f>
        <v>0</v>
      </c>
      <c r="AG24" s="17">
        <f t="shared" ref="AG24" si="68">+O24-AF24</f>
        <v>6288.8888888888887</v>
      </c>
      <c r="AH24" s="18"/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7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customFormat="1" ht="42.75" customHeight="1" x14ac:dyDescent="0.3">
      <c r="A28" s="52">
        <v>8</v>
      </c>
      <c r="B28" s="52" t="s">
        <v>54</v>
      </c>
      <c r="C28" s="52" t="s">
        <v>48</v>
      </c>
      <c r="D28" s="53" t="s">
        <v>55</v>
      </c>
      <c r="E28" s="74">
        <v>9</v>
      </c>
      <c r="F28" s="74">
        <v>6000</v>
      </c>
      <c r="G28" s="15">
        <v>26</v>
      </c>
      <c r="H28" s="16">
        <f t="shared" ref="H28" si="69">+F28/30*G28</f>
        <v>5200</v>
      </c>
      <c r="I28" s="15"/>
      <c r="J28" s="16">
        <f t="shared" ref="J28" si="70">+I28*F28/30/E28</f>
        <v>0</v>
      </c>
      <c r="K28" s="15"/>
      <c r="L28" s="16">
        <f t="shared" ref="L28" si="71">+K28*F28/30</f>
        <v>0</v>
      </c>
      <c r="M28" s="15"/>
      <c r="N28" s="15"/>
      <c r="O28" s="16">
        <f t="shared" ref="O28" si="72">+N28+M28+L28+J28+H28</f>
        <v>5200</v>
      </c>
      <c r="P28" s="15">
        <v>7</v>
      </c>
      <c r="Q28" s="16">
        <f t="shared" ref="Q28" si="73">+F28/30/E28*P28</f>
        <v>155.55555555555554</v>
      </c>
      <c r="R28" s="15">
        <v>1030</v>
      </c>
      <c r="S28" s="15"/>
      <c r="T28" s="15"/>
      <c r="U28" s="16">
        <f t="shared" ref="U28" si="74">+F28/30*T28</f>
        <v>0</v>
      </c>
      <c r="V28" s="16"/>
      <c r="W28" s="16">
        <f t="shared" ref="W28" si="75">+H28/30*V28</f>
        <v>0</v>
      </c>
      <c r="X28" s="15">
        <v>3</v>
      </c>
      <c r="Y28" s="16">
        <f t="shared" ref="Y28" si="76">+F28/30*X28*1</f>
        <v>600</v>
      </c>
      <c r="Z28" s="15"/>
      <c r="AA28" s="16">
        <f t="shared" ref="AA28" si="77">+(F28/30*Z28)*0.25</f>
        <v>0</v>
      </c>
      <c r="AB28" s="16"/>
      <c r="AC28" s="16">
        <f t="shared" ref="AC28" si="78">AB28*11%</f>
        <v>0</v>
      </c>
      <c r="AD28" s="15"/>
      <c r="AE28" s="15"/>
      <c r="AF28" s="64">
        <f t="shared" ref="AF28" si="79">+AE28+AD28+Y28+U28+R28+Q28+AA28+S28+W28+AC28</f>
        <v>1785.5555555555557</v>
      </c>
      <c r="AG28" s="17">
        <f t="shared" ref="AG28" si="80">+O28-AF28</f>
        <v>3414.4444444444443</v>
      </c>
      <c r="AH28" s="18" t="s">
        <v>71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8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customFormat="1" ht="21" x14ac:dyDescent="0.3">
      <c r="A32" s="52">
        <v>9</v>
      </c>
      <c r="B32" s="56" t="s">
        <v>56</v>
      </c>
      <c r="C32" s="52" t="s">
        <v>48</v>
      </c>
      <c r="D32" s="53" t="s">
        <v>40</v>
      </c>
      <c r="E32" s="74">
        <v>9</v>
      </c>
      <c r="F32" s="74">
        <v>6000</v>
      </c>
      <c r="G32" s="15">
        <v>29</v>
      </c>
      <c r="H32" s="16">
        <f t="shared" ref="H32" si="81">+F32/30*G32</f>
        <v>5800</v>
      </c>
      <c r="I32" s="15">
        <v>4</v>
      </c>
      <c r="J32" s="16">
        <f t="shared" ref="J32" si="82">+I32*F32/30/E32</f>
        <v>88.888888888888886</v>
      </c>
      <c r="K32" s="15"/>
      <c r="L32" s="16">
        <f t="shared" ref="L32" si="83">+K32*F32/30</f>
        <v>0</v>
      </c>
      <c r="M32" s="15"/>
      <c r="N32" s="15"/>
      <c r="O32" s="16">
        <f t="shared" ref="O32" si="84">+N32+M32+L32+J32+H32</f>
        <v>5888.8888888888887</v>
      </c>
      <c r="P32" s="15"/>
      <c r="Q32" s="16">
        <f t="shared" ref="Q32" si="85">+F32/30/E32*P32</f>
        <v>0</v>
      </c>
      <c r="R32" s="15">
        <v>2210</v>
      </c>
      <c r="S32" s="15"/>
      <c r="T32" s="15"/>
      <c r="U32" s="16">
        <f t="shared" ref="U32" si="86">+F32/30*T32</f>
        <v>0</v>
      </c>
      <c r="V32" s="16"/>
      <c r="W32" s="16">
        <f t="shared" ref="W32" si="87">+H32/30*V32</f>
        <v>0</v>
      </c>
      <c r="X32" s="15"/>
      <c r="Y32" s="16">
        <f t="shared" ref="Y32" si="88">+F32/30*X32*1</f>
        <v>0</v>
      </c>
      <c r="Z32" s="15"/>
      <c r="AA32" s="16">
        <f t="shared" ref="AA32" si="89">+(F32/30*Z32)*0.25</f>
        <v>0</v>
      </c>
      <c r="AB32" s="16"/>
      <c r="AC32" s="16">
        <f t="shared" ref="AC32" si="90">AB32*11%</f>
        <v>0</v>
      </c>
      <c r="AD32" s="15"/>
      <c r="AE32" s="15"/>
      <c r="AF32" s="64">
        <f t="shared" ref="AF32" si="91">+AE32+AD32+Y32+U32+R32+Q32+AA32+S32+W32+AC32</f>
        <v>2210</v>
      </c>
      <c r="AG32" s="17">
        <f t="shared" ref="AG32" si="92">+O32-AF32</f>
        <v>3678.8888888888887</v>
      </c>
      <c r="AH32" s="18"/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56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customFormat="1" ht="18.75" customHeight="1" x14ac:dyDescent="0.3">
      <c r="A36" s="52">
        <v>14</v>
      </c>
      <c r="B36" s="52" t="s">
        <v>41</v>
      </c>
      <c r="C36" s="52" t="s">
        <v>48</v>
      </c>
      <c r="D36" s="53" t="s">
        <v>44</v>
      </c>
      <c r="E36" s="74">
        <v>9</v>
      </c>
      <c r="F36" s="74">
        <v>10000</v>
      </c>
      <c r="G36" s="15">
        <v>30</v>
      </c>
      <c r="H36" s="16">
        <f t="shared" ref="H36" si="93">+F36/30*G36</f>
        <v>10000</v>
      </c>
      <c r="I36" s="15"/>
      <c r="J36" s="16">
        <f t="shared" ref="J36" si="94">+I36*F36/30/E36</f>
        <v>0</v>
      </c>
      <c r="K36" s="15"/>
      <c r="L36" s="16">
        <f t="shared" ref="L36" si="95">+K36*F36/30</f>
        <v>0</v>
      </c>
      <c r="M36" s="15">
        <v>2000</v>
      </c>
      <c r="N36" s="15"/>
      <c r="O36" s="16">
        <f t="shared" ref="O36" si="96">+N36+M36+L36+J36+H36</f>
        <v>12000</v>
      </c>
      <c r="P36" s="15">
        <v>3</v>
      </c>
      <c r="Q36" s="16">
        <f t="shared" ref="Q36" si="97">+F36/30/E36*P36</f>
        <v>111.11111111111111</v>
      </c>
      <c r="R36" s="15">
        <v>3440</v>
      </c>
      <c r="S36" s="15"/>
      <c r="T36" s="15">
        <v>1</v>
      </c>
      <c r="U36" s="16">
        <f t="shared" ref="U36" si="98">+F36/30*T36</f>
        <v>333.33333333333331</v>
      </c>
      <c r="V36" s="16"/>
      <c r="W36" s="16">
        <f t="shared" ref="W36" si="99">+H36/30*V36</f>
        <v>0</v>
      </c>
      <c r="X36" s="15"/>
      <c r="Y36" s="16">
        <f t="shared" ref="Y36" si="100">+F36/30*X36*1</f>
        <v>0</v>
      </c>
      <c r="Z36" s="15"/>
      <c r="AA36" s="16">
        <f t="shared" ref="AA36" si="101">+(F36/30*Z36)*0.25</f>
        <v>0</v>
      </c>
      <c r="AB36" s="16"/>
      <c r="AC36" s="16">
        <f t="shared" ref="AC36" si="102">AB36*11%</f>
        <v>0</v>
      </c>
      <c r="AD36" s="15"/>
      <c r="AE36" s="15">
        <v>175</v>
      </c>
      <c r="AF36" s="64">
        <f t="shared" ref="AF36" si="103">+AE36+AD36+Y36+U36+R36+Q36+AA36+S36+W36+AC36</f>
        <v>4059.4444444444448</v>
      </c>
      <c r="AG36" s="17">
        <f t="shared" ref="AG36" si="104">+O36-AF36</f>
        <v>7940.5555555555547</v>
      </c>
      <c r="AH36" s="18" t="s">
        <v>73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8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customFormat="1" ht="18.75" x14ac:dyDescent="0.3">
      <c r="A40" s="52">
        <v>15</v>
      </c>
      <c r="B40" s="52" t="s">
        <v>42</v>
      </c>
      <c r="C40" s="52" t="s">
        <v>48</v>
      </c>
      <c r="D40" s="53" t="s">
        <v>60</v>
      </c>
      <c r="E40" s="74">
        <v>9</v>
      </c>
      <c r="F40" s="74">
        <v>10000</v>
      </c>
      <c r="G40" s="15">
        <v>30</v>
      </c>
      <c r="H40" s="16">
        <f t="shared" ref="H40" si="105">+F40/30*G40</f>
        <v>10000</v>
      </c>
      <c r="I40" s="15"/>
      <c r="J40" s="16">
        <f t="shared" ref="J40" si="106">+I40*F40/30/E40</f>
        <v>0</v>
      </c>
      <c r="K40" s="15"/>
      <c r="L40" s="16">
        <f t="shared" ref="L40" si="107">+K40*F40/30</f>
        <v>0</v>
      </c>
      <c r="M40" s="15">
        <v>2000</v>
      </c>
      <c r="N40" s="15"/>
      <c r="O40" s="16">
        <f t="shared" ref="O40" si="108">+N40+M40+L40+J40+H40</f>
        <v>12000</v>
      </c>
      <c r="P40" s="15"/>
      <c r="Q40" s="16">
        <f t="shared" ref="Q40" si="109">+F40/30/E40*P40</f>
        <v>0</v>
      </c>
      <c r="R40" s="15">
        <v>1600</v>
      </c>
      <c r="S40" s="15"/>
      <c r="T40" s="15"/>
      <c r="U40" s="16">
        <f t="shared" ref="U40" si="110">+F40/30*T40</f>
        <v>0</v>
      </c>
      <c r="V40" s="16"/>
      <c r="W40" s="16">
        <f t="shared" ref="W40" si="111">+H40/30*V40</f>
        <v>0</v>
      </c>
      <c r="X40" s="15"/>
      <c r="Y40" s="16">
        <f t="shared" ref="Y40" si="112">+F40/30*X40*1</f>
        <v>0</v>
      </c>
      <c r="Z40" s="15"/>
      <c r="AA40" s="16">
        <f t="shared" ref="AA40" si="113">+(F40/30*Z40)*0.25</f>
        <v>0</v>
      </c>
      <c r="AB40" s="16"/>
      <c r="AC40" s="16">
        <f t="shared" ref="AC40" si="114">AB40*11%</f>
        <v>0</v>
      </c>
      <c r="AD40" s="15"/>
      <c r="AE40" s="15"/>
      <c r="AF40" s="64">
        <f t="shared" ref="AF40" si="115">+AE40+AD40+Y40+U40+R40+Q40+AA40+S40+W40+AC40</f>
        <v>1600</v>
      </c>
      <c r="AG40" s="17">
        <f t="shared" ref="AG40" si="116">+O40-AF40</f>
        <v>10400</v>
      </c>
      <c r="AH40" s="18"/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50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customFormat="1" ht="48" customHeight="1" x14ac:dyDescent="0.3">
      <c r="A44" s="52">
        <v>13</v>
      </c>
      <c r="B44" s="52" t="s">
        <v>59</v>
      </c>
      <c r="C44" s="52" t="s">
        <v>48</v>
      </c>
      <c r="D44" s="53" t="s">
        <v>43</v>
      </c>
      <c r="E44" s="74">
        <v>9</v>
      </c>
      <c r="F44" s="74">
        <v>7500</v>
      </c>
      <c r="G44" s="15">
        <v>27</v>
      </c>
      <c r="H44" s="16">
        <f t="shared" ref="H44" si="117">+F44/30*G44</f>
        <v>6750</v>
      </c>
      <c r="I44" s="15"/>
      <c r="J44" s="16">
        <f t="shared" ref="J44" si="118">+I44*F44/30/E44</f>
        <v>0</v>
      </c>
      <c r="K44" s="15"/>
      <c r="L44" s="16">
        <f t="shared" ref="L44" si="119">+K44*F44/30</f>
        <v>0</v>
      </c>
      <c r="M44" s="15"/>
      <c r="N44" s="15"/>
      <c r="O44" s="16">
        <f t="shared" ref="O44" si="120">+N44+M44+L44+J44+H44</f>
        <v>6750</v>
      </c>
      <c r="P44" s="15"/>
      <c r="Q44" s="16">
        <f t="shared" ref="Q44" si="121">+F44/30/E44*P44</f>
        <v>0</v>
      </c>
      <c r="R44" s="15">
        <v>4725</v>
      </c>
      <c r="S44" s="15"/>
      <c r="T44" s="15">
        <v>2</v>
      </c>
      <c r="U44" s="16">
        <f t="shared" ref="U44" si="122">+F44/30*T44</f>
        <v>500</v>
      </c>
      <c r="V44" s="16"/>
      <c r="W44" s="16">
        <f t="shared" ref="W44" si="123">+H44/30*V44</f>
        <v>0</v>
      </c>
      <c r="X44" s="15"/>
      <c r="Y44" s="16">
        <f t="shared" ref="Y44" si="124">+F44/30*X44*1</f>
        <v>0</v>
      </c>
      <c r="Z44" s="15"/>
      <c r="AA44" s="16">
        <f t="shared" ref="AA44" si="125">+(F44/30*Z44)*0.25</f>
        <v>0</v>
      </c>
      <c r="AB44" s="16"/>
      <c r="AC44" s="16">
        <f t="shared" ref="AC44" si="126">AB44*11%</f>
        <v>0</v>
      </c>
      <c r="AD44" s="15"/>
      <c r="AE44" s="15"/>
      <c r="AF44" s="64">
        <f t="shared" ref="AF44" si="127">+AE44+AD44+Y44+U44+R44+Q44+AA44+S44+W44+AC44</f>
        <v>5225</v>
      </c>
      <c r="AG44" s="17">
        <f t="shared" ref="AG44" si="128">+O44-AF44</f>
        <v>1525</v>
      </c>
      <c r="AH44" s="18" t="s">
        <v>75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52.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customFormat="1" ht="23.25" x14ac:dyDescent="0.35">
      <c r="A48" s="52">
        <v>16</v>
      </c>
      <c r="B48" s="76" t="s">
        <v>63</v>
      </c>
      <c r="C48" s="52" t="s">
        <v>48</v>
      </c>
      <c r="D48" s="53" t="s">
        <v>40</v>
      </c>
      <c r="E48" s="74">
        <v>9</v>
      </c>
      <c r="F48" s="74">
        <v>6000</v>
      </c>
      <c r="G48" s="15">
        <v>21</v>
      </c>
      <c r="H48" s="16">
        <f t="shared" ref="H48" si="129">+F48/30*G48</f>
        <v>4200</v>
      </c>
      <c r="I48" s="15">
        <v>10</v>
      </c>
      <c r="J48" s="16">
        <f t="shared" ref="J48" si="130">+I48*F48/30/E48</f>
        <v>222.22222222222223</v>
      </c>
      <c r="K48" s="15"/>
      <c r="L48" s="16">
        <f t="shared" ref="L48" si="131">+K48*F48/30</f>
        <v>0</v>
      </c>
      <c r="M48" s="15"/>
      <c r="N48" s="15"/>
      <c r="O48" s="16">
        <f t="shared" ref="O48" si="132">+N48+M48+L48+J48+H48</f>
        <v>4422.2222222222226</v>
      </c>
      <c r="P48" s="15">
        <v>2</v>
      </c>
      <c r="Q48" s="16">
        <f t="shared" ref="Q48" si="133">+F48/30/E48*P48</f>
        <v>44.444444444444443</v>
      </c>
      <c r="R48" s="15">
        <v>635</v>
      </c>
      <c r="S48" s="15"/>
      <c r="T48" s="15"/>
      <c r="U48" s="16">
        <f t="shared" ref="U48" si="134">+F48/30*T48</f>
        <v>0</v>
      </c>
      <c r="V48" s="16"/>
      <c r="W48" s="16">
        <f t="shared" ref="W48" si="135">+H48/30*V48</f>
        <v>0</v>
      </c>
      <c r="X48" s="15"/>
      <c r="Y48" s="16">
        <f t="shared" ref="Y48" si="136">+F48/30*X48*1</f>
        <v>0</v>
      </c>
      <c r="Z48" s="15"/>
      <c r="AA48" s="16">
        <f t="shared" ref="AA48" si="137">+(F48/30*Z48)*0.25</f>
        <v>0</v>
      </c>
      <c r="AB48" s="16"/>
      <c r="AC48" s="16">
        <f t="shared" ref="AC48" si="138">AB48*11%</f>
        <v>0</v>
      </c>
      <c r="AD48" s="15"/>
      <c r="AE48" s="15"/>
      <c r="AF48" s="64">
        <f t="shared" ref="AF48" si="139">+AE48+AD48+Y48+U48+R48+Q48+AA48+S48+W48+AC48</f>
        <v>679.44444444444446</v>
      </c>
      <c r="AG48" s="17">
        <f t="shared" ref="AG48" si="140">+O48-AF48</f>
        <v>3742.7777777777783</v>
      </c>
      <c r="AH48" s="18"/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7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customFormat="1" ht="23.25" x14ac:dyDescent="0.3">
      <c r="A52" s="52">
        <v>17</v>
      </c>
      <c r="B52" s="67" t="s">
        <v>64</v>
      </c>
      <c r="C52" s="52" t="s">
        <v>48</v>
      </c>
      <c r="D52" s="53" t="s">
        <v>44</v>
      </c>
      <c r="E52" s="74">
        <v>9</v>
      </c>
      <c r="F52" s="74">
        <v>10000</v>
      </c>
      <c r="G52" s="15">
        <v>30</v>
      </c>
      <c r="H52" s="16">
        <f t="shared" ref="H52" si="141">+F52/30*G52</f>
        <v>10000</v>
      </c>
      <c r="I52" s="15">
        <v>50</v>
      </c>
      <c r="J52" s="16">
        <f t="shared" ref="J52" si="142">+I52*F52/30/E52</f>
        <v>1851.851851851852</v>
      </c>
      <c r="K52" s="15"/>
      <c r="L52" s="16">
        <f t="shared" ref="L52" si="143">+K52*F52/30</f>
        <v>0</v>
      </c>
      <c r="M52" s="15"/>
      <c r="N52" s="15"/>
      <c r="O52" s="16">
        <f t="shared" ref="O52" si="144">+N52+M52+L52+J52+H52</f>
        <v>11851.851851851852</v>
      </c>
      <c r="P52" s="15"/>
      <c r="Q52" s="16">
        <f t="shared" ref="Q52" si="145">+F52/30/E52*P52</f>
        <v>0</v>
      </c>
      <c r="R52" s="15">
        <v>3000</v>
      </c>
      <c r="S52" s="15"/>
      <c r="T52" s="15"/>
      <c r="U52" s="16">
        <f t="shared" ref="U52" si="146">+F52/30*T52</f>
        <v>0</v>
      </c>
      <c r="V52" s="16"/>
      <c r="W52" s="16">
        <f t="shared" ref="W52" si="147">+H52/30*V52</f>
        <v>0</v>
      </c>
      <c r="X52" s="15"/>
      <c r="Y52" s="16">
        <f t="shared" ref="Y52" si="148">+F52/30*X52*1</f>
        <v>0</v>
      </c>
      <c r="Z52" s="15"/>
      <c r="AA52" s="16">
        <f t="shared" ref="AA52" si="149">+(F52/30*Z52)*0.25</f>
        <v>0</v>
      </c>
      <c r="AB52" s="16"/>
      <c r="AC52" s="16">
        <f t="shared" ref="AC52" si="150">AB52*11%</f>
        <v>0</v>
      </c>
      <c r="AD52" s="15"/>
      <c r="AE52" s="15"/>
      <c r="AF52" s="64">
        <f t="shared" ref="AF52" si="151">+AE52+AD52+Y52+U52+R52+Q52+AA52+S52+W52+AC52</f>
        <v>3000</v>
      </c>
      <c r="AG52" s="17">
        <f t="shared" ref="AG52" si="152">+O52-AF52</f>
        <v>8851.8518518518522</v>
      </c>
      <c r="AH52" s="18"/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9.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customFormat="1" ht="23.25" x14ac:dyDescent="0.3">
      <c r="A56" s="52">
        <v>18</v>
      </c>
      <c r="B56" s="67" t="s">
        <v>61</v>
      </c>
      <c r="C56" s="52" t="s">
        <v>48</v>
      </c>
      <c r="D56" s="53" t="s">
        <v>44</v>
      </c>
      <c r="E56" s="74">
        <v>9</v>
      </c>
      <c r="F56" s="74">
        <v>8000</v>
      </c>
      <c r="G56" s="15">
        <v>21</v>
      </c>
      <c r="H56" s="16">
        <f t="shared" ref="H56" si="153">+F56/30*G56</f>
        <v>5600</v>
      </c>
      <c r="I56" s="15">
        <v>28</v>
      </c>
      <c r="J56" s="16">
        <f t="shared" ref="J56" si="154">+I56*F56/30/E56</f>
        <v>829.62962962962968</v>
      </c>
      <c r="K56" s="15"/>
      <c r="L56" s="16">
        <f t="shared" ref="L56" si="155">+K56*F56/30</f>
        <v>0</v>
      </c>
      <c r="M56" s="15"/>
      <c r="N56" s="15"/>
      <c r="O56" s="16">
        <f t="shared" ref="O56" si="156">+N56+M56+L56+J56+H56</f>
        <v>6429.6296296296296</v>
      </c>
      <c r="P56" s="15"/>
      <c r="Q56" s="16">
        <f t="shared" ref="Q56" si="157">+F56/30/E56*P56</f>
        <v>0</v>
      </c>
      <c r="R56" s="15">
        <v>3895</v>
      </c>
      <c r="S56" s="15"/>
      <c r="T56" s="15"/>
      <c r="U56" s="16">
        <f t="shared" ref="U56" si="158">+F56/30*T56</f>
        <v>0</v>
      </c>
      <c r="V56" s="16"/>
      <c r="W56" s="16">
        <f t="shared" ref="W56" si="159">+H56/30*V56</f>
        <v>0</v>
      </c>
      <c r="X56" s="15"/>
      <c r="Y56" s="16">
        <f t="shared" ref="Y56" si="160">+F56/30*X56*1</f>
        <v>0</v>
      </c>
      <c r="Z56" s="15"/>
      <c r="AA56" s="16">
        <f t="shared" ref="AA56" si="161">+(F56/30*Z56)*0.25</f>
        <v>0</v>
      </c>
      <c r="AB56" s="16"/>
      <c r="AC56" s="16">
        <f t="shared" ref="AC56" si="162">AB56*11%</f>
        <v>0</v>
      </c>
      <c r="AD56" s="15"/>
      <c r="AE56" s="15"/>
      <c r="AF56" s="64">
        <f t="shared" ref="AF56" si="163">+AE56+AD56+Y56+U56+R56+Q56+AA56+S56+W56+AC56</f>
        <v>3895</v>
      </c>
      <c r="AG56" s="17">
        <f t="shared" ref="AG56" si="164">+O56-AF56</f>
        <v>2534.6296296296296</v>
      </c>
      <c r="AH56" s="18"/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54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customFormat="1" ht="33" customHeight="1" x14ac:dyDescent="0.3">
      <c r="A60" s="52">
        <v>12</v>
      </c>
      <c r="B60" s="52" t="s">
        <v>62</v>
      </c>
      <c r="C60" s="52" t="s">
        <v>48</v>
      </c>
      <c r="D60" s="53" t="s">
        <v>43</v>
      </c>
      <c r="E60" s="74">
        <v>9</v>
      </c>
      <c r="F60" s="74">
        <v>7000</v>
      </c>
      <c r="G60" s="15">
        <v>29</v>
      </c>
      <c r="H60" s="16">
        <f t="shared" ref="H60" si="165">+F60/30*G60</f>
        <v>6766.666666666667</v>
      </c>
      <c r="I60" s="15"/>
      <c r="J60" s="16">
        <f t="shared" ref="J60" si="166">+I60*F60/30/E60</f>
        <v>0</v>
      </c>
      <c r="K60" s="15"/>
      <c r="L60" s="16">
        <f t="shared" ref="L60" si="167">+K60*F60/30</f>
        <v>0</v>
      </c>
      <c r="M60" s="15"/>
      <c r="N60" s="15"/>
      <c r="O60" s="16">
        <f t="shared" ref="O60" si="168">+N60+M60+L60+J60+H60</f>
        <v>6766.666666666667</v>
      </c>
      <c r="P60" s="15"/>
      <c r="Q60" s="16">
        <f t="shared" ref="Q60" si="169">+F60/30/E60*P60</f>
        <v>0</v>
      </c>
      <c r="R60" s="15">
        <v>3910</v>
      </c>
      <c r="S60" s="15"/>
      <c r="T60" s="15">
        <v>1</v>
      </c>
      <c r="U60" s="16">
        <f t="shared" ref="U60" si="170">+F60/30*T60</f>
        <v>233.33333333333334</v>
      </c>
      <c r="V60" s="16"/>
      <c r="W60" s="16">
        <f t="shared" ref="W60" si="171">+H60/30*V60</f>
        <v>0</v>
      </c>
      <c r="X60" s="15"/>
      <c r="Y60" s="16">
        <f t="shared" ref="Y60" si="172">+F60/30*X60*1</f>
        <v>0</v>
      </c>
      <c r="Z60" s="15"/>
      <c r="AA60" s="16">
        <f t="shared" ref="AA60" si="173">+(F60/30*Z60)*0.25</f>
        <v>0</v>
      </c>
      <c r="AB60" s="16"/>
      <c r="AC60" s="16">
        <f t="shared" ref="AC60" si="174">AB60*11%</f>
        <v>0</v>
      </c>
      <c r="AD60" s="15"/>
      <c r="AE60" s="15">
        <v>590</v>
      </c>
      <c r="AF60" s="64">
        <f t="shared" ref="AF60" si="175">+AE60+AD60+Y60+U60+R60+Q60+AA60+S60+W60+AC60</f>
        <v>4733.333333333333</v>
      </c>
      <c r="AG60" s="17">
        <f t="shared" ref="AG60" si="176">+O60-AF60</f>
        <v>2033.3333333333339</v>
      </c>
      <c r="AH60" s="18" t="s">
        <v>74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52.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customFormat="1" ht="18.75" x14ac:dyDescent="0.3">
      <c r="A64" s="52">
        <v>11</v>
      </c>
      <c r="B64" s="52" t="s">
        <v>58</v>
      </c>
      <c r="C64" s="52" t="s">
        <v>48</v>
      </c>
      <c r="D64" s="53" t="s">
        <v>40</v>
      </c>
      <c r="E64" s="74">
        <v>9</v>
      </c>
      <c r="F64" s="74">
        <v>6500</v>
      </c>
      <c r="G64" s="15">
        <v>13</v>
      </c>
      <c r="H64" s="16">
        <f t="shared" ref="H64" si="177">+F64/30*G64</f>
        <v>2816.6666666666665</v>
      </c>
      <c r="I64" s="15"/>
      <c r="J64" s="16">
        <f t="shared" ref="J64" si="178">+I64*F64/30/E64</f>
        <v>0</v>
      </c>
      <c r="K64" s="15"/>
      <c r="L64" s="16">
        <f t="shared" ref="L64" si="179">+K64*F64/30</f>
        <v>0</v>
      </c>
      <c r="M64" s="15"/>
      <c r="N64" s="15"/>
      <c r="O64" s="16">
        <f t="shared" ref="O64" si="180">+N64+M64+L64+J64+H64</f>
        <v>2816.6666666666665</v>
      </c>
      <c r="P64" s="15"/>
      <c r="Q64" s="16">
        <f t="shared" ref="Q64" si="181">+F64/30/E64*P64</f>
        <v>0</v>
      </c>
      <c r="R64" s="15">
        <v>700</v>
      </c>
      <c r="S64" s="15"/>
      <c r="T64" s="15"/>
      <c r="U64" s="16">
        <f t="shared" ref="U64" si="182">+F64/30*T64</f>
        <v>0</v>
      </c>
      <c r="V64" s="16"/>
      <c r="W64" s="16">
        <f t="shared" ref="W64" si="183">+H64/30*V64</f>
        <v>0</v>
      </c>
      <c r="X64" s="15"/>
      <c r="Y64" s="16">
        <f t="shared" ref="Y64" si="184">+F64/30*X64*1</f>
        <v>0</v>
      </c>
      <c r="Z64" s="15"/>
      <c r="AA64" s="16">
        <f t="shared" ref="AA64" si="185">+(F64/30*Z64)*0.25</f>
        <v>0</v>
      </c>
      <c r="AB64" s="16"/>
      <c r="AC64" s="16">
        <f t="shared" ref="AC64" si="186">AB64*11%</f>
        <v>0</v>
      </c>
      <c r="AD64" s="15"/>
      <c r="AE64" s="15"/>
      <c r="AF64" s="64">
        <f t="shared" ref="AF64" si="187">+AE64+AD64+Y64+U64+R64+Q64+AA64+S64+W64+AC64</f>
        <v>700</v>
      </c>
      <c r="AG64" s="17">
        <f t="shared" ref="AG64" si="188">+O64-AF64</f>
        <v>2116.6666666666665</v>
      </c>
      <c r="AH64" s="18"/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8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customFormat="1" ht="18.75" x14ac:dyDescent="0.3">
      <c r="A68" s="52">
        <v>10</v>
      </c>
      <c r="B68" s="52" t="s">
        <v>57</v>
      </c>
      <c r="C68" s="52" t="s">
        <v>48</v>
      </c>
      <c r="D68" s="53" t="s">
        <v>43</v>
      </c>
      <c r="E68" s="74">
        <v>9</v>
      </c>
      <c r="F68" s="74">
        <v>5500</v>
      </c>
      <c r="G68" s="15">
        <v>7</v>
      </c>
      <c r="H68" s="16">
        <f t="shared" ref="H68" si="189">+F68/30*G68</f>
        <v>1283.3333333333335</v>
      </c>
      <c r="I68" s="15"/>
      <c r="J68" s="16">
        <f t="shared" ref="J68" si="190">+I68*F68/30/E68</f>
        <v>0</v>
      </c>
      <c r="K68" s="15"/>
      <c r="L68" s="16">
        <f t="shared" ref="L68" si="191">+K68*F68/30</f>
        <v>0</v>
      </c>
      <c r="M68" s="15"/>
      <c r="N68" s="15"/>
      <c r="O68" s="16">
        <f t="shared" ref="O68" si="192">+N68+M68+L68+J68+H68</f>
        <v>1283.3333333333335</v>
      </c>
      <c r="P68" s="15"/>
      <c r="Q68" s="16">
        <f t="shared" ref="Q68" si="193">+F68/30/E68*P68</f>
        <v>0</v>
      </c>
      <c r="R68" s="15"/>
      <c r="S68" s="15"/>
      <c r="T68" s="15"/>
      <c r="U68" s="16">
        <f t="shared" ref="U68" si="194">+F68/30*T68</f>
        <v>0</v>
      </c>
      <c r="V68" s="16"/>
      <c r="W68" s="16">
        <f t="shared" ref="W68" si="195">+H68/30*V68</f>
        <v>0</v>
      </c>
      <c r="X68" s="15"/>
      <c r="Y68" s="16">
        <f t="shared" ref="Y68" si="196">+F68/30*X68*1</f>
        <v>0</v>
      </c>
      <c r="Z68" s="15"/>
      <c r="AA68" s="16">
        <f t="shared" ref="AA68" si="197">+(F68/30*Z68)*0.25</f>
        <v>0</v>
      </c>
      <c r="AB68" s="16"/>
      <c r="AC68" s="16">
        <f t="shared" ref="AC68" si="198">AB68*11%</f>
        <v>0</v>
      </c>
      <c r="AD68" s="15"/>
      <c r="AE68" s="15"/>
      <c r="AF68" s="64">
        <f t="shared" ref="AF68" si="199">+AE68+AD68+Y68+U68+R68+Q68+AA68+S68+W68+AC68</f>
        <v>0</v>
      </c>
      <c r="AG68" s="17">
        <f t="shared" ref="AG68" si="200">+O68-AF68</f>
        <v>1283.3333333333335</v>
      </c>
      <c r="AH68" s="18"/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50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customFormat="1" ht="23.25" x14ac:dyDescent="0.25">
      <c r="A72" s="52">
        <v>23</v>
      </c>
      <c r="B72" s="67" t="s">
        <v>65</v>
      </c>
      <c r="C72" s="52" t="s">
        <v>48</v>
      </c>
      <c r="D72" s="67" t="s">
        <v>46</v>
      </c>
      <c r="E72" s="12">
        <v>9</v>
      </c>
      <c r="F72" s="74">
        <v>4000</v>
      </c>
      <c r="G72" s="15">
        <v>27</v>
      </c>
      <c r="H72" s="16">
        <f t="shared" ref="H72" si="201">+F72/30*G72</f>
        <v>3600.0000000000005</v>
      </c>
      <c r="I72" s="15"/>
      <c r="J72" s="16">
        <f t="shared" ref="J72" si="202">+I72*F72/30/E72</f>
        <v>0</v>
      </c>
      <c r="K72" s="15"/>
      <c r="L72" s="16">
        <f t="shared" ref="L72" si="203">+K72*F72/30</f>
        <v>0</v>
      </c>
      <c r="M72" s="15"/>
      <c r="N72" s="15"/>
      <c r="O72" s="16">
        <f t="shared" ref="O72" si="204">+N72+M72+L72+J72+H72</f>
        <v>3600.0000000000005</v>
      </c>
      <c r="P72" s="15"/>
      <c r="Q72" s="16">
        <f t="shared" ref="Q72" si="205">+F72/30/E72*P72</f>
        <v>0</v>
      </c>
      <c r="R72" s="15"/>
      <c r="S72" s="15"/>
      <c r="T72" s="15"/>
      <c r="U72" s="16">
        <f t="shared" ref="U72" si="206">+F72/30*T72</f>
        <v>0</v>
      </c>
      <c r="V72" s="16"/>
      <c r="W72" s="16">
        <f t="shared" ref="W72" si="207">+H72/30*V72</f>
        <v>0</v>
      </c>
      <c r="X72" s="15"/>
      <c r="Y72" s="16">
        <f t="shared" ref="Y72" si="208">+F72/30*X72*1</f>
        <v>0</v>
      </c>
      <c r="Z72" s="15"/>
      <c r="AA72" s="16">
        <f t="shared" ref="AA72" si="209">+(F72/30*Z72)*0.25</f>
        <v>0</v>
      </c>
      <c r="AB72" s="16"/>
      <c r="AC72" s="16">
        <f t="shared" ref="AC72" si="210">AB72*11%</f>
        <v>0</v>
      </c>
      <c r="AD72" s="15"/>
      <c r="AE72" s="15"/>
      <c r="AF72" s="64">
        <f t="shared" ref="AF72" si="211">+AE72+AD72+Y72+U72+R72+Q72+AA72+S72+W72+AC72</f>
        <v>0</v>
      </c>
      <c r="AG72" s="17">
        <f t="shared" ref="AG72" si="212">+O72-AF72</f>
        <v>3600.0000000000005</v>
      </c>
      <c r="AH72" s="18"/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51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customFormat="1" ht="23.25" x14ac:dyDescent="0.25">
      <c r="A76" s="52">
        <v>24</v>
      </c>
      <c r="B76" s="67" t="s">
        <v>66</v>
      </c>
      <c r="C76" s="52" t="s">
        <v>48</v>
      </c>
      <c r="D76" s="67" t="s">
        <v>46</v>
      </c>
      <c r="E76" s="12">
        <v>9</v>
      </c>
      <c r="F76" s="74">
        <v>4000</v>
      </c>
      <c r="G76" s="15">
        <v>27</v>
      </c>
      <c r="H76" s="16">
        <f t="shared" ref="H76" si="213">+F76/30*G76</f>
        <v>3600.0000000000005</v>
      </c>
      <c r="I76" s="15"/>
      <c r="J76" s="16">
        <f t="shared" ref="J76" si="214">+I76*F76/30/E76</f>
        <v>0</v>
      </c>
      <c r="K76" s="15"/>
      <c r="L76" s="16">
        <f t="shared" ref="L76" si="215">+K76*F76/30</f>
        <v>0</v>
      </c>
      <c r="M76" s="15"/>
      <c r="N76" s="15"/>
      <c r="O76" s="16">
        <f t="shared" ref="O76" si="216">+N76+M76+L76+J76+H76</f>
        <v>3600.0000000000005</v>
      </c>
      <c r="P76" s="15"/>
      <c r="Q76" s="16">
        <f t="shared" ref="Q76" si="217">+F76/30/E76*P76</f>
        <v>0</v>
      </c>
      <c r="R76" s="15">
        <v>500</v>
      </c>
      <c r="S76" s="15"/>
      <c r="T76" s="15"/>
      <c r="U76" s="16">
        <f t="shared" ref="U76" si="218">+F76/30*T76</f>
        <v>0</v>
      </c>
      <c r="V76" s="16"/>
      <c r="W76" s="16">
        <f t="shared" ref="W76" si="219">+H76/30*V76</f>
        <v>0</v>
      </c>
      <c r="X76" s="15"/>
      <c r="Y76" s="16">
        <f t="shared" ref="Y76" si="220">+F76/30*X76*1</f>
        <v>0</v>
      </c>
      <c r="Z76" s="15"/>
      <c r="AA76" s="16">
        <f t="shared" ref="AA76" si="221">+(F76/30*Z76)*0.25</f>
        <v>0</v>
      </c>
      <c r="AB76" s="16"/>
      <c r="AC76" s="16">
        <f t="shared" ref="AC76" si="222">AB76*11%</f>
        <v>0</v>
      </c>
      <c r="AD76" s="15"/>
      <c r="AE76" s="15"/>
      <c r="AF76" s="64">
        <f t="shared" ref="AF76" si="223">+AE76+AD76+Y76+U76+R76+Q76+AA76+S76+W76+AC76</f>
        <v>500</v>
      </c>
      <c r="AG76" s="17">
        <f t="shared" ref="AG76" si="224">+O76-AF76</f>
        <v>3100.0000000000005</v>
      </c>
      <c r="AH76" s="18"/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51.7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customFormat="1" ht="23.25" x14ac:dyDescent="0.25">
      <c r="A80" s="52">
        <v>25</v>
      </c>
      <c r="B80" s="67" t="s">
        <v>67</v>
      </c>
      <c r="C80" s="52" t="s">
        <v>48</v>
      </c>
      <c r="D80" s="67" t="s">
        <v>43</v>
      </c>
      <c r="E80" s="12">
        <v>9</v>
      </c>
      <c r="F80" s="74">
        <v>4000</v>
      </c>
      <c r="G80" s="15">
        <v>23</v>
      </c>
      <c r="H80" s="16">
        <f t="shared" ref="H80" si="225">+F80/30*G80</f>
        <v>3066.666666666667</v>
      </c>
      <c r="I80" s="15"/>
      <c r="J80" s="16">
        <f t="shared" ref="J80" si="226">+I80*F80/30/E80</f>
        <v>0</v>
      </c>
      <c r="K80" s="15"/>
      <c r="L80" s="16">
        <f t="shared" ref="L80" si="227">+K80*F80/30</f>
        <v>0</v>
      </c>
      <c r="M80" s="15"/>
      <c r="N80" s="15"/>
      <c r="O80" s="16">
        <f t="shared" ref="O80" si="228">+N80+M80+L80+J80+H80</f>
        <v>3066.666666666667</v>
      </c>
      <c r="P80" s="15"/>
      <c r="Q80" s="16">
        <f t="shared" ref="Q80" si="229">+F80/30/E80*P80</f>
        <v>0</v>
      </c>
      <c r="R80" s="15"/>
      <c r="S80" s="15"/>
      <c r="T80" s="15">
        <v>2</v>
      </c>
      <c r="U80" s="16">
        <f t="shared" ref="U80" si="230">+F80/30*T80</f>
        <v>266.66666666666669</v>
      </c>
      <c r="V80" s="16"/>
      <c r="W80" s="16">
        <f t="shared" ref="W80" si="231">+H80/30*V80</f>
        <v>0</v>
      </c>
      <c r="X80" s="15"/>
      <c r="Y80" s="16">
        <f t="shared" ref="Y80" si="232">+F80/30*X80*1</f>
        <v>0</v>
      </c>
      <c r="Z80" s="15"/>
      <c r="AA80" s="16">
        <f t="shared" ref="AA80" si="233">+(F80/30*Z80)*0.25</f>
        <v>0</v>
      </c>
      <c r="AB80" s="16"/>
      <c r="AC80" s="16">
        <f t="shared" ref="AC80" si="234">AB80*11%</f>
        <v>0</v>
      </c>
      <c r="AD80" s="15"/>
      <c r="AE80" s="15"/>
      <c r="AF80" s="64">
        <f t="shared" ref="AF80" si="235">+AE80+AD80+Y80+U80+R80+Q80+AA80+S80+W80+AC80</f>
        <v>266.66666666666669</v>
      </c>
      <c r="AG80" s="17">
        <f t="shared" ref="AG80" si="236">+O80-AF80</f>
        <v>2800.0000000000005</v>
      </c>
      <c r="AH80" s="18"/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9.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customFormat="1" ht="23.25" x14ac:dyDescent="0.25">
      <c r="A84" s="52">
        <v>26</v>
      </c>
      <c r="B84" s="67" t="s">
        <v>72</v>
      </c>
      <c r="C84" s="52" t="s">
        <v>48</v>
      </c>
      <c r="D84" s="67" t="s">
        <v>43</v>
      </c>
      <c r="E84" s="12">
        <v>9</v>
      </c>
      <c r="F84" s="74">
        <v>6000</v>
      </c>
      <c r="G84" s="15">
        <v>30</v>
      </c>
      <c r="H84" s="16">
        <f t="shared" ref="H84" si="237">+F84/30*G84</f>
        <v>6000</v>
      </c>
      <c r="I84" s="15">
        <v>33</v>
      </c>
      <c r="J84" s="16">
        <f t="shared" ref="J84" si="238">+I84*F84/30/E84</f>
        <v>733.33333333333337</v>
      </c>
      <c r="K84" s="15"/>
      <c r="L84" s="16">
        <f t="shared" ref="L84" si="239">+K84*F84/30</f>
        <v>0</v>
      </c>
      <c r="M84" s="15"/>
      <c r="N84" s="15"/>
      <c r="O84" s="16">
        <f t="shared" ref="O84" si="240">+N84+M84+L84+J84+H84</f>
        <v>6733.333333333333</v>
      </c>
      <c r="P84" s="15">
        <v>11</v>
      </c>
      <c r="Q84" s="16">
        <f t="shared" ref="Q84" si="241">+F84/30/E84*P84</f>
        <v>244.44444444444443</v>
      </c>
      <c r="R84" s="15"/>
      <c r="S84" s="15"/>
      <c r="T84" s="15"/>
      <c r="U84" s="16">
        <f t="shared" ref="U84" si="242">+F84/30*T84</f>
        <v>0</v>
      </c>
      <c r="V84" s="16"/>
      <c r="W84" s="16">
        <f t="shared" ref="W84" si="243">+H84/30*V84</f>
        <v>0</v>
      </c>
      <c r="X84" s="15"/>
      <c r="Y84" s="16">
        <f t="shared" ref="Y84" si="244">+F84/30*X84*1</f>
        <v>0</v>
      </c>
      <c r="Z84" s="15"/>
      <c r="AA84" s="16">
        <f t="shared" ref="AA84" si="245">+(F84/30*Z84)*0.25</f>
        <v>0</v>
      </c>
      <c r="AB84" s="16"/>
      <c r="AC84" s="16">
        <f t="shared" ref="AC84" si="246">AB84*11%</f>
        <v>0</v>
      </c>
      <c r="AD84" s="15"/>
      <c r="AE84" s="15"/>
      <c r="AF84" s="64">
        <f t="shared" ref="AF84" si="247">+AE84+AD84+Y84+U84+R84+Q84+AA84+S84+W84+AC84</f>
        <v>244.44444444444443</v>
      </c>
      <c r="AG84" s="17">
        <f t="shared" ref="AG84" si="248">+O84-AF84</f>
        <v>6488.8888888888887</v>
      </c>
      <c r="AH84" s="18"/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9.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customFormat="1" ht="23.25" x14ac:dyDescent="0.25">
      <c r="A88" s="52">
        <v>27</v>
      </c>
      <c r="B88" s="67" t="s">
        <v>68</v>
      </c>
      <c r="C88" s="52" t="s">
        <v>48</v>
      </c>
      <c r="D88" s="67" t="s">
        <v>69</v>
      </c>
      <c r="E88" s="12">
        <v>9</v>
      </c>
      <c r="F88" s="74">
        <v>20000</v>
      </c>
      <c r="G88" s="15">
        <v>30</v>
      </c>
      <c r="H88" s="16">
        <f t="shared" ref="H88" si="249">+F88/30*G88</f>
        <v>20000</v>
      </c>
      <c r="I88" s="15"/>
      <c r="J88" s="16">
        <f t="shared" ref="J88" si="250">+I88*F88/30/E88</f>
        <v>0</v>
      </c>
      <c r="K88" s="15"/>
      <c r="L88" s="16">
        <f t="shared" ref="L88" si="251">+K88*F88/30</f>
        <v>0</v>
      </c>
      <c r="M88" s="15"/>
      <c r="N88" s="15"/>
      <c r="O88" s="16">
        <f t="shared" ref="O88" si="252">+N88+M88+L88+J88+H88</f>
        <v>20000</v>
      </c>
      <c r="P88" s="15"/>
      <c r="Q88" s="16">
        <f t="shared" ref="Q88" si="253">+F88/30/E88*P88</f>
        <v>0</v>
      </c>
      <c r="R88" s="15">
        <v>1785</v>
      </c>
      <c r="S88" s="15"/>
      <c r="T88" s="15"/>
      <c r="U88" s="16">
        <f t="shared" ref="U88" si="254">+F88/30*T88</f>
        <v>0</v>
      </c>
      <c r="V88" s="16"/>
      <c r="W88" s="16">
        <f t="shared" ref="W88" si="255">+H88/30*V88</f>
        <v>0</v>
      </c>
      <c r="X88" s="15"/>
      <c r="Y88" s="16">
        <f t="shared" ref="Y88" si="256">+F88/30*X88*1</f>
        <v>0</v>
      </c>
      <c r="Z88" s="15"/>
      <c r="AA88" s="16">
        <f t="shared" ref="AA88" si="257">+(F88/30*Z88)*0.25</f>
        <v>0</v>
      </c>
      <c r="AB88" s="16"/>
      <c r="AC88" s="16">
        <f t="shared" ref="AC88" si="258">AB88*11%</f>
        <v>0</v>
      </c>
      <c r="AD88" s="15"/>
      <c r="AE88" s="15"/>
      <c r="AF88" s="64">
        <f t="shared" ref="AF88" si="259">+AE88+AD88+Y88+U88+R88+Q88+AA88+S88+W88+AC88</f>
        <v>1785</v>
      </c>
      <c r="AG88" s="17">
        <f t="shared" ref="AG88" si="260">+O88-AF88</f>
        <v>18215</v>
      </c>
      <c r="AH88" s="18"/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customFormat="1" ht="23.25" x14ac:dyDescent="0.25">
      <c r="A92" s="54"/>
      <c r="B92" s="67"/>
      <c r="C92" s="52"/>
      <c r="D92" s="67"/>
      <c r="E92" s="12">
        <v>9</v>
      </c>
      <c r="F92" s="12"/>
      <c r="G92" s="13"/>
      <c r="H92" s="14"/>
      <c r="I92" s="15"/>
      <c r="J92" s="16">
        <f t="shared" ref="J92" si="261">+I92*F92/30/E92</f>
        <v>0</v>
      </c>
      <c r="K92" s="15"/>
      <c r="L92" s="16">
        <f t="shared" ref="L92" si="262">+K92*F92/30</f>
        <v>0</v>
      </c>
      <c r="M92" s="15"/>
      <c r="N92" s="15"/>
      <c r="O92" s="16">
        <f t="shared" ref="O92" si="263">+N92+M92+L92+J92+H92</f>
        <v>0</v>
      </c>
      <c r="P92" s="15"/>
      <c r="Q92" s="16">
        <f t="shared" ref="Q92" si="264">+F92/30/E92*P92</f>
        <v>0</v>
      </c>
      <c r="R92" s="15"/>
      <c r="S92" s="15"/>
      <c r="T92" s="15"/>
      <c r="U92" s="16">
        <f t="shared" ref="U92" si="265">+F92/30*T92</f>
        <v>0</v>
      </c>
      <c r="V92" s="16"/>
      <c r="W92" s="16">
        <f t="shared" ref="W92" si="266">+H92/30*V92</f>
        <v>0</v>
      </c>
      <c r="X92" s="15"/>
      <c r="Y92" s="16">
        <f t="shared" ref="Y92" si="267">+F92/30*X92*1</f>
        <v>0</v>
      </c>
      <c r="Z92" s="15"/>
      <c r="AA92" s="16">
        <f t="shared" ref="AA92" si="268">+(F92/30*Z92)*0.25</f>
        <v>0</v>
      </c>
      <c r="AB92" s="16"/>
      <c r="AC92" s="16">
        <f t="shared" ref="AC92" si="269">AB92*11%</f>
        <v>0</v>
      </c>
      <c r="AD92" s="15"/>
      <c r="AE92" s="15"/>
      <c r="AF92" s="64">
        <f t="shared" ref="AF92" si="270">+AE92+AD92+Y92+U92+R92+Q92+AA92+S92+W92+AC92</f>
        <v>0</v>
      </c>
      <c r="AG92" s="17">
        <f t="shared" ref="AG92" si="271">+O92-AF92</f>
        <v>0</v>
      </c>
      <c r="AH92" s="18"/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customFormat="1" ht="23.25" x14ac:dyDescent="0.25">
      <c r="A96" s="54"/>
      <c r="B96" s="67"/>
      <c r="C96" s="52"/>
      <c r="D96" s="67"/>
      <c r="E96" s="12">
        <v>9</v>
      </c>
      <c r="F96" s="12"/>
      <c r="G96" s="13"/>
      <c r="H96" s="14">
        <f t="shared" ref="H96" si="272">+F96/30*G96</f>
        <v>0</v>
      </c>
      <c r="I96" s="15"/>
      <c r="J96" s="16">
        <f t="shared" ref="J96" si="273">+I96*F96/30/E96</f>
        <v>0</v>
      </c>
      <c r="K96" s="15"/>
      <c r="L96" s="16">
        <f t="shared" ref="L96" si="274">+K96*F96/30</f>
        <v>0</v>
      </c>
      <c r="M96" s="15"/>
      <c r="N96" s="15"/>
      <c r="O96" s="16">
        <f t="shared" ref="O96" si="275">+N96+M96+L96+J96+H96</f>
        <v>0</v>
      </c>
      <c r="P96" s="15"/>
      <c r="Q96" s="16">
        <f t="shared" ref="Q96" si="276">+F96/30/E96*P96</f>
        <v>0</v>
      </c>
      <c r="R96" s="15"/>
      <c r="S96" s="15"/>
      <c r="T96" s="15"/>
      <c r="U96" s="16">
        <f t="shared" ref="U96" si="277">+F96/30*T96</f>
        <v>0</v>
      </c>
      <c r="V96" s="16"/>
      <c r="W96" s="16">
        <f t="shared" ref="W96" si="278">+H96/30*V96</f>
        <v>0</v>
      </c>
      <c r="X96" s="15"/>
      <c r="Y96" s="16">
        <f t="shared" ref="Y96" si="279">+F96/30*X96*1</f>
        <v>0</v>
      </c>
      <c r="Z96" s="15"/>
      <c r="AA96" s="16">
        <f t="shared" ref="AA96" si="280">+(F96/30*Z96)*0.25</f>
        <v>0</v>
      </c>
      <c r="AB96" s="16"/>
      <c r="AC96" s="16">
        <f t="shared" ref="AC96" si="281">AB96*11%</f>
        <v>0</v>
      </c>
      <c r="AD96" s="15"/>
      <c r="AE96" s="15"/>
      <c r="AF96" s="64">
        <f t="shared" ref="AF96" si="282">+AE96+AD96+Y96+U96+R96+Q96+AA96+S96+W96+AC96</f>
        <v>0</v>
      </c>
      <c r="AG96" s="17">
        <f t="shared" ref="AG96" si="283">+O96-AF96</f>
        <v>0</v>
      </c>
      <c r="AH96" s="18"/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customFormat="1" ht="23.25" x14ac:dyDescent="0.25">
      <c r="A100" s="54"/>
      <c r="B100" s="67"/>
      <c r="C100" s="52"/>
      <c r="D100" s="67"/>
      <c r="E100" s="12">
        <v>9</v>
      </c>
      <c r="F100" s="12"/>
      <c r="G100" s="13"/>
      <c r="H100" s="14">
        <f t="shared" ref="H100" si="284">+F100/30*G100</f>
        <v>0</v>
      </c>
      <c r="I100" s="15"/>
      <c r="J100" s="16">
        <f t="shared" ref="J100" si="285">+I100*F100/30/E100</f>
        <v>0</v>
      </c>
      <c r="K100" s="15"/>
      <c r="L100" s="16">
        <f t="shared" ref="L100" si="286">+K100*F100/30</f>
        <v>0</v>
      </c>
      <c r="M100" s="15"/>
      <c r="N100" s="15"/>
      <c r="O100" s="16">
        <f t="shared" ref="O100" si="287">+N100+M100+L100+J100+H100</f>
        <v>0</v>
      </c>
      <c r="P100" s="15"/>
      <c r="Q100" s="16">
        <f t="shared" ref="Q100" si="288">+F100/30/E100*P100</f>
        <v>0</v>
      </c>
      <c r="R100" s="15"/>
      <c r="S100" s="15"/>
      <c r="T100" s="15"/>
      <c r="U100" s="16">
        <f t="shared" ref="U100" si="289">+F100/30*T100</f>
        <v>0</v>
      </c>
      <c r="V100" s="16"/>
      <c r="W100" s="16">
        <f t="shared" ref="W100" si="290">+H100/30*V100</f>
        <v>0</v>
      </c>
      <c r="X100" s="15"/>
      <c r="Y100" s="16">
        <f t="shared" ref="Y100" si="291">+F100/30*X100*1</f>
        <v>0</v>
      </c>
      <c r="Z100" s="15"/>
      <c r="AA100" s="16">
        <f t="shared" ref="AA100" si="292">+(F100/30*Z100)*0.25</f>
        <v>0</v>
      </c>
      <c r="AB100" s="16"/>
      <c r="AC100" s="16">
        <f t="shared" ref="AC100" si="293">AB100*11%</f>
        <v>0</v>
      </c>
      <c r="AD100" s="15"/>
      <c r="AE100" s="15"/>
      <c r="AF100" s="64">
        <f t="shared" ref="AF100" si="294">+AE100+AD100+Y100+U100+R100+Q100+AA100+S100+W100+AC100</f>
        <v>0</v>
      </c>
      <c r="AG100" s="17">
        <f t="shared" ref="AG100" si="295">+O100-AF100</f>
        <v>0</v>
      </c>
      <c r="AH100" s="18"/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customFormat="1" ht="23.25" x14ac:dyDescent="0.25">
      <c r="A104" s="54"/>
      <c r="B104" s="67"/>
      <c r="C104" s="52"/>
      <c r="D104" s="67"/>
      <c r="E104" s="12">
        <v>9</v>
      </c>
      <c r="F104" s="12"/>
      <c r="G104" s="13"/>
      <c r="H104" s="14">
        <f t="shared" ref="H104" si="296">+F104/30*G104</f>
        <v>0</v>
      </c>
      <c r="I104" s="15"/>
      <c r="J104" s="16">
        <f t="shared" ref="J104" si="297">+I104*F104/30/E104</f>
        <v>0</v>
      </c>
      <c r="K104" s="15"/>
      <c r="L104" s="16">
        <f t="shared" ref="L104" si="298">+K104*F104/30</f>
        <v>0</v>
      </c>
      <c r="M104" s="15"/>
      <c r="N104" s="15"/>
      <c r="O104" s="16">
        <f t="shared" ref="O104" si="299">+N104+M104+L104+J104+H104</f>
        <v>0</v>
      </c>
      <c r="P104" s="15"/>
      <c r="Q104" s="16">
        <f t="shared" ref="Q104" si="300">+F104/30/E104*P104</f>
        <v>0</v>
      </c>
      <c r="R104" s="15"/>
      <c r="S104" s="15"/>
      <c r="T104" s="15"/>
      <c r="U104" s="16">
        <f t="shared" ref="U104" si="301">+F104/30*T104</f>
        <v>0</v>
      </c>
      <c r="V104" s="16"/>
      <c r="W104" s="16">
        <f t="shared" ref="W104" si="302">+H104/30*V104</f>
        <v>0</v>
      </c>
      <c r="X104" s="15"/>
      <c r="Y104" s="16">
        <f t="shared" ref="Y104" si="303">+F104/30*X104*1</f>
        <v>0</v>
      </c>
      <c r="Z104" s="15"/>
      <c r="AA104" s="16">
        <f t="shared" ref="AA104" si="304">+(F104/30*Z104)*0.25</f>
        <v>0</v>
      </c>
      <c r="AB104" s="16"/>
      <c r="AC104" s="16">
        <f t="shared" ref="AC104" si="305">AB104*11%</f>
        <v>0</v>
      </c>
      <c r="AD104" s="15"/>
      <c r="AE104" s="15"/>
      <c r="AF104" s="64">
        <f t="shared" ref="AF104" si="306">+AE104+AD104+Y104+U104+R104+Q104+AA104+S104+W104+AC104</f>
        <v>0</v>
      </c>
      <c r="AG104" s="17">
        <f t="shared" ref="AG104" si="307">+O104-AF104</f>
        <v>0</v>
      </c>
      <c r="AH104" s="18"/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customFormat="1" ht="23.25" x14ac:dyDescent="0.25">
      <c r="A108" s="54"/>
      <c r="B108" s="67"/>
      <c r="C108" s="52"/>
      <c r="D108" s="67"/>
      <c r="E108" s="12">
        <v>9</v>
      </c>
      <c r="F108" s="12"/>
      <c r="G108" s="13"/>
      <c r="H108" s="14">
        <f t="shared" ref="H108" si="308">+F108/30*G108</f>
        <v>0</v>
      </c>
      <c r="I108" s="15"/>
      <c r="J108" s="16">
        <f t="shared" ref="J108" si="309">+I108*F108/30/E108</f>
        <v>0</v>
      </c>
      <c r="K108" s="15"/>
      <c r="L108" s="16">
        <f t="shared" ref="L108" si="310">+K108*F108/30</f>
        <v>0</v>
      </c>
      <c r="M108" s="15"/>
      <c r="N108" s="15"/>
      <c r="O108" s="16">
        <f t="shared" ref="O108" si="311">+N108+M108+L108+J108+H108</f>
        <v>0</v>
      </c>
      <c r="P108" s="15"/>
      <c r="Q108" s="16">
        <f t="shared" ref="Q108" si="312">+F108/30/E108*P108</f>
        <v>0</v>
      </c>
      <c r="R108" s="15"/>
      <c r="S108" s="15"/>
      <c r="T108" s="15"/>
      <c r="U108" s="16">
        <f t="shared" ref="U108" si="313">+F108/30*T108</f>
        <v>0</v>
      </c>
      <c r="V108" s="16"/>
      <c r="W108" s="16">
        <f t="shared" ref="W108" si="314">+H108/30*V108</f>
        <v>0</v>
      </c>
      <c r="X108" s="15"/>
      <c r="Y108" s="16">
        <f t="shared" ref="Y108" si="315">+F108/30*X108*1</f>
        <v>0</v>
      </c>
      <c r="Z108" s="15"/>
      <c r="AA108" s="16">
        <f t="shared" ref="AA108" si="316">+(F108/30*Z108)*0.25</f>
        <v>0</v>
      </c>
      <c r="AB108" s="16"/>
      <c r="AC108" s="16">
        <f t="shared" ref="AC108" si="317">AB108*11%</f>
        <v>0</v>
      </c>
      <c r="AD108" s="15"/>
      <c r="AE108" s="15"/>
      <c r="AF108" s="64">
        <f t="shared" ref="AF108" si="318">+AE108+AD108+Y108+U108+R108+Q108+AA108+S108+W108+AC108</f>
        <v>0</v>
      </c>
      <c r="AG108" s="17">
        <f t="shared" ref="AG108" si="319">+O108-AF108</f>
        <v>0</v>
      </c>
      <c r="AH108" s="18"/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customFormat="1" ht="23.25" x14ac:dyDescent="0.25">
      <c r="A112" s="54"/>
      <c r="B112" s="67"/>
      <c r="C112" s="52"/>
      <c r="D112" s="67"/>
      <c r="E112" s="12">
        <v>9</v>
      </c>
      <c r="F112" s="12"/>
      <c r="G112" s="13"/>
      <c r="H112" s="14">
        <f t="shared" ref="H112" si="320">+F112/30*G112</f>
        <v>0</v>
      </c>
      <c r="I112" s="15"/>
      <c r="J112" s="16">
        <f t="shared" ref="J112" si="321">+I112*F112/30/E112</f>
        <v>0</v>
      </c>
      <c r="K112" s="15"/>
      <c r="L112" s="16">
        <f t="shared" ref="L112" si="322">+K112*F112/30</f>
        <v>0</v>
      </c>
      <c r="M112" s="15"/>
      <c r="N112" s="15"/>
      <c r="O112" s="16">
        <f t="shared" ref="O112" si="323">+N112+M112+L112+J112+H112</f>
        <v>0</v>
      </c>
      <c r="P112" s="15"/>
      <c r="Q112" s="16">
        <f t="shared" ref="Q112" si="324">+F112/30/E112*P112</f>
        <v>0</v>
      </c>
      <c r="R112" s="15">
        <v>60</v>
      </c>
      <c r="S112" s="15"/>
      <c r="T112" s="15">
        <v>2</v>
      </c>
      <c r="U112" s="16">
        <f t="shared" ref="U112" si="325">+F112/30*T112</f>
        <v>0</v>
      </c>
      <c r="V112" s="16"/>
      <c r="W112" s="16">
        <f t="shared" ref="W112" si="326">+H112/30*V112</f>
        <v>0</v>
      </c>
      <c r="X112" s="15"/>
      <c r="Y112" s="16">
        <f t="shared" ref="Y112" si="327">+F112/30*X112*1</f>
        <v>0</v>
      </c>
      <c r="Z112" s="15"/>
      <c r="AA112" s="16">
        <f t="shared" ref="AA112" si="328">+(F112/30*Z112)*0.25</f>
        <v>0</v>
      </c>
      <c r="AB112" s="16"/>
      <c r="AC112" s="16">
        <f t="shared" ref="AC112" si="329">AB112*11%</f>
        <v>0</v>
      </c>
      <c r="AD112" s="15"/>
      <c r="AE112" s="15"/>
      <c r="AF112" s="64">
        <f t="shared" ref="AF112" si="330">+AE112+AD112+Y112+U112+R112+Q112+AA112+S112+W112+AC112</f>
        <v>60</v>
      </c>
      <c r="AG112" s="17">
        <f t="shared" ref="AG112" si="331">+O112-AF112</f>
        <v>-60</v>
      </c>
      <c r="AH112" s="18"/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+'فرع الاردنية'!A32</f>
        <v>0</v>
      </c>
      <c r="B116" s="44">
        <f>+'فرع الاردنية'!B32</f>
        <v>0</v>
      </c>
      <c r="C116" s="45">
        <f>+'فرع الاردنية'!C32</f>
        <v>0</v>
      </c>
      <c r="D116" s="45">
        <f>+'فرع الاردنية'!D32</f>
        <v>0</v>
      </c>
      <c r="E116" s="45">
        <f>+'فرع الاردنية'!E32</f>
        <v>0</v>
      </c>
      <c r="F116" s="46">
        <f>+'فرع الاردنية'!F32</f>
        <v>0</v>
      </c>
      <c r="G116" s="46">
        <f>+'فرع الاردنية'!G32</f>
        <v>0</v>
      </c>
      <c r="H116" s="46">
        <f>+'فرع الاردنية'!H32</f>
        <v>0</v>
      </c>
      <c r="I116" s="46">
        <f>+'فرع الاردنية'!I32</f>
        <v>0</v>
      </c>
      <c r="J116" s="46">
        <f>+'فرع الاردنية'!J32</f>
        <v>0</v>
      </c>
      <c r="K116" s="46">
        <f>+'فرع الاردنية'!K32</f>
        <v>0</v>
      </c>
      <c r="L116" s="46">
        <f>+'فرع الاردنية'!L32</f>
        <v>0</v>
      </c>
      <c r="M116" s="46">
        <f>+'فرع الاردنية'!M32</f>
        <v>0</v>
      </c>
      <c r="N116" s="46">
        <f>+'فرع الاردنية'!N32</f>
        <v>0</v>
      </c>
      <c r="O116" s="46">
        <f>+'فرع الاردنية'!O32</f>
        <v>0</v>
      </c>
      <c r="P116" s="46">
        <f>+'فرع الاردنية'!P32</f>
        <v>0</v>
      </c>
      <c r="Q116" s="46">
        <f>+'فرع الاردنية'!Q32</f>
        <v>0</v>
      </c>
      <c r="R116" s="47">
        <f>+'فرع الاردنية'!R32</f>
        <v>0</v>
      </c>
      <c r="S116" s="47">
        <f>+'فرع الاردنية'!S32</f>
        <v>0</v>
      </c>
      <c r="T116" s="46">
        <f>+'فرع الاردنية'!T32</f>
        <v>0</v>
      </c>
      <c r="U116" s="46">
        <f>+'فرع الاردنية'!U32</f>
        <v>0</v>
      </c>
      <c r="V116" s="46">
        <f>+'فرع الاردنية'!V32</f>
        <v>0</v>
      </c>
      <c r="W116" s="46">
        <f>+'فرع الاردنية'!W32</f>
        <v>0</v>
      </c>
      <c r="X116" s="46">
        <f>+'فرع الاردنية'!X32</f>
        <v>0</v>
      </c>
      <c r="Y116" s="46">
        <f>+'فرع الاردنية'!Y32</f>
        <v>0</v>
      </c>
      <c r="Z116" s="46">
        <f>+'فرع الاردنية'!Z32</f>
        <v>0</v>
      </c>
      <c r="AA116" s="46">
        <f>+'فرع الاردنية'!AA32</f>
        <v>0</v>
      </c>
      <c r="AB116" s="46">
        <f>+'فرع الاردنية'!AB32</f>
        <v>0</v>
      </c>
      <c r="AC116" s="46">
        <f>+'فرع الاردنية'!AC32</f>
        <v>0</v>
      </c>
      <c r="AD116" s="46">
        <f>+'فرع الاردنية'!AD32</f>
        <v>0</v>
      </c>
      <c r="AE116" s="46">
        <f>+'فرع الاردنية'!AE32</f>
        <v>0</v>
      </c>
      <c r="AF116" s="46">
        <f>+'فرع الاردنية'!AF32</f>
        <v>0</v>
      </c>
      <c r="AG116" s="46">
        <f>+'فرع الاردنية'!AG32</f>
        <v>0</v>
      </c>
      <c r="AH116" s="46">
        <f>+'فرع الاردنية'!AH32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+'فرع الاردنية'!A33</f>
        <v>0</v>
      </c>
      <c r="B120" s="44">
        <f>+'فرع الاردنية'!B33</f>
        <v>0</v>
      </c>
      <c r="C120" s="45">
        <f>+'فرع الاردنية'!C33</f>
        <v>0</v>
      </c>
      <c r="D120" s="45">
        <f>+'فرع الاردنية'!D33</f>
        <v>0</v>
      </c>
      <c r="E120" s="45">
        <f>+'فرع الاردنية'!E33</f>
        <v>0</v>
      </c>
      <c r="F120" s="46">
        <f>+'فرع الاردنية'!F33</f>
        <v>0</v>
      </c>
      <c r="G120" s="46">
        <f>+'فرع الاردنية'!G33</f>
        <v>0</v>
      </c>
      <c r="H120" s="46">
        <f>+'فرع الاردنية'!H33</f>
        <v>0</v>
      </c>
      <c r="I120" s="46">
        <f>+'فرع الاردنية'!I33</f>
        <v>0</v>
      </c>
      <c r="J120" s="46">
        <f>+'فرع الاردنية'!J33</f>
        <v>0</v>
      </c>
      <c r="K120" s="46">
        <f>+'فرع الاردنية'!K33</f>
        <v>0</v>
      </c>
      <c r="L120" s="46">
        <f>+'فرع الاردنية'!L33</f>
        <v>0</v>
      </c>
      <c r="M120" s="46">
        <f>+'فرع الاردنية'!M33</f>
        <v>0</v>
      </c>
      <c r="N120" s="46">
        <f>+'فرع الاردنية'!N33</f>
        <v>0</v>
      </c>
      <c r="O120" s="46">
        <f>+'فرع الاردنية'!O33</f>
        <v>0</v>
      </c>
      <c r="P120" s="46">
        <f>+'فرع الاردنية'!P33</f>
        <v>0</v>
      </c>
      <c r="Q120" s="46">
        <f>+'فرع الاردنية'!Q33</f>
        <v>0</v>
      </c>
      <c r="R120" s="47">
        <f>+'فرع الاردنية'!R33</f>
        <v>0</v>
      </c>
      <c r="S120" s="47">
        <f>+'فرع الاردنية'!S33</f>
        <v>0</v>
      </c>
      <c r="T120" s="46">
        <f>+'فرع الاردنية'!T33</f>
        <v>0</v>
      </c>
      <c r="U120" s="46">
        <f>+'فرع الاردنية'!U33</f>
        <v>0</v>
      </c>
      <c r="V120" s="46">
        <f>+'فرع الاردنية'!V33</f>
        <v>0</v>
      </c>
      <c r="W120" s="46">
        <f>+'فرع الاردنية'!W33</f>
        <v>0</v>
      </c>
      <c r="X120" s="46">
        <f>+'فرع الاردنية'!X33</f>
        <v>0</v>
      </c>
      <c r="Y120" s="46">
        <f>+'فرع الاردنية'!Y33</f>
        <v>0</v>
      </c>
      <c r="Z120" s="46">
        <f>+'فرع الاردنية'!Z33</f>
        <v>0</v>
      </c>
      <c r="AA120" s="46">
        <f>+'فرع الاردنية'!AA33</f>
        <v>0</v>
      </c>
      <c r="AB120" s="46">
        <f>+'فرع الاردنية'!AB33</f>
        <v>0</v>
      </c>
      <c r="AC120" s="46">
        <f>+'فرع الاردنية'!AC33</f>
        <v>0</v>
      </c>
      <c r="AD120" s="46">
        <f>+'فرع الاردنية'!AD33</f>
        <v>0</v>
      </c>
      <c r="AE120" s="46">
        <f>+'فرع الاردنية'!AE33</f>
        <v>0</v>
      </c>
      <c r="AF120" s="46">
        <f>+'فرع الاردنية'!AF33</f>
        <v>0</v>
      </c>
      <c r="AG120" s="46">
        <f>+'فرع الاردنية'!AG33</f>
        <v>0</v>
      </c>
      <c r="AH120" s="46">
        <f>+'فرع الاردنية'!AH33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+'فرع الاردنية'!A34</f>
        <v>0</v>
      </c>
      <c r="B124" s="44">
        <f>+'فرع الاردنية'!B34</f>
        <v>0</v>
      </c>
      <c r="C124" s="45">
        <f>+'فرع الاردنية'!C34</f>
        <v>0</v>
      </c>
      <c r="D124" s="45">
        <f>+'فرع الاردنية'!D34</f>
        <v>0</v>
      </c>
      <c r="E124" s="45">
        <f>+'فرع الاردنية'!E34</f>
        <v>0</v>
      </c>
      <c r="F124" s="46">
        <f>+'فرع الاردنية'!F34</f>
        <v>0</v>
      </c>
      <c r="G124" s="46">
        <f>+'فرع الاردنية'!G34</f>
        <v>0</v>
      </c>
      <c r="H124" s="46">
        <f>+'فرع الاردنية'!H34</f>
        <v>0</v>
      </c>
      <c r="I124" s="46">
        <f>+'فرع الاردنية'!I34</f>
        <v>0</v>
      </c>
      <c r="J124" s="46">
        <f>+'فرع الاردنية'!J34</f>
        <v>0</v>
      </c>
      <c r="K124" s="46">
        <f>+'فرع الاردنية'!K34</f>
        <v>0</v>
      </c>
      <c r="L124" s="46">
        <f>+'فرع الاردنية'!L34</f>
        <v>0</v>
      </c>
      <c r="M124" s="46">
        <f>+'فرع الاردنية'!M34</f>
        <v>0</v>
      </c>
      <c r="N124" s="46">
        <f>+'فرع الاردنية'!N34</f>
        <v>0</v>
      </c>
      <c r="O124" s="46">
        <f>+'فرع الاردنية'!O34</f>
        <v>0</v>
      </c>
      <c r="P124" s="46">
        <f>+'فرع الاردنية'!P34</f>
        <v>0</v>
      </c>
      <c r="Q124" s="46">
        <f>+'فرع الاردنية'!Q34</f>
        <v>0</v>
      </c>
      <c r="R124" s="47">
        <f>+'فرع الاردنية'!R34</f>
        <v>0</v>
      </c>
      <c r="S124" s="47">
        <f>+'فرع الاردنية'!S34</f>
        <v>0</v>
      </c>
      <c r="T124" s="46">
        <f>+'فرع الاردنية'!T34</f>
        <v>0</v>
      </c>
      <c r="U124" s="46">
        <f>+'فرع الاردنية'!U34</f>
        <v>0</v>
      </c>
      <c r="V124" s="46">
        <f>+'فرع الاردنية'!V34</f>
        <v>0</v>
      </c>
      <c r="W124" s="46">
        <f>+'فرع الاردنية'!W34</f>
        <v>0</v>
      </c>
      <c r="X124" s="46">
        <f>+'فرع الاردنية'!X34</f>
        <v>0</v>
      </c>
      <c r="Y124" s="46">
        <f>+'فرع الاردنية'!Y34</f>
        <v>0</v>
      </c>
      <c r="Z124" s="46">
        <f>+'فرع الاردنية'!Z34</f>
        <v>0</v>
      </c>
      <c r="AA124" s="46">
        <f>+'فرع الاردنية'!AA34</f>
        <v>0</v>
      </c>
      <c r="AB124" s="46">
        <f>+'فرع الاردنية'!AB34</f>
        <v>0</v>
      </c>
      <c r="AC124" s="46">
        <f>+'فرع الاردنية'!AC34</f>
        <v>0</v>
      </c>
      <c r="AD124" s="46">
        <f>+'فرع الاردنية'!AD34</f>
        <v>0</v>
      </c>
      <c r="AE124" s="46">
        <f>+'فرع الاردنية'!AE34</f>
        <v>0</v>
      </c>
      <c r="AF124" s="46">
        <f>+'فرع الاردنية'!AF34</f>
        <v>0</v>
      </c>
      <c r="AG124" s="46">
        <f>+'فرع الاردنية'!AG34</f>
        <v>0</v>
      </c>
      <c r="AH124" s="46">
        <f>+'فرع الاردنية'!AH34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+'فرع الاردنية'!A35</f>
        <v>0</v>
      </c>
      <c r="B128" s="44">
        <f>+'فرع الاردنية'!B35</f>
        <v>0</v>
      </c>
      <c r="C128" s="45">
        <f>+'فرع الاردنية'!C35</f>
        <v>0</v>
      </c>
      <c r="D128" s="45">
        <f>+'فرع الاردنية'!D35</f>
        <v>0</v>
      </c>
      <c r="E128" s="45">
        <f>+'فرع الاردنية'!E35</f>
        <v>0</v>
      </c>
      <c r="F128" s="46">
        <f>+'فرع الاردنية'!F35</f>
        <v>0</v>
      </c>
      <c r="G128" s="46">
        <f>+'فرع الاردنية'!G35</f>
        <v>0</v>
      </c>
      <c r="H128" s="46">
        <f>+'فرع الاردنية'!H35</f>
        <v>0</v>
      </c>
      <c r="I128" s="46">
        <f>+'فرع الاردنية'!I35</f>
        <v>0</v>
      </c>
      <c r="J128" s="46">
        <f>+'فرع الاردنية'!J35</f>
        <v>0</v>
      </c>
      <c r="K128" s="46">
        <f>+'فرع الاردنية'!K35</f>
        <v>0</v>
      </c>
      <c r="L128" s="46">
        <f>+'فرع الاردنية'!L35</f>
        <v>0</v>
      </c>
      <c r="M128" s="46">
        <f>+'فرع الاردنية'!M35</f>
        <v>0</v>
      </c>
      <c r="N128" s="46">
        <f>+'فرع الاردنية'!N35</f>
        <v>0</v>
      </c>
      <c r="O128" s="46">
        <f>+'فرع الاردنية'!O35</f>
        <v>0</v>
      </c>
      <c r="P128" s="46">
        <f>+'فرع الاردنية'!P35</f>
        <v>0</v>
      </c>
      <c r="Q128" s="46">
        <f>+'فرع الاردنية'!Q35</f>
        <v>0</v>
      </c>
      <c r="R128" s="47">
        <f>+'فرع الاردنية'!R35</f>
        <v>0</v>
      </c>
      <c r="S128" s="47">
        <f>+'فرع الاردنية'!S35</f>
        <v>0</v>
      </c>
      <c r="T128" s="46">
        <f>+'فرع الاردنية'!T35</f>
        <v>0</v>
      </c>
      <c r="U128" s="46">
        <f>+'فرع الاردنية'!U35</f>
        <v>0</v>
      </c>
      <c r="V128" s="46">
        <f>+'فرع الاردنية'!V35</f>
        <v>0</v>
      </c>
      <c r="W128" s="46">
        <f>+'فرع الاردنية'!W35</f>
        <v>0</v>
      </c>
      <c r="X128" s="46">
        <f>+'فرع الاردنية'!X35</f>
        <v>0</v>
      </c>
      <c r="Y128" s="46">
        <f>+'فرع الاردنية'!Y35</f>
        <v>0</v>
      </c>
      <c r="Z128" s="46">
        <f>+'فرع الاردنية'!Z35</f>
        <v>0</v>
      </c>
      <c r="AA128" s="46">
        <f>+'فرع الاردنية'!AA35</f>
        <v>0</v>
      </c>
      <c r="AB128" s="46">
        <f>+'فرع الاردنية'!AB35</f>
        <v>0</v>
      </c>
      <c r="AC128" s="46">
        <f>+'فرع الاردنية'!AC35</f>
        <v>0</v>
      </c>
      <c r="AD128" s="46">
        <f>+'فرع الاردنية'!AD35</f>
        <v>0</v>
      </c>
      <c r="AE128" s="46">
        <f>+'فرع الاردنية'!AE35</f>
        <v>0</v>
      </c>
      <c r="AF128" s="46">
        <f>+'فرع الاردنية'!AF35</f>
        <v>0</v>
      </c>
      <c r="AG128" s="46">
        <f>+'فرع الاردنية'!AG35</f>
        <v>0</v>
      </c>
      <c r="AH128" s="46">
        <f>+'فرع الاردنية'!AH35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+'فرع الاردنية'!A36</f>
        <v>0</v>
      </c>
      <c r="B132" s="44">
        <f>+'فرع الاردنية'!B36</f>
        <v>0</v>
      </c>
      <c r="C132" s="45">
        <f>+'فرع الاردنية'!C36</f>
        <v>0</v>
      </c>
      <c r="D132" s="45">
        <f>+'فرع الاردنية'!D36</f>
        <v>0</v>
      </c>
      <c r="E132" s="45">
        <f>+'فرع الاردنية'!E36</f>
        <v>0</v>
      </c>
      <c r="F132" s="46">
        <f>+'فرع الاردنية'!F36</f>
        <v>0</v>
      </c>
      <c r="G132" s="46">
        <f>+'فرع الاردنية'!G36</f>
        <v>0</v>
      </c>
      <c r="H132" s="46">
        <f>+'فرع الاردنية'!H36</f>
        <v>0</v>
      </c>
      <c r="I132" s="46">
        <f>+'فرع الاردنية'!I36</f>
        <v>0</v>
      </c>
      <c r="J132" s="46">
        <f>+'فرع الاردنية'!J36</f>
        <v>0</v>
      </c>
      <c r="K132" s="46">
        <f>+'فرع الاردنية'!K36</f>
        <v>0</v>
      </c>
      <c r="L132" s="46">
        <f>+'فرع الاردنية'!L36</f>
        <v>0</v>
      </c>
      <c r="M132" s="46">
        <f>+'فرع الاردنية'!M36</f>
        <v>0</v>
      </c>
      <c r="N132" s="46">
        <f>+'فرع الاردنية'!N36</f>
        <v>0</v>
      </c>
      <c r="O132" s="46">
        <f>+'فرع الاردنية'!O36</f>
        <v>0</v>
      </c>
      <c r="P132" s="46">
        <f>+'فرع الاردنية'!P36</f>
        <v>0</v>
      </c>
      <c r="Q132" s="46">
        <f>+'فرع الاردنية'!Q36</f>
        <v>0</v>
      </c>
      <c r="R132" s="47">
        <f>+'فرع الاردنية'!R36</f>
        <v>0</v>
      </c>
      <c r="S132" s="47">
        <f>+'فرع الاردنية'!S36</f>
        <v>0</v>
      </c>
      <c r="T132" s="46">
        <f>+'فرع الاردنية'!T36</f>
        <v>0</v>
      </c>
      <c r="U132" s="46">
        <f>+'فرع الاردنية'!U36</f>
        <v>0</v>
      </c>
      <c r="V132" s="46">
        <f>+'فرع الاردنية'!V36</f>
        <v>0</v>
      </c>
      <c r="W132" s="46">
        <f>+'فرع الاردنية'!W36</f>
        <v>0</v>
      </c>
      <c r="X132" s="46">
        <f>+'فرع الاردنية'!X36</f>
        <v>0</v>
      </c>
      <c r="Y132" s="46">
        <f>+'فرع الاردنية'!Y36</f>
        <v>0</v>
      </c>
      <c r="Z132" s="46">
        <f>+'فرع الاردنية'!Z36</f>
        <v>0</v>
      </c>
      <c r="AA132" s="46">
        <f>+'فرع الاردنية'!AA36</f>
        <v>0</v>
      </c>
      <c r="AB132" s="46">
        <f>+'فرع الاردنية'!AB36</f>
        <v>0</v>
      </c>
      <c r="AC132" s="46">
        <f>+'فرع الاردنية'!AC36</f>
        <v>0</v>
      </c>
      <c r="AD132" s="46">
        <f>+'فرع الاردنية'!AD36</f>
        <v>0</v>
      </c>
      <c r="AE132" s="46">
        <f>+'فرع الاردنية'!AE36</f>
        <v>0</v>
      </c>
      <c r="AF132" s="46">
        <f>+'فرع الاردنية'!AF36</f>
        <v>0</v>
      </c>
      <c r="AG132" s="46">
        <f>+'فرع الاردنية'!AG36</f>
        <v>0</v>
      </c>
      <c r="AH132" s="46">
        <f>+'فرع الاردنية'!AH36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+'فرع الاردنية'!A37</f>
        <v>0</v>
      </c>
      <c r="B136" s="44">
        <f>+'فرع الاردنية'!B37</f>
        <v>0</v>
      </c>
      <c r="C136" s="45">
        <f>+'فرع الاردنية'!C37</f>
        <v>0</v>
      </c>
      <c r="D136" s="45">
        <f>+'فرع الاردنية'!D37</f>
        <v>0</v>
      </c>
      <c r="E136" s="45">
        <f>+'فرع الاردنية'!E37</f>
        <v>0</v>
      </c>
      <c r="F136" s="46">
        <f>+'فرع الاردنية'!F37</f>
        <v>0</v>
      </c>
      <c r="G136" s="46">
        <f>+'فرع الاردنية'!G37</f>
        <v>0</v>
      </c>
      <c r="H136" s="46">
        <f>+'فرع الاردنية'!H37</f>
        <v>0</v>
      </c>
      <c r="I136" s="46">
        <f>+'فرع الاردنية'!I37</f>
        <v>0</v>
      </c>
      <c r="J136" s="46">
        <f>+'فرع الاردنية'!J37</f>
        <v>0</v>
      </c>
      <c r="K136" s="46">
        <f>+'فرع الاردنية'!K37</f>
        <v>0</v>
      </c>
      <c r="L136" s="46">
        <f>+'فرع الاردنية'!L37</f>
        <v>0</v>
      </c>
      <c r="M136" s="46">
        <f>+'فرع الاردنية'!M37</f>
        <v>0</v>
      </c>
      <c r="N136" s="46">
        <f>+'فرع الاردنية'!N37</f>
        <v>0</v>
      </c>
      <c r="O136" s="46">
        <f>+'فرع الاردنية'!O37</f>
        <v>0</v>
      </c>
      <c r="P136" s="46">
        <f>+'فرع الاردنية'!P37</f>
        <v>0</v>
      </c>
      <c r="Q136" s="46">
        <f>+'فرع الاردنية'!Q37</f>
        <v>0</v>
      </c>
      <c r="R136" s="47">
        <f>+'فرع الاردنية'!R37</f>
        <v>0</v>
      </c>
      <c r="S136" s="47">
        <f>+'فرع الاردنية'!S37</f>
        <v>0</v>
      </c>
      <c r="T136" s="46">
        <f>+'فرع الاردنية'!T37</f>
        <v>0</v>
      </c>
      <c r="U136" s="46">
        <f>+'فرع الاردنية'!U37</f>
        <v>0</v>
      </c>
      <c r="V136" s="46">
        <f>+'فرع الاردنية'!V37</f>
        <v>0</v>
      </c>
      <c r="W136" s="46">
        <f>+'فرع الاردنية'!W37</f>
        <v>0</v>
      </c>
      <c r="X136" s="46">
        <f>+'فرع الاردنية'!X37</f>
        <v>0</v>
      </c>
      <c r="Y136" s="46">
        <f>+'فرع الاردنية'!Y37</f>
        <v>0</v>
      </c>
      <c r="Z136" s="46">
        <f>+'فرع الاردنية'!Z37</f>
        <v>0</v>
      </c>
      <c r="AA136" s="46">
        <f>+'فرع الاردنية'!AA37</f>
        <v>0</v>
      </c>
      <c r="AB136" s="46">
        <f>+'فرع الاردنية'!AB37</f>
        <v>0</v>
      </c>
      <c r="AC136" s="46">
        <f>+'فرع الاردنية'!AC37</f>
        <v>0</v>
      </c>
      <c r="AD136" s="46">
        <f>+'فرع الاردنية'!AD37</f>
        <v>0</v>
      </c>
      <c r="AE136" s="46">
        <f>+'فرع الاردنية'!AE37</f>
        <v>0</v>
      </c>
      <c r="AF136" s="46">
        <f>+'فرع الاردنية'!AF37</f>
        <v>0</v>
      </c>
      <c r="AG136" s="46">
        <f>+'فرع الاردنية'!AG37</f>
        <v>0</v>
      </c>
      <c r="AH136" s="46">
        <f>+'فرع الاردنية'!AH37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+'فرع الاردنية'!A38</f>
        <v>0</v>
      </c>
      <c r="B140" s="44">
        <f>+'فرع الاردنية'!B38</f>
        <v>0</v>
      </c>
      <c r="C140" s="45">
        <f>+'فرع الاردنية'!C38</f>
        <v>0</v>
      </c>
      <c r="D140" s="45">
        <f>+'فرع الاردنية'!D38</f>
        <v>0</v>
      </c>
      <c r="E140" s="45">
        <f>+'فرع الاردنية'!E38</f>
        <v>0</v>
      </c>
      <c r="F140" s="46">
        <f>+'فرع الاردنية'!F38</f>
        <v>0</v>
      </c>
      <c r="G140" s="46">
        <f>+'فرع الاردنية'!G38</f>
        <v>0</v>
      </c>
      <c r="H140" s="46">
        <f>+'فرع الاردنية'!H38</f>
        <v>0</v>
      </c>
      <c r="I140" s="46">
        <f>+'فرع الاردنية'!I38</f>
        <v>0</v>
      </c>
      <c r="J140" s="46">
        <f>+'فرع الاردنية'!J38</f>
        <v>0</v>
      </c>
      <c r="K140" s="46">
        <f>+'فرع الاردنية'!K38</f>
        <v>0</v>
      </c>
      <c r="L140" s="46">
        <f>+'فرع الاردنية'!L38</f>
        <v>0</v>
      </c>
      <c r="M140" s="46">
        <f>+'فرع الاردنية'!M38</f>
        <v>0</v>
      </c>
      <c r="N140" s="46">
        <f>+'فرع الاردنية'!N38</f>
        <v>0</v>
      </c>
      <c r="O140" s="46">
        <f>+'فرع الاردنية'!O38</f>
        <v>0</v>
      </c>
      <c r="P140" s="46">
        <f>+'فرع الاردنية'!P38</f>
        <v>0</v>
      </c>
      <c r="Q140" s="46">
        <f>+'فرع الاردنية'!Q38</f>
        <v>0</v>
      </c>
      <c r="R140" s="47">
        <f>+'فرع الاردنية'!R38</f>
        <v>0</v>
      </c>
      <c r="S140" s="47">
        <f>+'فرع الاردنية'!S38</f>
        <v>0</v>
      </c>
      <c r="T140" s="46">
        <f>+'فرع الاردنية'!T38</f>
        <v>0</v>
      </c>
      <c r="U140" s="46">
        <f>+'فرع الاردنية'!U38</f>
        <v>0</v>
      </c>
      <c r="V140" s="46">
        <f>+'فرع الاردنية'!V38</f>
        <v>0</v>
      </c>
      <c r="W140" s="46">
        <f>+'فرع الاردنية'!W38</f>
        <v>0</v>
      </c>
      <c r="X140" s="46">
        <f>+'فرع الاردنية'!X38</f>
        <v>0</v>
      </c>
      <c r="Y140" s="46">
        <f>+'فرع الاردنية'!Y38</f>
        <v>0</v>
      </c>
      <c r="Z140" s="46">
        <f>+'فرع الاردنية'!Z38</f>
        <v>0</v>
      </c>
      <c r="AA140" s="46">
        <f>+'فرع الاردنية'!AA38</f>
        <v>0</v>
      </c>
      <c r="AB140" s="46">
        <f>+'فرع الاردنية'!AB38</f>
        <v>0</v>
      </c>
      <c r="AC140" s="46">
        <f>+'فرع الاردنية'!AC38</f>
        <v>0</v>
      </c>
      <c r="AD140" s="46">
        <f>+'فرع الاردنية'!AD38</f>
        <v>0</v>
      </c>
      <c r="AE140" s="46">
        <f>+'فرع الاردنية'!AE38</f>
        <v>0</v>
      </c>
      <c r="AF140" s="46">
        <f>+'فرع الاردنية'!AF38</f>
        <v>0</v>
      </c>
      <c r="AG140" s="46">
        <f>+'فرع الاردنية'!AG38</f>
        <v>0</v>
      </c>
      <c r="AH140" s="46">
        <f>+'فرع الاردنية'!AH38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+'فرع الاردنية'!A39</f>
        <v>0</v>
      </c>
      <c r="B144" s="44">
        <f>+'فرع الاردنية'!B39</f>
        <v>0</v>
      </c>
      <c r="C144" s="45">
        <f>+'فرع الاردنية'!C39</f>
        <v>0</v>
      </c>
      <c r="D144" s="45">
        <f>+'فرع الاردنية'!D39</f>
        <v>0</v>
      </c>
      <c r="E144" s="45">
        <f>+'فرع الاردنية'!E39</f>
        <v>0</v>
      </c>
      <c r="F144" s="46">
        <f>+'فرع الاردنية'!F39</f>
        <v>0</v>
      </c>
      <c r="G144" s="46">
        <f>+'فرع الاردنية'!G39</f>
        <v>0</v>
      </c>
      <c r="H144" s="46">
        <f>+'فرع الاردنية'!H39</f>
        <v>0</v>
      </c>
      <c r="I144" s="46">
        <f>+'فرع الاردنية'!I39</f>
        <v>0</v>
      </c>
      <c r="J144" s="46">
        <f>+'فرع الاردنية'!J39</f>
        <v>0</v>
      </c>
      <c r="K144" s="46">
        <f>+'فرع الاردنية'!K39</f>
        <v>0</v>
      </c>
      <c r="L144" s="46">
        <f>+'فرع الاردنية'!L39</f>
        <v>0</v>
      </c>
      <c r="M144" s="46">
        <f>+'فرع الاردنية'!M39</f>
        <v>0</v>
      </c>
      <c r="N144" s="46">
        <f>+'فرع الاردنية'!N39</f>
        <v>0</v>
      </c>
      <c r="O144" s="46">
        <f>+'فرع الاردنية'!O39</f>
        <v>0</v>
      </c>
      <c r="P144" s="46">
        <f>+'فرع الاردنية'!P39</f>
        <v>0</v>
      </c>
      <c r="Q144" s="46">
        <f>+'فرع الاردنية'!Q39</f>
        <v>0</v>
      </c>
      <c r="R144" s="47">
        <f>+'فرع الاردنية'!R39</f>
        <v>0</v>
      </c>
      <c r="S144" s="47">
        <f>+'فرع الاردنية'!S39</f>
        <v>0</v>
      </c>
      <c r="T144" s="46">
        <f>+'فرع الاردنية'!T39</f>
        <v>0</v>
      </c>
      <c r="U144" s="46">
        <f>+'فرع الاردنية'!U39</f>
        <v>0</v>
      </c>
      <c r="V144" s="46">
        <f>+'فرع الاردنية'!V39</f>
        <v>0</v>
      </c>
      <c r="W144" s="46">
        <f>+'فرع الاردنية'!W39</f>
        <v>0</v>
      </c>
      <c r="X144" s="46">
        <f>+'فرع الاردنية'!X39</f>
        <v>0</v>
      </c>
      <c r="Y144" s="46">
        <f>+'فرع الاردنية'!Y39</f>
        <v>0</v>
      </c>
      <c r="Z144" s="46">
        <f>+'فرع الاردنية'!Z39</f>
        <v>0</v>
      </c>
      <c r="AA144" s="46">
        <f>+'فرع الاردنية'!AA39</f>
        <v>0</v>
      </c>
      <c r="AB144" s="46">
        <f>+'فرع الاردنية'!AB39</f>
        <v>0</v>
      </c>
      <c r="AC144" s="46">
        <f>+'فرع الاردنية'!AC39</f>
        <v>0</v>
      </c>
      <c r="AD144" s="46">
        <f>+'فرع الاردنية'!AD39</f>
        <v>0</v>
      </c>
      <c r="AE144" s="46">
        <f>+'فرع الاردنية'!AE39</f>
        <v>0</v>
      </c>
      <c r="AF144" s="46">
        <f>+'فرع الاردنية'!AF39</f>
        <v>0</v>
      </c>
      <c r="AG144" s="46">
        <f>+'فرع الاردنية'!AG39</f>
        <v>0</v>
      </c>
      <c r="AH144" s="46">
        <f>+'فرع الاردنية'!AH39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+'فرع الاردنية'!A40</f>
        <v>0</v>
      </c>
      <c r="B148" s="44">
        <f>+'فرع الاردنية'!B40</f>
        <v>0</v>
      </c>
      <c r="C148" s="45">
        <f>+'فرع الاردنية'!C40</f>
        <v>0</v>
      </c>
      <c r="D148" s="45">
        <f>+'فرع الاردنية'!D40</f>
        <v>0</v>
      </c>
      <c r="E148" s="45">
        <f>+'فرع الاردنية'!E40</f>
        <v>0</v>
      </c>
      <c r="F148" s="46">
        <f>+'فرع الاردنية'!F40</f>
        <v>0</v>
      </c>
      <c r="G148" s="46">
        <f>+'فرع الاردنية'!G40</f>
        <v>0</v>
      </c>
      <c r="H148" s="46">
        <f>+'فرع الاردنية'!H40</f>
        <v>0</v>
      </c>
      <c r="I148" s="46">
        <f>+'فرع الاردنية'!I40</f>
        <v>0</v>
      </c>
      <c r="J148" s="46">
        <f>+'فرع الاردنية'!J40</f>
        <v>0</v>
      </c>
      <c r="K148" s="46">
        <f>+'فرع الاردنية'!K40</f>
        <v>0</v>
      </c>
      <c r="L148" s="46">
        <f>+'فرع الاردنية'!L40</f>
        <v>0</v>
      </c>
      <c r="M148" s="46">
        <f>+'فرع الاردنية'!M40</f>
        <v>0</v>
      </c>
      <c r="N148" s="46">
        <f>+'فرع الاردنية'!N40</f>
        <v>0</v>
      </c>
      <c r="O148" s="46">
        <f>+'فرع الاردنية'!O40</f>
        <v>0</v>
      </c>
      <c r="P148" s="46">
        <f>+'فرع الاردنية'!P40</f>
        <v>0</v>
      </c>
      <c r="Q148" s="46">
        <f>+'فرع الاردنية'!Q40</f>
        <v>0</v>
      </c>
      <c r="R148" s="47">
        <f>+'فرع الاردنية'!R40</f>
        <v>0</v>
      </c>
      <c r="S148" s="47">
        <f>+'فرع الاردنية'!S40</f>
        <v>0</v>
      </c>
      <c r="T148" s="46">
        <f>+'فرع الاردنية'!T40</f>
        <v>0</v>
      </c>
      <c r="U148" s="46">
        <f>+'فرع الاردنية'!U40</f>
        <v>0</v>
      </c>
      <c r="V148" s="46">
        <f>+'فرع الاردنية'!V40</f>
        <v>0</v>
      </c>
      <c r="W148" s="46">
        <f>+'فرع الاردنية'!W40</f>
        <v>0</v>
      </c>
      <c r="X148" s="46">
        <f>+'فرع الاردنية'!X40</f>
        <v>0</v>
      </c>
      <c r="Y148" s="46">
        <f>+'فرع الاردنية'!Y40</f>
        <v>0</v>
      </c>
      <c r="Z148" s="46">
        <f>+'فرع الاردنية'!Z40</f>
        <v>0</v>
      </c>
      <c r="AA148" s="46">
        <f>+'فرع الاردنية'!AA40</f>
        <v>0</v>
      </c>
      <c r="AB148" s="46">
        <f>+'فرع الاردنية'!AB40</f>
        <v>0</v>
      </c>
      <c r="AC148" s="46">
        <f>+'فرع الاردنية'!AC40</f>
        <v>0</v>
      </c>
      <c r="AD148" s="46">
        <f>+'فرع الاردنية'!AD40</f>
        <v>0</v>
      </c>
      <c r="AE148" s="46">
        <f>+'فرع الاردنية'!AE40</f>
        <v>0</v>
      </c>
      <c r="AF148" s="46">
        <f>+'فرع الاردنية'!AF40</f>
        <v>0</v>
      </c>
      <c r="AG148" s="46">
        <f>+'فرع الاردنية'!AG40</f>
        <v>0</v>
      </c>
      <c r="AH148" s="46">
        <f>+'فرع الاردنية'!AH40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+'فرع الاردنية'!A41</f>
        <v>0</v>
      </c>
      <c r="B152" s="44">
        <f>+'فرع الاردنية'!B41</f>
        <v>0</v>
      </c>
      <c r="C152" s="45">
        <f>+'فرع الاردنية'!C41</f>
        <v>0</v>
      </c>
      <c r="D152" s="45">
        <f>+'فرع الاردنية'!D41</f>
        <v>0</v>
      </c>
      <c r="E152" s="45">
        <f>+'فرع الاردنية'!E41</f>
        <v>0</v>
      </c>
      <c r="F152" s="46">
        <f>+'فرع الاردنية'!F41</f>
        <v>0</v>
      </c>
      <c r="G152" s="46">
        <f>+'فرع الاردنية'!G41</f>
        <v>0</v>
      </c>
      <c r="H152" s="46">
        <f>+'فرع الاردنية'!H41</f>
        <v>0</v>
      </c>
      <c r="I152" s="46">
        <f>+'فرع الاردنية'!I41</f>
        <v>0</v>
      </c>
      <c r="J152" s="46">
        <f>+'فرع الاردنية'!J41</f>
        <v>0</v>
      </c>
      <c r="K152" s="46">
        <f>+'فرع الاردنية'!K41</f>
        <v>0</v>
      </c>
      <c r="L152" s="46">
        <f>+'فرع الاردنية'!L41</f>
        <v>0</v>
      </c>
      <c r="M152" s="46">
        <f>+'فرع الاردنية'!M41</f>
        <v>0</v>
      </c>
      <c r="N152" s="46">
        <f>+'فرع الاردنية'!N41</f>
        <v>0</v>
      </c>
      <c r="O152" s="46">
        <f>+'فرع الاردنية'!O41</f>
        <v>0</v>
      </c>
      <c r="P152" s="46">
        <f>+'فرع الاردنية'!P41</f>
        <v>0</v>
      </c>
      <c r="Q152" s="46">
        <f>+'فرع الاردنية'!Q41</f>
        <v>0</v>
      </c>
      <c r="R152" s="47">
        <f>+'فرع الاردنية'!R41</f>
        <v>0</v>
      </c>
      <c r="S152" s="47">
        <f>+'فرع الاردنية'!S41</f>
        <v>0</v>
      </c>
      <c r="T152" s="46">
        <f>+'فرع الاردنية'!T41</f>
        <v>0</v>
      </c>
      <c r="U152" s="46">
        <f>+'فرع الاردنية'!U41</f>
        <v>0</v>
      </c>
      <c r="V152" s="46">
        <f>+'فرع الاردنية'!V41</f>
        <v>0</v>
      </c>
      <c r="W152" s="46">
        <f>+'فرع الاردنية'!W41</f>
        <v>0</v>
      </c>
      <c r="X152" s="46">
        <f>+'فرع الاردنية'!X41</f>
        <v>0</v>
      </c>
      <c r="Y152" s="46">
        <f>+'فرع الاردنية'!Y41</f>
        <v>0</v>
      </c>
      <c r="Z152" s="46">
        <f>+'فرع الاردنية'!Z41</f>
        <v>0</v>
      </c>
      <c r="AA152" s="46">
        <f>+'فرع الاردنية'!AA41</f>
        <v>0</v>
      </c>
      <c r="AB152" s="46">
        <f>+'فرع الاردنية'!AB41</f>
        <v>0</v>
      </c>
      <c r="AC152" s="46">
        <f>+'فرع الاردنية'!AC41</f>
        <v>0</v>
      </c>
      <c r="AD152" s="46">
        <f>+'فرع الاردنية'!AD41</f>
        <v>0</v>
      </c>
      <c r="AE152" s="46">
        <f>+'فرع الاردنية'!AE41</f>
        <v>0</v>
      </c>
      <c r="AF152" s="46">
        <f>+'فرع الاردنية'!AF41</f>
        <v>0</v>
      </c>
      <c r="AG152" s="46">
        <f>+'فرع الاردنية'!AG41</f>
        <v>0</v>
      </c>
      <c r="AH152" s="46">
        <f>+'فرع الاردنية'!AH41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+'فرع الاردنية'!A42</f>
        <v>0</v>
      </c>
      <c r="B156" s="44">
        <f>+'فرع الاردنية'!B42</f>
        <v>0</v>
      </c>
      <c r="C156" s="45">
        <f>+'فرع الاردنية'!C42</f>
        <v>0</v>
      </c>
      <c r="D156" s="45">
        <f>+'فرع الاردنية'!D42</f>
        <v>0</v>
      </c>
      <c r="E156" s="45">
        <f>+'فرع الاردنية'!E42</f>
        <v>0</v>
      </c>
      <c r="F156" s="46">
        <f>'فرع الاردنية'!F42</f>
        <v>0</v>
      </c>
      <c r="G156" s="46">
        <f>'فرع الاردنية'!G42</f>
        <v>0</v>
      </c>
      <c r="H156" s="46">
        <f>'فرع الاردنية'!H42</f>
        <v>0</v>
      </c>
      <c r="I156" s="46">
        <f>'فرع الاردنية'!I42</f>
        <v>0</v>
      </c>
      <c r="J156" s="46">
        <f>'فرع الاردنية'!J42</f>
        <v>0</v>
      </c>
      <c r="K156" s="46">
        <f>'فرع الاردنية'!K42</f>
        <v>0</v>
      </c>
      <c r="L156" s="46">
        <f>'فرع الاردنية'!L42</f>
        <v>0</v>
      </c>
      <c r="M156" s="46">
        <f>'فرع الاردنية'!M42</f>
        <v>0</v>
      </c>
      <c r="N156" s="46">
        <f>'فرع الاردنية'!N42</f>
        <v>0</v>
      </c>
      <c r="O156" s="46">
        <f>'فرع الاردنية'!O42</f>
        <v>0</v>
      </c>
      <c r="P156" s="46">
        <f>'فرع الاردنية'!P42</f>
        <v>0</v>
      </c>
      <c r="Q156" s="46">
        <f>'فرع الاردنية'!Q42</f>
        <v>0</v>
      </c>
      <c r="R156" s="47">
        <f>'فرع الاردنية'!R42</f>
        <v>0</v>
      </c>
      <c r="S156" s="47">
        <f>'فرع الاردنية'!S42</f>
        <v>0</v>
      </c>
      <c r="T156" s="46">
        <f>'فرع الاردنية'!T42</f>
        <v>0</v>
      </c>
      <c r="U156" s="46">
        <f>'فرع الاردنية'!U42</f>
        <v>0</v>
      </c>
      <c r="V156" s="46">
        <f>'فرع الاردنية'!V42</f>
        <v>0</v>
      </c>
      <c r="W156" s="46">
        <f>'فرع الاردنية'!W42</f>
        <v>0</v>
      </c>
      <c r="X156" s="46">
        <f>'فرع الاردنية'!X42</f>
        <v>0</v>
      </c>
      <c r="Y156" s="46">
        <f>'فرع الاردنية'!Y42</f>
        <v>0</v>
      </c>
      <c r="Z156" s="46">
        <f>'فرع الاردنية'!Z42</f>
        <v>0</v>
      </c>
      <c r="AA156" s="46">
        <f>'فرع الاردنية'!AA42</f>
        <v>0</v>
      </c>
      <c r="AB156" s="46">
        <f>'فرع الاردنية'!AB42</f>
        <v>0</v>
      </c>
      <c r="AC156" s="46">
        <f>'فرع الاردنية'!AC42</f>
        <v>0</v>
      </c>
      <c r="AD156" s="46">
        <f>'فرع الاردنية'!AD42</f>
        <v>0</v>
      </c>
      <c r="AE156" s="46">
        <f>'فرع الاردنية'!AE42</f>
        <v>0</v>
      </c>
      <c r="AF156" s="46">
        <f>'فرع الاردنية'!AF42</f>
        <v>0</v>
      </c>
      <c r="AG156" s="46">
        <f>'فرع الاردنية'!AG42</f>
        <v>0</v>
      </c>
      <c r="AH156" s="46">
        <f>'فرع الاردنية'!AH42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+'فرع الاردنية'!A43</f>
        <v>0</v>
      </c>
      <c r="B160" s="44">
        <f>+'فرع الاردنية'!B43</f>
        <v>0</v>
      </c>
      <c r="C160" s="45">
        <f>+'فرع الاردنية'!C43</f>
        <v>0</v>
      </c>
      <c r="D160" s="45">
        <f>+'فرع الاردنية'!D43</f>
        <v>0</v>
      </c>
      <c r="E160" s="45">
        <f>+'فرع الاردنية'!E43</f>
        <v>0</v>
      </c>
      <c r="F160" s="46">
        <f>'فرع الاردنية'!F43</f>
        <v>0</v>
      </c>
      <c r="G160" s="46">
        <f>'فرع الاردنية'!G43</f>
        <v>0</v>
      </c>
      <c r="H160" s="46">
        <f>'فرع الاردنية'!H43</f>
        <v>0</v>
      </c>
      <c r="I160" s="46">
        <f>'فرع الاردنية'!I43</f>
        <v>0</v>
      </c>
      <c r="J160" s="46">
        <f>'فرع الاردنية'!J43</f>
        <v>0</v>
      </c>
      <c r="K160" s="46">
        <f>'فرع الاردنية'!K43</f>
        <v>0</v>
      </c>
      <c r="L160" s="46">
        <f>'فرع الاردنية'!L43</f>
        <v>0</v>
      </c>
      <c r="M160" s="46">
        <f>'فرع الاردنية'!M43</f>
        <v>0</v>
      </c>
      <c r="N160" s="46">
        <f>'فرع الاردنية'!N43</f>
        <v>0</v>
      </c>
      <c r="O160" s="46">
        <f>'فرع الاردنية'!O43</f>
        <v>0</v>
      </c>
      <c r="P160" s="46">
        <f>'فرع الاردنية'!P43</f>
        <v>0</v>
      </c>
      <c r="Q160" s="46">
        <f>'فرع الاردنية'!Q43</f>
        <v>0</v>
      </c>
      <c r="R160" s="47">
        <f>'فرع الاردنية'!R43</f>
        <v>0</v>
      </c>
      <c r="S160" s="47">
        <f>'فرع الاردنية'!S43</f>
        <v>0</v>
      </c>
      <c r="T160" s="46">
        <f>'فرع الاردنية'!T43</f>
        <v>0</v>
      </c>
      <c r="U160" s="46">
        <f>'فرع الاردنية'!U43</f>
        <v>0</v>
      </c>
      <c r="V160" s="46">
        <f>'فرع الاردنية'!V43</f>
        <v>0</v>
      </c>
      <c r="W160" s="46">
        <f>'فرع الاردنية'!W43</f>
        <v>0</v>
      </c>
      <c r="X160" s="46">
        <f>'فرع الاردنية'!X43</f>
        <v>0</v>
      </c>
      <c r="Y160" s="46">
        <f>'فرع الاردنية'!Y43</f>
        <v>0</v>
      </c>
      <c r="Z160" s="46">
        <f>'فرع الاردنية'!Z43</f>
        <v>0</v>
      </c>
      <c r="AA160" s="46">
        <f>'فرع الاردنية'!AA43</f>
        <v>0</v>
      </c>
      <c r="AB160" s="46">
        <f>'فرع الاردنية'!AB43</f>
        <v>0</v>
      </c>
      <c r="AC160" s="46">
        <f>'فرع الاردنية'!AC43</f>
        <v>0</v>
      </c>
      <c r="AD160" s="46">
        <f>'فرع الاردنية'!AD43</f>
        <v>0</v>
      </c>
      <c r="AE160" s="46">
        <f>'فرع الاردنية'!AE43</f>
        <v>0</v>
      </c>
      <c r="AF160" s="46">
        <f>'فرع الاردنية'!AF43</f>
        <v>0</v>
      </c>
      <c r="AG160" s="46">
        <f>'فرع الاردنية'!AG43</f>
        <v>0</v>
      </c>
      <c r="AH160" s="46">
        <f>'فرع الاردنية'!AH43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+'فرع الاردنية'!A44</f>
        <v>0</v>
      </c>
      <c r="B164" s="44">
        <f>+'فرع الاردنية'!B44</f>
        <v>0</v>
      </c>
      <c r="C164" s="45">
        <f>+'فرع الاردنية'!C44</f>
        <v>0</v>
      </c>
      <c r="D164" s="45">
        <f>+'فرع الاردنية'!D44</f>
        <v>0</v>
      </c>
      <c r="E164" s="45">
        <f>+'فرع الاردنية'!E44</f>
        <v>0</v>
      </c>
      <c r="F164" s="46">
        <f>'فرع الاردنية'!F44</f>
        <v>0</v>
      </c>
      <c r="G164" s="46">
        <f>'فرع الاردنية'!G44</f>
        <v>0</v>
      </c>
      <c r="H164" s="46">
        <f>'فرع الاردنية'!H44</f>
        <v>0</v>
      </c>
      <c r="I164" s="46">
        <f>'فرع الاردنية'!I44</f>
        <v>0</v>
      </c>
      <c r="J164" s="46">
        <f>'فرع الاردنية'!J44</f>
        <v>0</v>
      </c>
      <c r="K164" s="46">
        <f>'فرع الاردنية'!K44</f>
        <v>0</v>
      </c>
      <c r="L164" s="46">
        <f>'فرع الاردنية'!L44</f>
        <v>0</v>
      </c>
      <c r="M164" s="46">
        <f>'فرع الاردنية'!M44</f>
        <v>0</v>
      </c>
      <c r="N164" s="46">
        <f>'فرع الاردنية'!N44</f>
        <v>0</v>
      </c>
      <c r="O164" s="46">
        <f>'فرع الاردنية'!O44</f>
        <v>0</v>
      </c>
      <c r="P164" s="46">
        <f>'فرع الاردنية'!P44</f>
        <v>0</v>
      </c>
      <c r="Q164" s="46">
        <f>'فرع الاردنية'!Q44</f>
        <v>0</v>
      </c>
      <c r="R164" s="47">
        <f>'فرع الاردنية'!R44</f>
        <v>0</v>
      </c>
      <c r="S164" s="47">
        <f>'فرع الاردنية'!S44</f>
        <v>0</v>
      </c>
      <c r="T164" s="46">
        <f>'فرع الاردنية'!T44</f>
        <v>0</v>
      </c>
      <c r="U164" s="46">
        <f>'فرع الاردنية'!U44</f>
        <v>0</v>
      </c>
      <c r="V164" s="46">
        <f>'فرع الاردنية'!V44</f>
        <v>0</v>
      </c>
      <c r="W164" s="46">
        <f>'فرع الاردنية'!W44</f>
        <v>0</v>
      </c>
      <c r="X164" s="46">
        <f>'فرع الاردنية'!X44</f>
        <v>0</v>
      </c>
      <c r="Y164" s="46">
        <f>'فرع الاردنية'!Y44</f>
        <v>0</v>
      </c>
      <c r="Z164" s="46">
        <f>'فرع الاردنية'!Z44</f>
        <v>0</v>
      </c>
      <c r="AA164" s="46">
        <f>'فرع الاردنية'!AA44</f>
        <v>0</v>
      </c>
      <c r="AB164" s="46">
        <f>'فرع الاردنية'!AB44</f>
        <v>0</v>
      </c>
      <c r="AC164" s="46">
        <f>'فرع الاردنية'!AC44</f>
        <v>0</v>
      </c>
      <c r="AD164" s="46">
        <f>'فرع الاردنية'!AD44</f>
        <v>0</v>
      </c>
      <c r="AE164" s="46">
        <f>'فرع الاردنية'!AE44</f>
        <v>0</v>
      </c>
      <c r="AF164" s="46">
        <f>'فرع الاردنية'!AF44</f>
        <v>0</v>
      </c>
      <c r="AG164" s="46">
        <f>'فرع الاردنية'!AG44</f>
        <v>0</v>
      </c>
      <c r="AH164" s="46">
        <f>'فرع الاردنية'!AH44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+'فرع الاردنية'!A45</f>
        <v>0</v>
      </c>
      <c r="B168" s="44">
        <f>+'فرع الاردنية'!B45</f>
        <v>0</v>
      </c>
      <c r="C168" s="45">
        <f>+'فرع الاردنية'!C45</f>
        <v>0</v>
      </c>
      <c r="D168" s="45">
        <f>+'فرع الاردنية'!D45</f>
        <v>0</v>
      </c>
      <c r="E168" s="45">
        <f>+'فرع الاردنية'!E45</f>
        <v>0</v>
      </c>
      <c r="F168" s="46">
        <f>'فرع الاردنية'!F45</f>
        <v>0</v>
      </c>
      <c r="G168" s="46">
        <f>'فرع الاردنية'!G45</f>
        <v>0</v>
      </c>
      <c r="H168" s="46">
        <f>'فرع الاردنية'!H45</f>
        <v>0</v>
      </c>
      <c r="I168" s="46">
        <f>'فرع الاردنية'!I45</f>
        <v>0</v>
      </c>
      <c r="J168" s="46">
        <f>'فرع الاردنية'!J45</f>
        <v>0</v>
      </c>
      <c r="K168" s="46">
        <f>'فرع الاردنية'!K45</f>
        <v>0</v>
      </c>
      <c r="L168" s="46">
        <f>'فرع الاردنية'!L45</f>
        <v>0</v>
      </c>
      <c r="M168" s="46">
        <f>'فرع الاردنية'!M45</f>
        <v>0</v>
      </c>
      <c r="N168" s="46">
        <f>'فرع الاردنية'!N45</f>
        <v>0</v>
      </c>
      <c r="O168" s="46">
        <f>'فرع الاردنية'!O45</f>
        <v>0</v>
      </c>
      <c r="P168" s="46">
        <f>'فرع الاردنية'!P45</f>
        <v>0</v>
      </c>
      <c r="Q168" s="46">
        <f>'فرع الاردنية'!Q45</f>
        <v>0</v>
      </c>
      <c r="R168" s="47">
        <f>'فرع الاردنية'!R45</f>
        <v>0</v>
      </c>
      <c r="S168" s="47">
        <f>'فرع الاردنية'!S45</f>
        <v>0</v>
      </c>
      <c r="T168" s="46">
        <f>'فرع الاردنية'!T45</f>
        <v>0</v>
      </c>
      <c r="U168" s="46">
        <f>'فرع الاردنية'!U45</f>
        <v>0</v>
      </c>
      <c r="V168" s="46">
        <f>'فرع الاردنية'!V45</f>
        <v>0</v>
      </c>
      <c r="W168" s="46">
        <f>'فرع الاردنية'!W45</f>
        <v>0</v>
      </c>
      <c r="X168" s="46">
        <f>'فرع الاردنية'!X45</f>
        <v>0</v>
      </c>
      <c r="Y168" s="46">
        <f>'فرع الاردنية'!Y45</f>
        <v>0</v>
      </c>
      <c r="Z168" s="46">
        <f>'فرع الاردنية'!Z45</f>
        <v>0</v>
      </c>
      <c r="AA168" s="46">
        <f>'فرع الاردنية'!AA45</f>
        <v>0</v>
      </c>
      <c r="AB168" s="46">
        <f>'فرع الاردنية'!AB45</f>
        <v>0</v>
      </c>
      <c r="AC168" s="46">
        <f>'فرع الاردنية'!AC45</f>
        <v>0</v>
      </c>
      <c r="AD168" s="46">
        <f>'فرع الاردنية'!AD45</f>
        <v>0</v>
      </c>
      <c r="AE168" s="46">
        <f>'فرع الاردنية'!AE45</f>
        <v>0</v>
      </c>
      <c r="AF168" s="46">
        <f>'فرع الاردنية'!AF45</f>
        <v>0</v>
      </c>
      <c r="AG168" s="46">
        <f>'فرع الاردنية'!AG45</f>
        <v>0</v>
      </c>
      <c r="AH168" s="46">
        <f>'فرع الاردنية'!AH45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+'فرع الاردنية'!A46</f>
        <v>0</v>
      </c>
      <c r="B172" s="44">
        <f>+'فرع الاردنية'!B46</f>
        <v>0</v>
      </c>
      <c r="C172" s="45">
        <f>+'فرع الاردنية'!C46</f>
        <v>0</v>
      </c>
      <c r="D172" s="45">
        <f>+'فرع الاردنية'!D46</f>
        <v>0</v>
      </c>
      <c r="E172" s="45">
        <f>+'فرع الاردنية'!E46</f>
        <v>0</v>
      </c>
      <c r="F172" s="46">
        <f>'فرع الاردنية'!F46</f>
        <v>0</v>
      </c>
      <c r="G172" s="46">
        <f>'فرع الاردنية'!G46</f>
        <v>0</v>
      </c>
      <c r="H172" s="46">
        <f>'فرع الاردنية'!H46</f>
        <v>0</v>
      </c>
      <c r="I172" s="46">
        <f>'فرع الاردنية'!I46</f>
        <v>0</v>
      </c>
      <c r="J172" s="46">
        <f>'فرع الاردنية'!J46</f>
        <v>0</v>
      </c>
      <c r="K172" s="46">
        <f>'فرع الاردنية'!K46</f>
        <v>0</v>
      </c>
      <c r="L172" s="46">
        <f>'فرع الاردنية'!L46</f>
        <v>0</v>
      </c>
      <c r="M172" s="46">
        <f>'فرع الاردنية'!M46</f>
        <v>0</v>
      </c>
      <c r="N172" s="46">
        <f>'فرع الاردنية'!N46</f>
        <v>0</v>
      </c>
      <c r="O172" s="46">
        <f>'فرع الاردنية'!O46</f>
        <v>0</v>
      </c>
      <c r="P172" s="46">
        <f>'فرع الاردنية'!P46</f>
        <v>0</v>
      </c>
      <c r="Q172" s="46">
        <f>'فرع الاردنية'!Q46</f>
        <v>0</v>
      </c>
      <c r="R172" s="47">
        <f>'فرع الاردنية'!R46</f>
        <v>0</v>
      </c>
      <c r="S172" s="47"/>
      <c r="T172" s="46">
        <f>'فرع الاردنية'!T46</f>
        <v>0</v>
      </c>
      <c r="U172" s="46">
        <f>'فرع الاردنية'!U46</f>
        <v>0</v>
      </c>
      <c r="V172" s="46">
        <f>'فرع الاردنية'!V46</f>
        <v>0</v>
      </c>
      <c r="W172" s="46">
        <f>'فرع الاردنية'!W46</f>
        <v>0</v>
      </c>
      <c r="X172" s="46">
        <f>'فرع الاردنية'!X46</f>
        <v>0</v>
      </c>
      <c r="Y172" s="46">
        <f>'فرع الاردنية'!Y46</f>
        <v>0</v>
      </c>
      <c r="Z172" s="46">
        <f>'فرع الاردنية'!Z46</f>
        <v>0</v>
      </c>
      <c r="AA172" s="46">
        <f>'فرع الاردنية'!AA46</f>
        <v>0</v>
      </c>
      <c r="AB172" s="46">
        <f>'فرع الاردنية'!AB46</f>
        <v>0</v>
      </c>
      <c r="AC172" s="46">
        <f>'فرع الاردنية'!AC46</f>
        <v>0</v>
      </c>
      <c r="AD172" s="46">
        <f>'فرع الاردنية'!AD46</f>
        <v>0</v>
      </c>
      <c r="AE172" s="46">
        <f>'فرع الاردنية'!AE46</f>
        <v>0</v>
      </c>
      <c r="AF172" s="46">
        <f>'فرع الاردنية'!AF46</f>
        <v>0</v>
      </c>
      <c r="AG172" s="46">
        <f>'فرع الاردنية'!AG46</f>
        <v>0</v>
      </c>
      <c r="AH172" s="46">
        <f>'فرع الاردنية'!AH46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+'فرع الاردنية'!A47</f>
        <v>0</v>
      </c>
      <c r="B176" s="44">
        <f>+'فرع الاردنية'!B47</f>
        <v>0</v>
      </c>
      <c r="C176" s="45">
        <f>+'فرع الاردنية'!C47</f>
        <v>0</v>
      </c>
      <c r="D176" s="45">
        <f>+'فرع الاردنية'!D47</f>
        <v>0</v>
      </c>
      <c r="E176" s="45">
        <f>+'فرع الاردنية'!E47</f>
        <v>0</v>
      </c>
      <c r="F176" s="46">
        <f>'فرع الاردنية'!F47</f>
        <v>0</v>
      </c>
      <c r="G176" s="46">
        <f>'فرع الاردنية'!G47</f>
        <v>0</v>
      </c>
      <c r="H176" s="46">
        <f>'فرع الاردنية'!H47</f>
        <v>0</v>
      </c>
      <c r="I176" s="46">
        <f>'فرع الاردنية'!I47</f>
        <v>0</v>
      </c>
      <c r="J176" s="46">
        <f>'فرع الاردنية'!J47</f>
        <v>0</v>
      </c>
      <c r="K176" s="46">
        <f>'فرع الاردنية'!K47</f>
        <v>0</v>
      </c>
      <c r="L176" s="46">
        <f>'فرع الاردنية'!L47</f>
        <v>0</v>
      </c>
      <c r="M176" s="46">
        <f>'فرع الاردنية'!M47</f>
        <v>0</v>
      </c>
      <c r="N176" s="46">
        <f>'فرع الاردنية'!N47</f>
        <v>0</v>
      </c>
      <c r="O176" s="46">
        <f>'فرع الاردنية'!O47</f>
        <v>0</v>
      </c>
      <c r="P176" s="46">
        <f>'فرع الاردنية'!P47</f>
        <v>0</v>
      </c>
      <c r="Q176" s="46">
        <f>'فرع الاردنية'!Q47</f>
        <v>0</v>
      </c>
      <c r="R176" s="47">
        <f>'فرع الاردنية'!R47</f>
        <v>0</v>
      </c>
      <c r="S176" s="47">
        <f>'فرع الاردنية'!S47</f>
        <v>0</v>
      </c>
      <c r="T176" s="46">
        <f>'فرع الاردنية'!T47</f>
        <v>0</v>
      </c>
      <c r="U176" s="46">
        <f>'فرع الاردنية'!U47</f>
        <v>0</v>
      </c>
      <c r="V176" s="46">
        <f>'فرع الاردنية'!V47</f>
        <v>0</v>
      </c>
      <c r="W176" s="46">
        <f>'فرع الاردنية'!W47</f>
        <v>0</v>
      </c>
      <c r="X176" s="46">
        <f>'فرع الاردنية'!X47</f>
        <v>0</v>
      </c>
      <c r="Y176" s="46">
        <f>'فرع الاردنية'!Y47</f>
        <v>0</v>
      </c>
      <c r="Z176" s="46">
        <f>'فرع الاردنية'!Z47</f>
        <v>0</v>
      </c>
      <c r="AA176" s="46">
        <f>'فرع الاردنية'!AA47</f>
        <v>0</v>
      </c>
      <c r="AB176" s="46">
        <f>'فرع الاردنية'!AB47</f>
        <v>0</v>
      </c>
      <c r="AC176" s="46">
        <f>'فرع الاردنية'!AC47</f>
        <v>0</v>
      </c>
      <c r="AD176" s="46">
        <f>'فرع الاردنية'!AD47</f>
        <v>0</v>
      </c>
      <c r="AE176" s="46">
        <f>'فرع الاردنية'!AE47</f>
        <v>0</v>
      </c>
      <c r="AF176" s="46">
        <f>'فرع الاردنية'!AF47</f>
        <v>0</v>
      </c>
      <c r="AG176" s="46">
        <f>'فرع الاردنية'!AG47</f>
        <v>0</v>
      </c>
      <c r="AH176" s="46">
        <f>'فرع الاردنية'!AH47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+'فرع الاردنية'!A48</f>
        <v>0</v>
      </c>
      <c r="B180" s="44">
        <f>+'فرع الاردنية'!B48</f>
        <v>0</v>
      </c>
      <c r="C180" s="45">
        <f>+'فرع الاردنية'!C48</f>
        <v>0</v>
      </c>
      <c r="D180" s="45">
        <f>+'فرع الاردنية'!D48</f>
        <v>0</v>
      </c>
      <c r="E180" s="45">
        <f>+'فرع الاردنية'!E48</f>
        <v>0</v>
      </c>
      <c r="F180" s="46">
        <f>'فرع الاردنية'!F48</f>
        <v>0</v>
      </c>
      <c r="G180" s="46">
        <f>'فرع الاردنية'!G48</f>
        <v>0</v>
      </c>
      <c r="H180" s="46">
        <f>'فرع الاردنية'!H48</f>
        <v>0</v>
      </c>
      <c r="I180" s="46">
        <f>'فرع الاردنية'!I48</f>
        <v>0</v>
      </c>
      <c r="J180" s="46">
        <f>'فرع الاردنية'!J48</f>
        <v>0</v>
      </c>
      <c r="K180" s="46">
        <f>'فرع الاردنية'!K48</f>
        <v>0</v>
      </c>
      <c r="L180" s="46">
        <f>'فرع الاردنية'!L48</f>
        <v>0</v>
      </c>
      <c r="M180" s="46">
        <f>'فرع الاردنية'!M48</f>
        <v>0</v>
      </c>
      <c r="N180" s="46">
        <f>'فرع الاردنية'!N48</f>
        <v>0</v>
      </c>
      <c r="O180" s="46">
        <f>'فرع الاردنية'!O48</f>
        <v>0</v>
      </c>
      <c r="P180" s="46">
        <f>'فرع الاردنية'!P48</f>
        <v>0</v>
      </c>
      <c r="Q180" s="46">
        <f>'فرع الاردنية'!Q48</f>
        <v>0</v>
      </c>
      <c r="R180" s="47">
        <f>'فرع الاردنية'!R48</f>
        <v>0</v>
      </c>
      <c r="S180" s="47">
        <f>'فرع الاردنية'!S48</f>
        <v>0</v>
      </c>
      <c r="T180" s="46">
        <f>'فرع الاردنية'!T48</f>
        <v>0</v>
      </c>
      <c r="U180" s="46">
        <f>'فرع الاردنية'!U48</f>
        <v>0</v>
      </c>
      <c r="V180" s="46">
        <f>'فرع الاردنية'!V48</f>
        <v>0</v>
      </c>
      <c r="W180" s="46">
        <f>'فرع الاردنية'!W48</f>
        <v>0</v>
      </c>
      <c r="X180" s="46">
        <f>'فرع الاردنية'!X48</f>
        <v>0</v>
      </c>
      <c r="Y180" s="46">
        <f>'فرع الاردنية'!Y48</f>
        <v>0</v>
      </c>
      <c r="Z180" s="46">
        <f>'فرع الاردنية'!Z48</f>
        <v>0</v>
      </c>
      <c r="AA180" s="46">
        <f>'فرع الاردنية'!AA48</f>
        <v>0</v>
      </c>
      <c r="AB180" s="46">
        <f>'فرع الاردنية'!AB48</f>
        <v>0</v>
      </c>
      <c r="AC180" s="46">
        <f>'فرع الاردنية'!AC48</f>
        <v>0</v>
      </c>
      <c r="AD180" s="46">
        <f>'فرع الاردنية'!AD48</f>
        <v>0</v>
      </c>
      <c r="AE180" s="46">
        <f>'فرع الاردنية'!AE48</f>
        <v>0</v>
      </c>
      <c r="AF180" s="46">
        <f>'فرع الاردنية'!AF48</f>
        <v>0</v>
      </c>
      <c r="AG180" s="46">
        <f>'فرع الاردنية'!AG48</f>
        <v>0</v>
      </c>
      <c r="AH180" s="46">
        <f>'فرع الاردنية'!AH48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+'فرع الاردنية'!A49</f>
        <v>0</v>
      </c>
      <c r="B184" s="44">
        <f>+'فرع الاردنية'!B49</f>
        <v>0</v>
      </c>
      <c r="C184" s="45">
        <f>+'فرع الاردنية'!C49</f>
        <v>0</v>
      </c>
      <c r="D184" s="45">
        <f>+'فرع الاردنية'!D49</f>
        <v>0</v>
      </c>
      <c r="E184" s="45">
        <f>+'فرع الاردنية'!E49</f>
        <v>0</v>
      </c>
      <c r="F184" s="46">
        <f>'فرع الاردنية'!F49</f>
        <v>0</v>
      </c>
      <c r="G184" s="46">
        <f>'فرع الاردنية'!G49</f>
        <v>0</v>
      </c>
      <c r="H184" s="46">
        <f>'فرع الاردنية'!H49</f>
        <v>0</v>
      </c>
      <c r="I184" s="46">
        <f>'فرع الاردنية'!I49</f>
        <v>0</v>
      </c>
      <c r="J184" s="46">
        <f>'فرع الاردنية'!J49</f>
        <v>0</v>
      </c>
      <c r="K184" s="46">
        <f>'فرع الاردنية'!K49</f>
        <v>0</v>
      </c>
      <c r="L184" s="46">
        <f>'فرع الاردنية'!L49</f>
        <v>0</v>
      </c>
      <c r="M184" s="46">
        <f>'فرع الاردنية'!M49</f>
        <v>0</v>
      </c>
      <c r="N184" s="46">
        <f>'فرع الاردنية'!N49</f>
        <v>0</v>
      </c>
      <c r="O184" s="46">
        <f>'فرع الاردنية'!O49</f>
        <v>0</v>
      </c>
      <c r="P184" s="46">
        <f>'فرع الاردنية'!P49</f>
        <v>0</v>
      </c>
      <c r="Q184" s="46">
        <f>'فرع الاردنية'!Q49</f>
        <v>0</v>
      </c>
      <c r="R184" s="47">
        <f>'فرع الاردنية'!R49</f>
        <v>0</v>
      </c>
      <c r="S184" s="47">
        <f>'فرع الاردنية'!S49</f>
        <v>0</v>
      </c>
      <c r="T184" s="46">
        <f>'فرع الاردنية'!T49</f>
        <v>0</v>
      </c>
      <c r="U184" s="46">
        <f>'فرع الاردنية'!U49</f>
        <v>0</v>
      </c>
      <c r="V184" s="46">
        <f>'فرع الاردنية'!V49</f>
        <v>0</v>
      </c>
      <c r="W184" s="46">
        <f>'فرع الاردنية'!W49</f>
        <v>0</v>
      </c>
      <c r="X184" s="46">
        <f>'فرع الاردنية'!X49</f>
        <v>0</v>
      </c>
      <c r="Y184" s="46">
        <f>'فرع الاردنية'!Y49</f>
        <v>0</v>
      </c>
      <c r="Z184" s="46">
        <f>'فرع الاردنية'!Z49</f>
        <v>0</v>
      </c>
      <c r="AA184" s="46">
        <f>'فرع الاردنية'!AA49</f>
        <v>0</v>
      </c>
      <c r="AB184" s="46">
        <f>'فرع الاردنية'!AB49</f>
        <v>0</v>
      </c>
      <c r="AC184" s="46">
        <f>'فرع الاردنية'!AC49</f>
        <v>0</v>
      </c>
      <c r="AD184" s="46">
        <f>'فرع الاردنية'!AD49</f>
        <v>0</v>
      </c>
      <c r="AE184" s="46">
        <f>'فرع الاردنية'!AE49</f>
        <v>0</v>
      </c>
      <c r="AF184" s="46">
        <f>'فرع الاردنية'!AF49</f>
        <v>0</v>
      </c>
      <c r="AG184" s="46">
        <f>'فرع الاردنية'!AG49</f>
        <v>0</v>
      </c>
      <c r="AH184" s="46">
        <f>'فرع الاردنية'!AH49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+'فرع الاردنية'!A50</f>
        <v>0</v>
      </c>
      <c r="B188" s="44">
        <f>+'فرع الاردنية'!B50</f>
        <v>0</v>
      </c>
      <c r="C188" s="45">
        <f>+'فرع الاردنية'!C50</f>
        <v>0</v>
      </c>
      <c r="D188" s="45">
        <f>+'فرع الاردنية'!D50</f>
        <v>0</v>
      </c>
      <c r="E188" s="45">
        <f>+'فرع الاردنية'!E50</f>
        <v>0</v>
      </c>
      <c r="F188" s="46">
        <f>'فرع الاردنية'!F50</f>
        <v>0</v>
      </c>
      <c r="G188" s="46">
        <f>'فرع الاردنية'!G50</f>
        <v>0</v>
      </c>
      <c r="H188" s="46">
        <f>'فرع الاردنية'!H50</f>
        <v>0</v>
      </c>
      <c r="I188" s="46">
        <f>'فرع الاردنية'!I50</f>
        <v>0</v>
      </c>
      <c r="J188" s="46">
        <f>'فرع الاردنية'!J50</f>
        <v>0</v>
      </c>
      <c r="K188" s="46">
        <f>'فرع الاردنية'!K50</f>
        <v>0</v>
      </c>
      <c r="L188" s="46">
        <f>'فرع الاردنية'!L50</f>
        <v>0</v>
      </c>
      <c r="M188" s="46">
        <f>'فرع الاردنية'!M50</f>
        <v>0</v>
      </c>
      <c r="N188" s="46">
        <f>'فرع الاردنية'!N50</f>
        <v>0</v>
      </c>
      <c r="O188" s="46">
        <f>'فرع الاردنية'!O50</f>
        <v>0</v>
      </c>
      <c r="P188" s="46">
        <f>'فرع الاردنية'!P50</f>
        <v>0</v>
      </c>
      <c r="Q188" s="46">
        <f>'فرع الاردنية'!Q50</f>
        <v>0</v>
      </c>
      <c r="R188" s="47">
        <f>'فرع الاردنية'!R50</f>
        <v>0</v>
      </c>
      <c r="S188" s="47">
        <f>'فرع الاردنية'!S50</f>
        <v>0</v>
      </c>
      <c r="T188" s="46">
        <f>'فرع الاردنية'!T50</f>
        <v>0</v>
      </c>
      <c r="U188" s="46">
        <f>'فرع الاردنية'!U50</f>
        <v>0</v>
      </c>
      <c r="V188" s="46">
        <f>'فرع الاردنية'!V50</f>
        <v>0</v>
      </c>
      <c r="W188" s="46">
        <f>'فرع الاردنية'!W50</f>
        <v>0</v>
      </c>
      <c r="X188" s="46">
        <f>'فرع الاردنية'!X50</f>
        <v>0</v>
      </c>
      <c r="Y188" s="46">
        <f>'فرع الاردنية'!Y50</f>
        <v>0</v>
      </c>
      <c r="Z188" s="46">
        <f>'فرع الاردنية'!Z50</f>
        <v>0</v>
      </c>
      <c r="AA188" s="46">
        <f>'فرع الاردنية'!AA50</f>
        <v>0</v>
      </c>
      <c r="AB188" s="46">
        <f>'فرع الاردنية'!AB50</f>
        <v>0</v>
      </c>
      <c r="AC188" s="46">
        <f>'فرع الاردنية'!AC50</f>
        <v>0</v>
      </c>
      <c r="AD188" s="46">
        <f>'فرع الاردنية'!AD50</f>
        <v>0</v>
      </c>
      <c r="AE188" s="46">
        <f>'فرع الاردنية'!AE50</f>
        <v>0</v>
      </c>
      <c r="AF188" s="46">
        <f>'فرع الاردنية'!AF50</f>
        <v>0</v>
      </c>
      <c r="AG188" s="46">
        <f>'فرع الاردنية'!AG50</f>
        <v>0</v>
      </c>
      <c r="AH188" s="46">
        <f>'فرع الاردنية'!AH50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+'فرع الاردنية'!A51</f>
        <v>0</v>
      </c>
      <c r="B192" s="44">
        <f>+'فرع الاردنية'!B51</f>
        <v>0</v>
      </c>
      <c r="C192" s="45">
        <f>+'فرع الاردنية'!C51</f>
        <v>0</v>
      </c>
      <c r="D192" s="45">
        <f>+'فرع الاردنية'!D51</f>
        <v>0</v>
      </c>
      <c r="E192" s="45">
        <f>+'فرع الاردنية'!E51</f>
        <v>0</v>
      </c>
      <c r="F192" s="46">
        <f>'فرع الاردنية'!F51</f>
        <v>0</v>
      </c>
      <c r="G192" s="46">
        <f>'فرع الاردنية'!G51</f>
        <v>0</v>
      </c>
      <c r="H192" s="46">
        <f>'فرع الاردنية'!H51</f>
        <v>0</v>
      </c>
      <c r="I192" s="46">
        <f>'فرع الاردنية'!I51</f>
        <v>0</v>
      </c>
      <c r="J192" s="46">
        <f>'فرع الاردنية'!J51</f>
        <v>0</v>
      </c>
      <c r="K192" s="46">
        <f>'فرع الاردنية'!K51</f>
        <v>0</v>
      </c>
      <c r="L192" s="46">
        <f>'فرع الاردنية'!L51</f>
        <v>0</v>
      </c>
      <c r="M192" s="46">
        <f>'فرع الاردنية'!M51</f>
        <v>0</v>
      </c>
      <c r="N192" s="46">
        <f>'فرع الاردنية'!N51</f>
        <v>0</v>
      </c>
      <c r="O192" s="46">
        <f>'فرع الاردنية'!O51</f>
        <v>0</v>
      </c>
      <c r="P192" s="46">
        <f>'فرع الاردنية'!P51</f>
        <v>0</v>
      </c>
      <c r="Q192" s="46">
        <f>'فرع الاردنية'!Q51</f>
        <v>0</v>
      </c>
      <c r="R192" s="47">
        <f>'فرع الاردنية'!R51</f>
        <v>0</v>
      </c>
      <c r="S192" s="47">
        <f>'فرع الاردنية'!S51</f>
        <v>0</v>
      </c>
      <c r="T192" s="46">
        <f>'فرع الاردنية'!T51</f>
        <v>0</v>
      </c>
      <c r="U192" s="46">
        <f>'فرع الاردنية'!U51</f>
        <v>0</v>
      </c>
      <c r="V192" s="46">
        <f>'فرع الاردنية'!V51</f>
        <v>0</v>
      </c>
      <c r="W192" s="46">
        <f>'فرع الاردنية'!W51</f>
        <v>0</v>
      </c>
      <c r="X192" s="46">
        <f>'فرع الاردنية'!X51</f>
        <v>0</v>
      </c>
      <c r="Y192" s="46">
        <f>'فرع الاردنية'!Y51</f>
        <v>0</v>
      </c>
      <c r="Z192" s="46">
        <f>'فرع الاردنية'!Z51</f>
        <v>0</v>
      </c>
      <c r="AA192" s="46">
        <f>'فرع الاردنية'!AA51</f>
        <v>0</v>
      </c>
      <c r="AB192" s="46">
        <f>'فرع الاردنية'!AB51</f>
        <v>0</v>
      </c>
      <c r="AC192" s="46">
        <f>'فرع الاردنية'!AC51</f>
        <v>0</v>
      </c>
      <c r="AD192" s="46">
        <f>'فرع الاردنية'!AD51</f>
        <v>0</v>
      </c>
      <c r="AE192" s="46">
        <f>'فرع الاردنية'!AE51</f>
        <v>0</v>
      </c>
      <c r="AF192" s="46">
        <f>'فرع الاردنية'!AF51</f>
        <v>0</v>
      </c>
      <c r="AG192" s="46">
        <f>'فرع الاردنية'!AG51</f>
        <v>0</v>
      </c>
      <c r="AH192" s="46">
        <f>'فرع الاردنية'!AH51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+'فرع الاردنية'!A52</f>
        <v>0</v>
      </c>
      <c r="B196" s="44">
        <f>+'فرع الاردنية'!B52</f>
        <v>0</v>
      </c>
      <c r="C196" s="45">
        <f>+'فرع الاردنية'!C52</f>
        <v>0</v>
      </c>
      <c r="D196" s="45">
        <f>+'فرع الاردنية'!D52</f>
        <v>0</v>
      </c>
      <c r="E196" s="45">
        <f>+'فرع الاردنية'!E52</f>
        <v>0</v>
      </c>
      <c r="F196" s="46">
        <f>'فرع الاردنية'!F52</f>
        <v>0</v>
      </c>
      <c r="G196" s="46">
        <f>'فرع الاردنية'!G52</f>
        <v>0</v>
      </c>
      <c r="H196" s="46">
        <f>'فرع الاردنية'!H52</f>
        <v>0</v>
      </c>
      <c r="I196" s="46">
        <f>'فرع الاردنية'!I52</f>
        <v>0</v>
      </c>
      <c r="J196" s="46">
        <f>'فرع الاردنية'!J52</f>
        <v>0</v>
      </c>
      <c r="K196" s="46">
        <f>'فرع الاردنية'!K52</f>
        <v>0</v>
      </c>
      <c r="L196" s="46">
        <f>'فرع الاردنية'!L52</f>
        <v>0</v>
      </c>
      <c r="M196" s="46">
        <f>'فرع الاردنية'!M52</f>
        <v>0</v>
      </c>
      <c r="N196" s="46">
        <f>'فرع الاردنية'!N52</f>
        <v>0</v>
      </c>
      <c r="O196" s="46">
        <f>'فرع الاردنية'!O52</f>
        <v>0</v>
      </c>
      <c r="P196" s="46">
        <f>'فرع الاردنية'!P52</f>
        <v>0</v>
      </c>
      <c r="Q196" s="46">
        <f>'فرع الاردنية'!Q52</f>
        <v>0</v>
      </c>
      <c r="R196" s="47">
        <f>'فرع الاردنية'!R52</f>
        <v>0</v>
      </c>
      <c r="S196" s="47">
        <f>'فرع الاردنية'!S52</f>
        <v>0</v>
      </c>
      <c r="T196" s="46">
        <f>'فرع الاردنية'!T52</f>
        <v>0</v>
      </c>
      <c r="U196" s="46">
        <f>'فرع الاردنية'!U52</f>
        <v>0</v>
      </c>
      <c r="V196" s="46">
        <f>'فرع الاردنية'!V52</f>
        <v>0</v>
      </c>
      <c r="W196" s="46">
        <f>'فرع الاردنية'!W52</f>
        <v>0</v>
      </c>
      <c r="X196" s="46">
        <f>'فرع الاردنية'!X52</f>
        <v>0</v>
      </c>
      <c r="Y196" s="46">
        <f>'فرع الاردنية'!Y52</f>
        <v>0</v>
      </c>
      <c r="Z196" s="46">
        <f>'فرع الاردنية'!Z52</f>
        <v>0</v>
      </c>
      <c r="AA196" s="46">
        <f>'فرع الاردنية'!AA52</f>
        <v>0</v>
      </c>
      <c r="AB196" s="46">
        <f>'فرع الاردنية'!AB52</f>
        <v>0</v>
      </c>
      <c r="AC196" s="46">
        <f>'فرع الاردنية'!AC52</f>
        <v>0</v>
      </c>
      <c r="AD196" s="46">
        <f>'فرع الاردنية'!AD52</f>
        <v>0</v>
      </c>
      <c r="AE196" s="46">
        <f>'فرع الاردنية'!AE52</f>
        <v>0</v>
      </c>
      <c r="AF196" s="46">
        <f>'فرع الاردنية'!AF52</f>
        <v>0</v>
      </c>
      <c r="AG196" s="46">
        <f>'فرع الاردنية'!AG52</f>
        <v>0</v>
      </c>
      <c r="AH196" s="46">
        <f>'فرع الاردنية'!AH52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+'فرع الاردنية'!A53</f>
        <v>0</v>
      </c>
      <c r="B200" s="44">
        <f>+'فرع الاردنية'!B53</f>
        <v>0</v>
      </c>
      <c r="C200" s="45">
        <f>+'فرع الاردنية'!C53</f>
        <v>0</v>
      </c>
      <c r="D200" s="45">
        <f>+'فرع الاردنية'!D53</f>
        <v>0</v>
      </c>
      <c r="E200" s="45">
        <f>+'فرع الاردنية'!E53</f>
        <v>0</v>
      </c>
      <c r="F200" s="46">
        <f>'فرع الاردنية'!F53</f>
        <v>0</v>
      </c>
      <c r="G200" s="46">
        <f>'فرع الاردنية'!G53</f>
        <v>0</v>
      </c>
      <c r="H200" s="46">
        <f>'فرع الاردنية'!H53</f>
        <v>0</v>
      </c>
      <c r="I200" s="46">
        <f>'فرع الاردنية'!I53</f>
        <v>0</v>
      </c>
      <c r="J200" s="46">
        <f>'فرع الاردنية'!J53</f>
        <v>0</v>
      </c>
      <c r="K200" s="46">
        <f>'فرع الاردنية'!K53</f>
        <v>0</v>
      </c>
      <c r="L200" s="46">
        <f>'فرع الاردنية'!L53</f>
        <v>0</v>
      </c>
      <c r="M200" s="46">
        <f>'فرع الاردنية'!M53</f>
        <v>0</v>
      </c>
      <c r="N200" s="46">
        <f>'فرع الاردنية'!N53</f>
        <v>0</v>
      </c>
      <c r="O200" s="46">
        <f>'فرع الاردنية'!O53</f>
        <v>0</v>
      </c>
      <c r="P200" s="46">
        <f>'فرع الاردنية'!P53</f>
        <v>0</v>
      </c>
      <c r="Q200" s="46">
        <f>'فرع الاردنية'!Q53</f>
        <v>0</v>
      </c>
      <c r="R200" s="47">
        <f>'فرع الاردنية'!R53</f>
        <v>0</v>
      </c>
      <c r="S200" s="47">
        <f>'فرع الاردنية'!S53</f>
        <v>0</v>
      </c>
      <c r="T200" s="46">
        <f>'فرع الاردنية'!T53</f>
        <v>0</v>
      </c>
      <c r="U200" s="46">
        <f>'فرع الاردنية'!U53</f>
        <v>0</v>
      </c>
      <c r="V200" s="46">
        <f>'فرع الاردنية'!V53</f>
        <v>0</v>
      </c>
      <c r="W200" s="46">
        <f>'فرع الاردنية'!W53</f>
        <v>0</v>
      </c>
      <c r="X200" s="46">
        <f>'فرع الاردنية'!X53</f>
        <v>0</v>
      </c>
      <c r="Y200" s="46">
        <f>'فرع الاردنية'!Y53</f>
        <v>0</v>
      </c>
      <c r="Z200" s="46">
        <f>'فرع الاردنية'!Z53</f>
        <v>0</v>
      </c>
      <c r="AA200" s="46">
        <f>'فرع الاردنية'!AA53</f>
        <v>0</v>
      </c>
      <c r="AB200" s="46">
        <f>'فرع الاردنية'!AB53</f>
        <v>0</v>
      </c>
      <c r="AC200" s="46">
        <f>'فرع الاردنية'!AC53</f>
        <v>0</v>
      </c>
      <c r="AD200" s="46">
        <f>'فرع الاردنية'!AD53</f>
        <v>0</v>
      </c>
      <c r="AE200" s="46">
        <f>'فرع الاردنية'!AE53</f>
        <v>0</v>
      </c>
      <c r="AF200" s="46">
        <f>'فرع الاردنية'!AF53</f>
        <v>0</v>
      </c>
      <c r="AG200" s="46">
        <f>'فرع الاردنية'!AG53</f>
        <v>0</v>
      </c>
      <c r="AH200" s="46">
        <f>'فرع الاردنية'!AH53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+'فرع الاردنية'!A54</f>
        <v>0</v>
      </c>
      <c r="B204" s="44">
        <f>+'فرع الاردنية'!B54</f>
        <v>0</v>
      </c>
      <c r="C204" s="45">
        <f>+'فرع الاردنية'!C54</f>
        <v>0</v>
      </c>
      <c r="D204" s="45">
        <f>+'فرع الاردنية'!D54</f>
        <v>0</v>
      </c>
      <c r="E204" s="45">
        <f>+'فرع الاردنية'!E54</f>
        <v>0</v>
      </c>
      <c r="F204" s="46">
        <f>'فرع الاردنية'!F54</f>
        <v>0</v>
      </c>
      <c r="G204" s="46">
        <f>'فرع الاردنية'!G54</f>
        <v>0</v>
      </c>
      <c r="H204" s="46">
        <f>'فرع الاردنية'!H54</f>
        <v>0</v>
      </c>
      <c r="I204" s="46">
        <f>'فرع الاردنية'!I54</f>
        <v>0</v>
      </c>
      <c r="J204" s="46">
        <f>'فرع الاردنية'!J54</f>
        <v>0</v>
      </c>
      <c r="K204" s="46">
        <f>'فرع الاردنية'!K54</f>
        <v>0</v>
      </c>
      <c r="L204" s="46">
        <f>'فرع الاردنية'!L54</f>
        <v>0</v>
      </c>
      <c r="M204" s="46">
        <f>'فرع الاردنية'!M54</f>
        <v>0</v>
      </c>
      <c r="N204" s="46">
        <f>'فرع الاردنية'!N54</f>
        <v>0</v>
      </c>
      <c r="O204" s="46">
        <f>'فرع الاردنية'!O54</f>
        <v>0</v>
      </c>
      <c r="P204" s="46">
        <f>'فرع الاردنية'!P54</f>
        <v>0</v>
      </c>
      <c r="Q204" s="46">
        <f>'فرع الاردنية'!Q54</f>
        <v>0</v>
      </c>
      <c r="R204" s="47">
        <f>'فرع الاردنية'!R54</f>
        <v>0</v>
      </c>
      <c r="S204" s="47">
        <f>'فرع الاردنية'!S54</f>
        <v>0</v>
      </c>
      <c r="T204" s="46">
        <f>'فرع الاردنية'!T54</f>
        <v>0</v>
      </c>
      <c r="U204" s="46">
        <f>'فرع الاردنية'!U54</f>
        <v>0</v>
      </c>
      <c r="V204" s="46">
        <f>'فرع الاردنية'!V54</f>
        <v>0</v>
      </c>
      <c r="W204" s="46">
        <f>'فرع الاردنية'!W54</f>
        <v>0</v>
      </c>
      <c r="X204" s="46">
        <f>'فرع الاردنية'!X54</f>
        <v>0</v>
      </c>
      <c r="Y204" s="46">
        <f>'فرع الاردنية'!Y54</f>
        <v>0</v>
      </c>
      <c r="Z204" s="46">
        <f>'فرع الاردنية'!Z54</f>
        <v>0</v>
      </c>
      <c r="AA204" s="46">
        <f>'فرع الاردنية'!AA54</f>
        <v>0</v>
      </c>
      <c r="AB204" s="46">
        <f>'فرع الاردنية'!AB54</f>
        <v>0</v>
      </c>
      <c r="AC204" s="46">
        <f>'فرع الاردنية'!AC54</f>
        <v>0</v>
      </c>
      <c r="AD204" s="46">
        <f>'فرع الاردنية'!AD54</f>
        <v>0</v>
      </c>
      <c r="AE204" s="46">
        <f>'فرع الاردنية'!AE54</f>
        <v>0</v>
      </c>
      <c r="AF204" s="46">
        <f>'فرع الاردنية'!AF54</f>
        <v>0</v>
      </c>
      <c r="AG204" s="46">
        <f>'فرع الاردنية'!AG54</f>
        <v>0</v>
      </c>
      <c r="AH204" s="46">
        <f>'فرع الاردنية'!AH54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+'فرع الاردنية'!A55</f>
        <v>0</v>
      </c>
      <c r="B208" s="44">
        <f>+'فرع الاردنية'!B55</f>
        <v>0</v>
      </c>
      <c r="C208" s="45">
        <f>+'فرع الاردنية'!C55</f>
        <v>0</v>
      </c>
      <c r="D208" s="45">
        <f>+'فرع الاردنية'!D55</f>
        <v>0</v>
      </c>
      <c r="E208" s="45">
        <f>+'فرع الاردنية'!E55</f>
        <v>0</v>
      </c>
      <c r="F208" s="46">
        <f>'فرع الاردنية'!F55</f>
        <v>0</v>
      </c>
      <c r="G208" s="46">
        <f>'فرع الاردنية'!G55</f>
        <v>0</v>
      </c>
      <c r="H208" s="46">
        <f>'فرع الاردنية'!H55</f>
        <v>0</v>
      </c>
      <c r="I208" s="46">
        <f>'فرع الاردنية'!I55</f>
        <v>0</v>
      </c>
      <c r="J208" s="46">
        <f>'فرع الاردنية'!J55</f>
        <v>0</v>
      </c>
      <c r="K208" s="46">
        <f>'فرع الاردنية'!K55</f>
        <v>0</v>
      </c>
      <c r="L208" s="46">
        <f>'فرع الاردنية'!L55</f>
        <v>0</v>
      </c>
      <c r="M208" s="46">
        <f>'فرع الاردنية'!M55</f>
        <v>0</v>
      </c>
      <c r="N208" s="46">
        <f>'فرع الاردنية'!N55</f>
        <v>0</v>
      </c>
      <c r="O208" s="46">
        <f>'فرع الاردنية'!O55</f>
        <v>0</v>
      </c>
      <c r="P208" s="46">
        <f>'فرع الاردنية'!P55</f>
        <v>0</v>
      </c>
      <c r="Q208" s="46">
        <f>'فرع الاردنية'!Q55</f>
        <v>0</v>
      </c>
      <c r="R208" s="47">
        <f>'فرع الاردنية'!R55</f>
        <v>0</v>
      </c>
      <c r="S208" s="47">
        <f>'فرع الاردنية'!S55</f>
        <v>0</v>
      </c>
      <c r="T208" s="46">
        <f>'فرع الاردنية'!T55</f>
        <v>0</v>
      </c>
      <c r="U208" s="46">
        <f>'فرع الاردنية'!U55</f>
        <v>0</v>
      </c>
      <c r="V208" s="46">
        <f>'فرع الاردنية'!V55</f>
        <v>0</v>
      </c>
      <c r="W208" s="46">
        <f>'فرع الاردنية'!W55</f>
        <v>0</v>
      </c>
      <c r="X208" s="46">
        <f>'فرع الاردنية'!X55</f>
        <v>0</v>
      </c>
      <c r="Y208" s="46">
        <f>'فرع الاردنية'!Y55</f>
        <v>0</v>
      </c>
      <c r="Z208" s="46">
        <f>'فرع الاردنية'!Z55</f>
        <v>0</v>
      </c>
      <c r="AA208" s="46">
        <f>'فرع الاردنية'!AA55</f>
        <v>0</v>
      </c>
      <c r="AB208" s="46">
        <f>'فرع الاردنية'!AB55</f>
        <v>0</v>
      </c>
      <c r="AC208" s="46">
        <f>'فرع الاردنية'!AC55</f>
        <v>0</v>
      </c>
      <c r="AD208" s="46">
        <f>'فرع الاردنية'!AD55</f>
        <v>0</v>
      </c>
      <c r="AE208" s="46">
        <f>'فرع الاردنية'!AE55</f>
        <v>0</v>
      </c>
      <c r="AF208" s="46">
        <f>'فرع الاردنية'!AF55</f>
        <v>0</v>
      </c>
      <c r="AG208" s="46">
        <f>'فرع الاردنية'!AG55</f>
        <v>0</v>
      </c>
      <c r="AH208" s="46">
        <f>'فرع الاردنية'!AH55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+'فرع الاردنية'!A56</f>
        <v>0</v>
      </c>
      <c r="B212" s="44">
        <f>+'فرع الاردنية'!B56</f>
        <v>0</v>
      </c>
      <c r="C212" s="45">
        <f>+'فرع الاردنية'!C56</f>
        <v>0</v>
      </c>
      <c r="D212" s="45">
        <f>+'فرع الاردنية'!D56</f>
        <v>0</v>
      </c>
      <c r="E212" s="45">
        <f>+'فرع الاردنية'!E56</f>
        <v>0</v>
      </c>
      <c r="F212" s="46">
        <f>'فرع الاردنية'!F56</f>
        <v>0</v>
      </c>
      <c r="G212" s="46">
        <f>'فرع الاردنية'!G56</f>
        <v>0</v>
      </c>
      <c r="H212" s="46">
        <f>'فرع الاردنية'!H56</f>
        <v>0</v>
      </c>
      <c r="I212" s="46">
        <f>'فرع الاردنية'!I56</f>
        <v>0</v>
      </c>
      <c r="J212" s="46">
        <f>'فرع الاردنية'!J56</f>
        <v>0</v>
      </c>
      <c r="K212" s="46">
        <f>'فرع الاردنية'!K56</f>
        <v>0</v>
      </c>
      <c r="L212" s="46">
        <f>'فرع الاردنية'!L56</f>
        <v>0</v>
      </c>
      <c r="M212" s="46">
        <f>'فرع الاردنية'!M56</f>
        <v>0</v>
      </c>
      <c r="N212" s="46">
        <f>'فرع الاردنية'!N56</f>
        <v>0</v>
      </c>
      <c r="O212" s="46">
        <f>'فرع الاردنية'!O56</f>
        <v>0</v>
      </c>
      <c r="P212" s="46">
        <f>'فرع الاردنية'!P56</f>
        <v>0</v>
      </c>
      <c r="Q212" s="46">
        <f>'فرع الاردنية'!Q56</f>
        <v>0</v>
      </c>
      <c r="R212" s="47">
        <f>'فرع الاردنية'!R56</f>
        <v>0</v>
      </c>
      <c r="S212" s="47"/>
      <c r="T212" s="46">
        <f>'فرع الاردنية'!T56</f>
        <v>0</v>
      </c>
      <c r="U212" s="46">
        <f>'فرع الاردنية'!U56</f>
        <v>0</v>
      </c>
      <c r="V212" s="46">
        <f>'فرع الاردنية'!V56</f>
        <v>0</v>
      </c>
      <c r="W212" s="46">
        <f>'فرع الاردنية'!W56</f>
        <v>0</v>
      </c>
      <c r="X212" s="46">
        <f>'فرع الاردنية'!X56</f>
        <v>0</v>
      </c>
      <c r="Y212" s="46">
        <f>'فرع الاردنية'!Y56</f>
        <v>0</v>
      </c>
      <c r="Z212" s="46">
        <f>'فرع الاردنية'!Z56</f>
        <v>0</v>
      </c>
      <c r="AA212" s="46">
        <f>'فرع الاردنية'!AA56</f>
        <v>0</v>
      </c>
      <c r="AB212" s="46">
        <f>'فرع الاردنية'!AB56</f>
        <v>0</v>
      </c>
      <c r="AC212" s="46">
        <f>'فرع الاردنية'!AC56</f>
        <v>0</v>
      </c>
      <c r="AD212" s="46">
        <f>'فرع الاردنية'!AD56</f>
        <v>0</v>
      </c>
      <c r="AE212" s="46">
        <f>'فرع الاردنية'!AE56</f>
        <v>0</v>
      </c>
      <c r="AF212" s="46">
        <f>'فرع الاردنية'!AF56</f>
        <v>0</v>
      </c>
      <c r="AG212" s="46">
        <f>'فرع الاردنية'!AG56</f>
        <v>0</v>
      </c>
      <c r="AH212" s="46">
        <f>'فرع الاردنية'!AH56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+'فرع الاردنية'!A57</f>
        <v>0</v>
      </c>
      <c r="B216" s="44">
        <f>+'فرع الاردنية'!B57</f>
        <v>0</v>
      </c>
      <c r="C216" s="45">
        <f>+'فرع الاردنية'!C57</f>
        <v>0</v>
      </c>
      <c r="D216" s="45">
        <f>+'فرع الاردنية'!D57</f>
        <v>0</v>
      </c>
      <c r="E216" s="45">
        <f>+'فرع الاردنية'!E57</f>
        <v>0</v>
      </c>
      <c r="F216" s="46">
        <f>'فرع الاردنية'!F57</f>
        <v>0</v>
      </c>
      <c r="G216" s="46">
        <f>'فرع الاردنية'!G57</f>
        <v>0</v>
      </c>
      <c r="H216" s="46">
        <f>'فرع الاردنية'!H57</f>
        <v>0</v>
      </c>
      <c r="I216" s="46">
        <f>'فرع الاردنية'!I57</f>
        <v>0</v>
      </c>
      <c r="J216" s="46">
        <f>'فرع الاردنية'!J57</f>
        <v>0</v>
      </c>
      <c r="K216" s="46">
        <f>'فرع الاردنية'!K57</f>
        <v>0</v>
      </c>
      <c r="L216" s="46">
        <f>'فرع الاردنية'!L57</f>
        <v>0</v>
      </c>
      <c r="M216" s="46">
        <f>'فرع الاردنية'!M57</f>
        <v>0</v>
      </c>
      <c r="N216" s="46">
        <f>'فرع الاردنية'!N57</f>
        <v>0</v>
      </c>
      <c r="O216" s="46">
        <f>'فرع الاردنية'!O57</f>
        <v>0</v>
      </c>
      <c r="P216" s="46">
        <f>'فرع الاردنية'!P57</f>
        <v>0</v>
      </c>
      <c r="Q216" s="46">
        <f>'فرع الاردنية'!Q57</f>
        <v>0</v>
      </c>
      <c r="R216" s="47">
        <f>'فرع الاردنية'!R57</f>
        <v>0</v>
      </c>
      <c r="S216" s="47">
        <f>'فرع الاردنية'!S57</f>
        <v>0</v>
      </c>
      <c r="T216" s="46">
        <f>'فرع الاردنية'!T57</f>
        <v>0</v>
      </c>
      <c r="U216" s="46">
        <f>'فرع الاردنية'!U57</f>
        <v>0</v>
      </c>
      <c r="V216" s="46">
        <f>'فرع الاردنية'!V57</f>
        <v>0</v>
      </c>
      <c r="W216" s="46">
        <f>'فرع الاردنية'!W57</f>
        <v>0</v>
      </c>
      <c r="X216" s="46">
        <f>'فرع الاردنية'!X57</f>
        <v>0</v>
      </c>
      <c r="Y216" s="46">
        <f>'فرع الاردنية'!Y57</f>
        <v>0</v>
      </c>
      <c r="Z216" s="46">
        <f>'فرع الاردنية'!Z57</f>
        <v>0</v>
      </c>
      <c r="AA216" s="46">
        <f>'فرع الاردنية'!AA57</f>
        <v>0</v>
      </c>
      <c r="AB216" s="46">
        <f>'فرع الاردنية'!AB57</f>
        <v>0</v>
      </c>
      <c r="AC216" s="46">
        <f>'فرع الاردنية'!AC57</f>
        <v>0</v>
      </c>
      <c r="AD216" s="46">
        <f>'فرع الاردنية'!AD57</f>
        <v>0</v>
      </c>
      <c r="AE216" s="46">
        <f>'فرع الاردنية'!AE57</f>
        <v>0</v>
      </c>
      <c r="AF216" s="46">
        <f>'فرع الاردنية'!AF57</f>
        <v>0</v>
      </c>
      <c r="AG216" s="46">
        <f>'فرع الاردنية'!AG57</f>
        <v>0</v>
      </c>
      <c r="AH216" s="46">
        <f>'فرع الاردنية'!AH57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+'فرع الاردنية'!A58</f>
        <v>0</v>
      </c>
      <c r="B220" s="44">
        <f>+'فرع الاردنية'!B58</f>
        <v>0</v>
      </c>
      <c r="C220" s="45">
        <f>+'فرع الاردنية'!C58</f>
        <v>0</v>
      </c>
      <c r="D220" s="45">
        <f>+'فرع الاردنية'!D58</f>
        <v>0</v>
      </c>
      <c r="E220" s="45">
        <f>+'فرع الاردنية'!E58</f>
        <v>0</v>
      </c>
      <c r="F220" s="46">
        <f>'فرع الاردنية'!F58</f>
        <v>0</v>
      </c>
      <c r="G220" s="46">
        <f>'فرع الاردنية'!G58</f>
        <v>0</v>
      </c>
      <c r="H220" s="46">
        <f>'فرع الاردنية'!H58</f>
        <v>0</v>
      </c>
      <c r="I220" s="46">
        <f>'فرع الاردنية'!I58</f>
        <v>0</v>
      </c>
      <c r="J220" s="46">
        <f>'فرع الاردنية'!J58</f>
        <v>0</v>
      </c>
      <c r="K220" s="46">
        <f>'فرع الاردنية'!K58</f>
        <v>0</v>
      </c>
      <c r="L220" s="46">
        <f>'فرع الاردنية'!L58</f>
        <v>0</v>
      </c>
      <c r="M220" s="46">
        <f>'فرع الاردنية'!M58</f>
        <v>0</v>
      </c>
      <c r="N220" s="46">
        <f>'فرع الاردنية'!N58</f>
        <v>0</v>
      </c>
      <c r="O220" s="46">
        <f>'فرع الاردنية'!O58</f>
        <v>0</v>
      </c>
      <c r="P220" s="46">
        <f>'فرع الاردنية'!P58</f>
        <v>0</v>
      </c>
      <c r="Q220" s="46">
        <f>'فرع الاردنية'!Q58</f>
        <v>0</v>
      </c>
      <c r="R220" s="47">
        <f>'فرع الاردنية'!R58</f>
        <v>0</v>
      </c>
      <c r="S220" s="47">
        <f>'فرع الاردنية'!S58</f>
        <v>0</v>
      </c>
      <c r="T220" s="46">
        <f>'فرع الاردنية'!T58</f>
        <v>0</v>
      </c>
      <c r="U220" s="46">
        <f>'فرع الاردنية'!U58</f>
        <v>0</v>
      </c>
      <c r="V220" s="46">
        <f>'فرع الاردنية'!V58</f>
        <v>0</v>
      </c>
      <c r="W220" s="46">
        <f>'فرع الاردنية'!W58</f>
        <v>0</v>
      </c>
      <c r="X220" s="46">
        <f>'فرع الاردنية'!X58</f>
        <v>0</v>
      </c>
      <c r="Y220" s="46">
        <f>'فرع الاردنية'!Y58</f>
        <v>0</v>
      </c>
      <c r="Z220" s="46">
        <f>'فرع الاردنية'!Z58</f>
        <v>0</v>
      </c>
      <c r="AA220" s="46">
        <f>'فرع الاردنية'!AA58</f>
        <v>0</v>
      </c>
      <c r="AB220" s="46">
        <f>'فرع الاردنية'!AB58</f>
        <v>0</v>
      </c>
      <c r="AC220" s="46">
        <f>'فرع الاردنية'!AC58</f>
        <v>0</v>
      </c>
      <c r="AD220" s="46">
        <f>'فرع الاردنية'!AD58</f>
        <v>0</v>
      </c>
      <c r="AE220" s="46">
        <f>'فرع الاردنية'!AE58</f>
        <v>0</v>
      </c>
      <c r="AF220" s="46">
        <f>'فرع الاردنية'!AF58</f>
        <v>0</v>
      </c>
      <c r="AG220" s="46">
        <f>'فرع الاردنية'!AG58</f>
        <v>0</v>
      </c>
      <c r="AH220" s="46">
        <f>'فرع الاردنية'!AH58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+'فرع الاردنية'!A59</f>
        <v>0</v>
      </c>
      <c r="B224" s="44">
        <f>+'فرع الاردنية'!B59</f>
        <v>0</v>
      </c>
      <c r="C224" s="45">
        <f>+'فرع الاردنية'!C59</f>
        <v>0</v>
      </c>
      <c r="D224" s="45">
        <f>+'فرع الاردنية'!D59</f>
        <v>0</v>
      </c>
      <c r="E224" s="45">
        <f>+'فرع الاردنية'!E59</f>
        <v>0</v>
      </c>
      <c r="F224" s="46">
        <f>'فرع الاردنية'!F59</f>
        <v>0</v>
      </c>
      <c r="G224" s="46">
        <f>'فرع الاردنية'!G59</f>
        <v>0</v>
      </c>
      <c r="H224" s="46">
        <f>'فرع الاردنية'!H59</f>
        <v>0</v>
      </c>
      <c r="I224" s="46">
        <f>'فرع الاردنية'!I59</f>
        <v>0</v>
      </c>
      <c r="J224" s="46">
        <f>'فرع الاردنية'!J59</f>
        <v>0</v>
      </c>
      <c r="K224" s="46">
        <f>'فرع الاردنية'!K59</f>
        <v>0</v>
      </c>
      <c r="L224" s="46">
        <f>'فرع الاردنية'!L59</f>
        <v>0</v>
      </c>
      <c r="M224" s="46">
        <f>'فرع الاردنية'!M59</f>
        <v>0</v>
      </c>
      <c r="N224" s="46">
        <f>'فرع الاردنية'!N59</f>
        <v>0</v>
      </c>
      <c r="O224" s="46">
        <f>'فرع الاردنية'!O59</f>
        <v>0</v>
      </c>
      <c r="P224" s="46">
        <f>'فرع الاردنية'!P59</f>
        <v>0</v>
      </c>
      <c r="Q224" s="46">
        <f>'فرع الاردنية'!Q59</f>
        <v>0</v>
      </c>
      <c r="R224" s="47">
        <f>'فرع الاردنية'!R59</f>
        <v>0</v>
      </c>
      <c r="S224" s="47"/>
      <c r="T224" s="46">
        <f>'فرع الاردنية'!T59</f>
        <v>0</v>
      </c>
      <c r="U224" s="46">
        <f>'فرع الاردنية'!U59</f>
        <v>0</v>
      </c>
      <c r="V224" s="46">
        <f>'فرع الاردنية'!V59</f>
        <v>0</v>
      </c>
      <c r="W224" s="46">
        <f>'فرع الاردنية'!W59</f>
        <v>0</v>
      </c>
      <c r="X224" s="46">
        <f>'فرع الاردنية'!X59</f>
        <v>0</v>
      </c>
      <c r="Y224" s="46">
        <f>'فرع الاردنية'!Y59</f>
        <v>0</v>
      </c>
      <c r="Z224" s="46">
        <f>'فرع الاردنية'!Z59</f>
        <v>0</v>
      </c>
      <c r="AA224" s="46">
        <f>'فرع الاردنية'!AA59</f>
        <v>0</v>
      </c>
      <c r="AB224" s="46">
        <f>'فرع الاردنية'!AB59</f>
        <v>0</v>
      </c>
      <c r="AC224" s="46">
        <f>'فرع الاردنية'!AC59</f>
        <v>0</v>
      </c>
      <c r="AD224" s="46">
        <f>'فرع الاردنية'!AD59</f>
        <v>0</v>
      </c>
      <c r="AE224" s="46">
        <f>'فرع الاردنية'!AE59</f>
        <v>0</v>
      </c>
      <c r="AF224" s="46">
        <f>'فرع الاردنية'!AF59</f>
        <v>0</v>
      </c>
      <c r="AG224" s="46">
        <f>'فرع الاردنية'!AG59</f>
        <v>0</v>
      </c>
      <c r="AH224" s="46">
        <f>'فرع الاردنية'!AH59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+'فرع الاردنية'!A60</f>
        <v>0</v>
      </c>
      <c r="B228" s="44">
        <f>+'فرع الاردنية'!B60</f>
        <v>0</v>
      </c>
      <c r="C228" s="45">
        <f>+'فرع الاردنية'!C60</f>
        <v>0</v>
      </c>
      <c r="D228" s="45">
        <f>+'فرع الاردنية'!D60</f>
        <v>0</v>
      </c>
      <c r="E228" s="45">
        <f>+'فرع الاردنية'!E60</f>
        <v>0</v>
      </c>
      <c r="F228" s="46">
        <f>'فرع الاردنية'!F60</f>
        <v>0</v>
      </c>
      <c r="G228" s="46">
        <f>'فرع الاردنية'!G60</f>
        <v>0</v>
      </c>
      <c r="H228" s="46">
        <f>'فرع الاردنية'!H60</f>
        <v>0</v>
      </c>
      <c r="I228" s="46">
        <f>'فرع الاردنية'!I60</f>
        <v>0</v>
      </c>
      <c r="J228" s="46">
        <f>'فرع الاردنية'!J60</f>
        <v>0</v>
      </c>
      <c r="K228" s="46">
        <f>'فرع الاردنية'!K60</f>
        <v>0</v>
      </c>
      <c r="L228" s="46">
        <f>'فرع الاردنية'!L60</f>
        <v>0</v>
      </c>
      <c r="M228" s="46">
        <f>'فرع الاردنية'!M60</f>
        <v>0</v>
      </c>
      <c r="N228" s="46">
        <f>'فرع الاردنية'!N60</f>
        <v>0</v>
      </c>
      <c r="O228" s="46">
        <f>'فرع الاردنية'!O60</f>
        <v>0</v>
      </c>
      <c r="P228" s="46">
        <f>'فرع الاردنية'!P60</f>
        <v>0</v>
      </c>
      <c r="Q228" s="46">
        <f>'فرع الاردنية'!Q60</f>
        <v>0</v>
      </c>
      <c r="R228" s="47">
        <f>'فرع الاردنية'!R60</f>
        <v>0</v>
      </c>
      <c r="S228" s="47">
        <f>'فرع الاردنية'!S60</f>
        <v>0</v>
      </c>
      <c r="T228" s="46">
        <f>'فرع الاردنية'!T60</f>
        <v>0</v>
      </c>
      <c r="U228" s="46">
        <f>'فرع الاردنية'!U60</f>
        <v>0</v>
      </c>
      <c r="V228" s="46">
        <f>'فرع الاردنية'!V60</f>
        <v>0</v>
      </c>
      <c r="W228" s="46">
        <f>'فرع الاردنية'!W60</f>
        <v>0</v>
      </c>
      <c r="X228" s="46">
        <f>'فرع الاردنية'!X60</f>
        <v>0</v>
      </c>
      <c r="Y228" s="46">
        <f>'فرع الاردنية'!Y60</f>
        <v>0</v>
      </c>
      <c r="Z228" s="46">
        <f>'فرع الاردنية'!Z60</f>
        <v>0</v>
      </c>
      <c r="AA228" s="46">
        <f>'فرع الاردنية'!AA60</f>
        <v>0</v>
      </c>
      <c r="AB228" s="46">
        <f>'فرع الاردنية'!AB60</f>
        <v>0</v>
      </c>
      <c r="AC228" s="46">
        <f>'فرع الاردنية'!AC60</f>
        <v>0</v>
      </c>
      <c r="AD228" s="46">
        <f>'فرع الاردنية'!AD60</f>
        <v>0</v>
      </c>
      <c r="AE228" s="46">
        <f>'فرع الاردنية'!AE60</f>
        <v>0</v>
      </c>
      <c r="AF228" s="46">
        <f>'فرع الاردنية'!AF60</f>
        <v>0</v>
      </c>
      <c r="AG228" s="46">
        <f>'فرع الاردنية'!AG60</f>
        <v>0</v>
      </c>
      <c r="AH228" s="46">
        <f>'فرع الاردنية'!AH60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+'فرع الاردنية'!A61</f>
        <v>0</v>
      </c>
      <c r="B232" s="44">
        <f>+'فرع الاردنية'!B61</f>
        <v>0</v>
      </c>
      <c r="C232" s="45">
        <f>+'فرع الاردنية'!C61</f>
        <v>0</v>
      </c>
      <c r="D232" s="45">
        <f>+'فرع الاردنية'!D61</f>
        <v>0</v>
      </c>
      <c r="E232" s="45">
        <f>+'فرع الاردنية'!E61</f>
        <v>0</v>
      </c>
      <c r="F232" s="46">
        <f>'فرع الاردنية'!F61</f>
        <v>0</v>
      </c>
      <c r="G232" s="46">
        <f>'فرع الاردنية'!G61</f>
        <v>0</v>
      </c>
      <c r="H232" s="46">
        <f>'فرع الاردنية'!H61</f>
        <v>0</v>
      </c>
      <c r="I232" s="46">
        <f>'فرع الاردنية'!I61</f>
        <v>0</v>
      </c>
      <c r="J232" s="46">
        <f>'فرع الاردنية'!J61</f>
        <v>0</v>
      </c>
      <c r="K232" s="46">
        <f>'فرع الاردنية'!K61</f>
        <v>0</v>
      </c>
      <c r="L232" s="46">
        <f>'فرع الاردنية'!L61</f>
        <v>0</v>
      </c>
      <c r="M232" s="46">
        <f>'فرع الاردنية'!M61</f>
        <v>0</v>
      </c>
      <c r="N232" s="46">
        <f>'فرع الاردنية'!N61</f>
        <v>0</v>
      </c>
      <c r="O232" s="46">
        <f>'فرع الاردنية'!O61</f>
        <v>0</v>
      </c>
      <c r="P232" s="46">
        <f>'فرع الاردنية'!P61</f>
        <v>0</v>
      </c>
      <c r="Q232" s="46">
        <f>'فرع الاردنية'!Q61</f>
        <v>0</v>
      </c>
      <c r="R232" s="47">
        <f>'فرع الاردنية'!R61</f>
        <v>0</v>
      </c>
      <c r="S232" s="47">
        <f>'فرع الاردنية'!S61</f>
        <v>0</v>
      </c>
      <c r="T232" s="46">
        <f>'فرع الاردنية'!T61</f>
        <v>0</v>
      </c>
      <c r="U232" s="46">
        <f>'فرع الاردنية'!U61</f>
        <v>0</v>
      </c>
      <c r="V232" s="46">
        <f>'فرع الاردنية'!V61</f>
        <v>0</v>
      </c>
      <c r="W232" s="46">
        <f>'فرع الاردنية'!W61</f>
        <v>0</v>
      </c>
      <c r="X232" s="46">
        <f>'فرع الاردنية'!X61</f>
        <v>0</v>
      </c>
      <c r="Y232" s="46">
        <f>'فرع الاردنية'!Y61</f>
        <v>0</v>
      </c>
      <c r="Z232" s="46">
        <f>'فرع الاردنية'!Z61</f>
        <v>0</v>
      </c>
      <c r="AA232" s="46">
        <f>'فرع الاردنية'!AA61</f>
        <v>0</v>
      </c>
      <c r="AB232" s="46">
        <f>'فرع الاردنية'!AB61</f>
        <v>0</v>
      </c>
      <c r="AC232" s="46">
        <f>'فرع الاردنية'!AC61</f>
        <v>0</v>
      </c>
      <c r="AD232" s="46">
        <f>'فرع الاردنية'!AD61</f>
        <v>0</v>
      </c>
      <c r="AE232" s="46">
        <f>'فرع الاردنية'!AE61</f>
        <v>0</v>
      </c>
      <c r="AF232" s="46">
        <f>'فرع الاردنية'!AF61</f>
        <v>0</v>
      </c>
      <c r="AG232" s="46">
        <f>'فرع الاردنية'!AG61</f>
        <v>0</v>
      </c>
      <c r="AH232" s="46">
        <f>'فرع الاردنية'!AH61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+'فرع الاردنية'!A62</f>
        <v>0</v>
      </c>
      <c r="B236" s="44">
        <f>+'فرع الاردنية'!B62</f>
        <v>0</v>
      </c>
      <c r="C236" s="45">
        <f>+'فرع الاردنية'!C62</f>
        <v>0</v>
      </c>
      <c r="D236" s="45">
        <f>+'فرع الاردنية'!D62</f>
        <v>0</v>
      </c>
      <c r="E236" s="45">
        <f>+'فرع الاردنية'!E62</f>
        <v>0</v>
      </c>
      <c r="F236" s="46">
        <f>'فرع الاردنية'!F62</f>
        <v>0</v>
      </c>
      <c r="G236" s="46">
        <f>'فرع الاردنية'!G62</f>
        <v>0</v>
      </c>
      <c r="H236" s="46">
        <f>'فرع الاردنية'!H62</f>
        <v>0</v>
      </c>
      <c r="I236" s="46">
        <f>'فرع الاردنية'!I62</f>
        <v>0</v>
      </c>
      <c r="J236" s="46">
        <f>'فرع الاردنية'!J62</f>
        <v>0</v>
      </c>
      <c r="K236" s="46">
        <f>'فرع الاردنية'!K62</f>
        <v>0</v>
      </c>
      <c r="L236" s="46">
        <f>'فرع الاردنية'!L62</f>
        <v>0</v>
      </c>
      <c r="M236" s="46">
        <f>'فرع الاردنية'!M62</f>
        <v>0</v>
      </c>
      <c r="N236" s="46">
        <f>'فرع الاردنية'!N62</f>
        <v>0</v>
      </c>
      <c r="O236" s="46">
        <f>'فرع الاردنية'!O62</f>
        <v>0</v>
      </c>
      <c r="P236" s="46">
        <f>'فرع الاردنية'!P62</f>
        <v>0</v>
      </c>
      <c r="Q236" s="46">
        <f>'فرع الاردنية'!Q62</f>
        <v>0</v>
      </c>
      <c r="R236" s="47">
        <f>'فرع الاردنية'!R62</f>
        <v>0</v>
      </c>
      <c r="S236" s="47">
        <f>'فرع الاردنية'!S62</f>
        <v>0</v>
      </c>
      <c r="T236" s="46">
        <f>'فرع الاردنية'!T62</f>
        <v>0</v>
      </c>
      <c r="U236" s="46">
        <f>'فرع الاردنية'!U62</f>
        <v>0</v>
      </c>
      <c r="V236" s="46">
        <f>'فرع الاردنية'!V62</f>
        <v>0</v>
      </c>
      <c r="W236" s="46">
        <f>'فرع الاردنية'!W62</f>
        <v>0</v>
      </c>
      <c r="X236" s="46">
        <f>'فرع الاردنية'!X62</f>
        <v>0</v>
      </c>
      <c r="Y236" s="46">
        <f>'فرع الاردنية'!Y62</f>
        <v>0</v>
      </c>
      <c r="Z236" s="46">
        <f>'فرع الاردنية'!Z62</f>
        <v>0</v>
      </c>
      <c r="AA236" s="46">
        <f>'فرع الاردنية'!AA62</f>
        <v>0</v>
      </c>
      <c r="AB236" s="46">
        <f>'فرع الاردنية'!AB62</f>
        <v>0</v>
      </c>
      <c r="AC236" s="46">
        <f>'فرع الاردنية'!AC62</f>
        <v>0</v>
      </c>
      <c r="AD236" s="46">
        <f>'فرع الاردنية'!AD62</f>
        <v>0</v>
      </c>
      <c r="AE236" s="46">
        <f>'فرع الاردنية'!AE62</f>
        <v>0</v>
      </c>
      <c r="AF236" s="46">
        <f>'فرع الاردنية'!AF62</f>
        <v>0</v>
      </c>
      <c r="AG236" s="46">
        <f>'فرع الاردنية'!AG62</f>
        <v>0</v>
      </c>
      <c r="AH236" s="46">
        <f>'فرع الاردنية'!AH62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+'فرع الاردنية'!A63</f>
        <v>0</v>
      </c>
      <c r="B240" s="44">
        <f>+'فرع الاردنية'!B63</f>
        <v>0</v>
      </c>
      <c r="C240" s="45">
        <f>+'فرع الاردنية'!C63</f>
        <v>0</v>
      </c>
      <c r="D240" s="45">
        <f>+'فرع الاردنية'!D63</f>
        <v>0</v>
      </c>
      <c r="E240" s="45">
        <f>+'فرع الاردنية'!E63</f>
        <v>0</v>
      </c>
      <c r="F240" s="46">
        <f>'فرع الاردنية'!F63</f>
        <v>0</v>
      </c>
      <c r="G240" s="46">
        <f>'فرع الاردنية'!G63</f>
        <v>0</v>
      </c>
      <c r="H240" s="46">
        <f>'فرع الاردنية'!H63</f>
        <v>0</v>
      </c>
      <c r="I240" s="46">
        <f>'فرع الاردنية'!I63</f>
        <v>0</v>
      </c>
      <c r="J240" s="46">
        <f>'فرع الاردنية'!J63</f>
        <v>0</v>
      </c>
      <c r="K240" s="46">
        <f>'فرع الاردنية'!K63</f>
        <v>0</v>
      </c>
      <c r="L240" s="46">
        <f>'فرع الاردنية'!L63</f>
        <v>0</v>
      </c>
      <c r="M240" s="46">
        <f>'فرع الاردنية'!M63</f>
        <v>0</v>
      </c>
      <c r="N240" s="46">
        <f>'فرع الاردنية'!N63</f>
        <v>0</v>
      </c>
      <c r="O240" s="46">
        <f>'فرع الاردنية'!O63</f>
        <v>0</v>
      </c>
      <c r="P240" s="46">
        <f>'فرع الاردنية'!P63</f>
        <v>0</v>
      </c>
      <c r="Q240" s="46">
        <f>'فرع الاردنية'!Q63</f>
        <v>0</v>
      </c>
      <c r="R240" s="47">
        <f>'فرع الاردنية'!R63</f>
        <v>0</v>
      </c>
      <c r="S240" s="47">
        <f>'فرع الاردنية'!S63</f>
        <v>0</v>
      </c>
      <c r="T240" s="46">
        <f>'فرع الاردنية'!T63</f>
        <v>0</v>
      </c>
      <c r="U240" s="46">
        <f>'فرع الاردنية'!U63</f>
        <v>0</v>
      </c>
      <c r="V240" s="46">
        <f>'فرع الاردنية'!V63</f>
        <v>0</v>
      </c>
      <c r="W240" s="46">
        <f>'فرع الاردنية'!W63</f>
        <v>0</v>
      </c>
      <c r="X240" s="46">
        <f>'فرع الاردنية'!X63</f>
        <v>0</v>
      </c>
      <c r="Y240" s="46">
        <f>'فرع الاردنية'!Y63</f>
        <v>0</v>
      </c>
      <c r="Z240" s="46">
        <f>'فرع الاردنية'!Z63</f>
        <v>0</v>
      </c>
      <c r="AA240" s="46">
        <f>'فرع الاردنية'!AA63</f>
        <v>0</v>
      </c>
      <c r="AB240" s="46">
        <f>'فرع الاردنية'!AB63</f>
        <v>0</v>
      </c>
      <c r="AC240" s="46">
        <f>'فرع الاردنية'!AC63</f>
        <v>0</v>
      </c>
      <c r="AD240" s="46">
        <f>'فرع الاردنية'!AD63</f>
        <v>0</v>
      </c>
      <c r="AE240" s="46">
        <f>'فرع الاردنية'!AE63</f>
        <v>0</v>
      </c>
      <c r="AF240" s="46">
        <f>'فرع الاردنية'!AF63</f>
        <v>0</v>
      </c>
      <c r="AG240" s="46">
        <f>'فرع الاردنية'!AG63</f>
        <v>0</v>
      </c>
      <c r="AH240" s="46">
        <f>'فرع الاردنية'!AH63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+'فرع الاردنية'!A64</f>
        <v>0</v>
      </c>
      <c r="B244" s="44">
        <f>+'فرع الاردنية'!B64</f>
        <v>0</v>
      </c>
      <c r="C244" s="45">
        <f>+'فرع الاردنية'!C64</f>
        <v>0</v>
      </c>
      <c r="D244" s="45">
        <f>+'فرع الاردنية'!D64</f>
        <v>0</v>
      </c>
      <c r="E244" s="45">
        <f>+'فرع الاردنية'!E64</f>
        <v>0</v>
      </c>
      <c r="F244" s="46">
        <f>'فرع الاردنية'!F64</f>
        <v>0</v>
      </c>
      <c r="G244" s="46">
        <f>'فرع الاردنية'!G64</f>
        <v>0</v>
      </c>
      <c r="H244" s="46">
        <f>'فرع الاردنية'!H64</f>
        <v>0</v>
      </c>
      <c r="I244" s="46">
        <f>'فرع الاردنية'!I64</f>
        <v>0</v>
      </c>
      <c r="J244" s="46">
        <f>'فرع الاردنية'!J64</f>
        <v>0</v>
      </c>
      <c r="K244" s="46">
        <f>'فرع الاردنية'!K64</f>
        <v>0</v>
      </c>
      <c r="L244" s="46">
        <f>'فرع الاردنية'!L64</f>
        <v>0</v>
      </c>
      <c r="M244" s="46">
        <f>'فرع الاردنية'!M64</f>
        <v>0</v>
      </c>
      <c r="N244" s="46">
        <f>'فرع الاردنية'!N64</f>
        <v>0</v>
      </c>
      <c r="O244" s="46">
        <f>'فرع الاردنية'!O64</f>
        <v>0</v>
      </c>
      <c r="P244" s="46">
        <f>'فرع الاردنية'!P64</f>
        <v>0</v>
      </c>
      <c r="Q244" s="46">
        <f>'فرع الاردنية'!Q64</f>
        <v>0</v>
      </c>
      <c r="R244" s="47">
        <f>'فرع الاردنية'!R64</f>
        <v>0</v>
      </c>
      <c r="S244" s="47">
        <f>'فرع الاردنية'!S64</f>
        <v>0</v>
      </c>
      <c r="T244" s="46">
        <f>'فرع الاردنية'!T64</f>
        <v>0</v>
      </c>
      <c r="U244" s="46">
        <f>'فرع الاردنية'!U64</f>
        <v>0</v>
      </c>
      <c r="V244" s="46">
        <f>'فرع الاردنية'!V64</f>
        <v>0</v>
      </c>
      <c r="W244" s="46">
        <f>'فرع الاردنية'!W64</f>
        <v>0</v>
      </c>
      <c r="X244" s="46">
        <f>'فرع الاردنية'!X64</f>
        <v>0</v>
      </c>
      <c r="Y244" s="46">
        <f>'فرع الاردنية'!Y64</f>
        <v>0</v>
      </c>
      <c r="Z244" s="46">
        <f>'فرع الاردنية'!Z64</f>
        <v>0</v>
      </c>
      <c r="AA244" s="46">
        <f>'فرع الاردنية'!AA64</f>
        <v>0</v>
      </c>
      <c r="AB244" s="46">
        <f>'فرع الاردنية'!AB64</f>
        <v>0</v>
      </c>
      <c r="AC244" s="46">
        <f>'فرع الاردنية'!AC64</f>
        <v>0</v>
      </c>
      <c r="AD244" s="46">
        <f>'فرع الاردنية'!AD64</f>
        <v>0</v>
      </c>
      <c r="AE244" s="46">
        <f>'فرع الاردنية'!AE64</f>
        <v>0</v>
      </c>
      <c r="AF244" s="46">
        <f>'فرع الاردنية'!AF64</f>
        <v>0</v>
      </c>
      <c r="AG244" s="46">
        <f>'فرع الاردنية'!AG64</f>
        <v>0</v>
      </c>
      <c r="AH244" s="46">
        <f>'فرع الاردنية'!AH64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+'فرع الاردنية'!A65</f>
        <v>0</v>
      </c>
      <c r="B248" s="44">
        <f>+'فرع الاردنية'!B65</f>
        <v>0</v>
      </c>
      <c r="C248" s="45">
        <f>+'فرع الاردنية'!C65</f>
        <v>0</v>
      </c>
      <c r="D248" s="45">
        <f>+'فرع الاردنية'!D65</f>
        <v>0</v>
      </c>
      <c r="E248" s="45">
        <f>+'فرع الاردنية'!E65</f>
        <v>0</v>
      </c>
      <c r="F248" s="46">
        <f>'فرع الاردنية'!F65</f>
        <v>0</v>
      </c>
      <c r="G248" s="46">
        <f>'فرع الاردنية'!G65</f>
        <v>0</v>
      </c>
      <c r="H248" s="46">
        <f>'فرع الاردنية'!H65</f>
        <v>0</v>
      </c>
      <c r="I248" s="46">
        <f>'فرع الاردنية'!I65</f>
        <v>0</v>
      </c>
      <c r="J248" s="46">
        <f>'فرع الاردنية'!J65</f>
        <v>0</v>
      </c>
      <c r="K248" s="46">
        <f>'فرع الاردنية'!K65</f>
        <v>0</v>
      </c>
      <c r="L248" s="46">
        <f>'فرع الاردنية'!L65</f>
        <v>0</v>
      </c>
      <c r="M248" s="46">
        <f>'فرع الاردنية'!M65</f>
        <v>0</v>
      </c>
      <c r="N248" s="46">
        <f>'فرع الاردنية'!N65</f>
        <v>0</v>
      </c>
      <c r="O248" s="46">
        <f>'فرع الاردنية'!O65</f>
        <v>0</v>
      </c>
      <c r="P248" s="46">
        <f>'فرع الاردنية'!P65</f>
        <v>0</v>
      </c>
      <c r="Q248" s="46">
        <f>'فرع الاردنية'!Q65</f>
        <v>0</v>
      </c>
      <c r="R248" s="47">
        <f>'فرع الاردنية'!R65</f>
        <v>0</v>
      </c>
      <c r="S248" s="47">
        <f>'فرع الاردنية'!S65</f>
        <v>0</v>
      </c>
      <c r="T248" s="46">
        <f>'فرع الاردنية'!T65</f>
        <v>0</v>
      </c>
      <c r="U248" s="46">
        <f>'فرع الاردنية'!U65</f>
        <v>0</v>
      </c>
      <c r="V248" s="46">
        <f>'فرع الاردنية'!V65</f>
        <v>0</v>
      </c>
      <c r="W248" s="46">
        <f>'فرع الاردنية'!W65</f>
        <v>0</v>
      </c>
      <c r="X248" s="46">
        <f>'فرع الاردنية'!X65</f>
        <v>0</v>
      </c>
      <c r="Y248" s="46">
        <f>'فرع الاردنية'!Y65</f>
        <v>0</v>
      </c>
      <c r="Z248" s="46">
        <f>'فرع الاردنية'!Z65</f>
        <v>0</v>
      </c>
      <c r="AA248" s="46">
        <f>'فرع الاردنية'!AA65</f>
        <v>0</v>
      </c>
      <c r="AB248" s="46">
        <f>'فرع الاردنية'!AB65</f>
        <v>0</v>
      </c>
      <c r="AC248" s="46">
        <f>'فرع الاردنية'!AC65</f>
        <v>0</v>
      </c>
      <c r="AD248" s="46">
        <f>'فرع الاردنية'!AD65</f>
        <v>0</v>
      </c>
      <c r="AE248" s="46">
        <f>'فرع الاردنية'!AE65</f>
        <v>0</v>
      </c>
      <c r="AF248" s="46">
        <f>'فرع الاردنية'!AF65</f>
        <v>0</v>
      </c>
      <c r="AG248" s="46">
        <f>'فرع الاردنية'!AG65</f>
        <v>0</v>
      </c>
      <c r="AH248" s="46">
        <f>'فرع الاردنية'!AH65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+'فرع الاردنية'!A66</f>
        <v>0</v>
      </c>
      <c r="B252" s="44">
        <f>+'فرع الاردنية'!B66</f>
        <v>0</v>
      </c>
      <c r="C252" s="45">
        <f>+'فرع الاردنية'!C66</f>
        <v>0</v>
      </c>
      <c r="D252" s="45">
        <f>+'فرع الاردنية'!D66</f>
        <v>0</v>
      </c>
      <c r="E252" s="45">
        <f>+'فرع الاردنية'!E66</f>
        <v>0</v>
      </c>
      <c r="F252" s="46">
        <f>'فرع الاردنية'!F66</f>
        <v>0</v>
      </c>
      <c r="G252" s="46">
        <f>'فرع الاردنية'!G66</f>
        <v>0</v>
      </c>
      <c r="H252" s="46">
        <f>'فرع الاردنية'!H66</f>
        <v>0</v>
      </c>
      <c r="I252" s="46">
        <f>'فرع الاردنية'!I66</f>
        <v>0</v>
      </c>
      <c r="J252" s="46">
        <f>'فرع الاردنية'!J66</f>
        <v>0</v>
      </c>
      <c r="K252" s="46">
        <f>'فرع الاردنية'!K66</f>
        <v>0</v>
      </c>
      <c r="L252" s="46">
        <f>'فرع الاردنية'!L66</f>
        <v>0</v>
      </c>
      <c r="M252" s="46">
        <f>'فرع الاردنية'!M66</f>
        <v>0</v>
      </c>
      <c r="N252" s="46">
        <f>'فرع الاردنية'!N66</f>
        <v>0</v>
      </c>
      <c r="O252" s="46">
        <f>'فرع الاردنية'!O66</f>
        <v>0</v>
      </c>
      <c r="P252" s="46">
        <f>'فرع الاردنية'!P66</f>
        <v>0</v>
      </c>
      <c r="Q252" s="46">
        <f>'فرع الاردنية'!Q66</f>
        <v>0</v>
      </c>
      <c r="R252" s="47">
        <f>'فرع الاردنية'!R66</f>
        <v>0</v>
      </c>
      <c r="S252" s="47">
        <f>'فرع الاردنية'!S66</f>
        <v>0</v>
      </c>
      <c r="T252" s="46">
        <f>'فرع الاردنية'!T66</f>
        <v>0</v>
      </c>
      <c r="U252" s="46">
        <f>'فرع الاردنية'!U66</f>
        <v>0</v>
      </c>
      <c r="V252" s="46">
        <f>'فرع الاردنية'!V66</f>
        <v>0</v>
      </c>
      <c r="W252" s="46">
        <f>'فرع الاردنية'!W66</f>
        <v>0</v>
      </c>
      <c r="X252" s="46">
        <f>'فرع الاردنية'!X66</f>
        <v>0</v>
      </c>
      <c r="Y252" s="46">
        <f>'فرع الاردنية'!Y66</f>
        <v>0</v>
      </c>
      <c r="Z252" s="46">
        <f>'فرع الاردنية'!Z66</f>
        <v>0</v>
      </c>
      <c r="AA252" s="46">
        <f>'فرع الاردنية'!AA66</f>
        <v>0</v>
      </c>
      <c r="AB252" s="46">
        <f>'فرع الاردنية'!AB66</f>
        <v>0</v>
      </c>
      <c r="AC252" s="46">
        <f>'فرع الاردنية'!AC66</f>
        <v>0</v>
      </c>
      <c r="AD252" s="46">
        <f>'فرع الاردنية'!AD66</f>
        <v>0</v>
      </c>
      <c r="AE252" s="46">
        <f>'فرع الاردنية'!AE66</f>
        <v>0</v>
      </c>
      <c r="AF252" s="46">
        <f>'فرع الاردنية'!AF66</f>
        <v>0</v>
      </c>
      <c r="AG252" s="46">
        <f>'فرع الاردنية'!AG66</f>
        <v>0</v>
      </c>
      <c r="AH252" s="46">
        <f>'فرع الاردنية'!AH66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+'فرع الاردنية'!A67</f>
        <v>0</v>
      </c>
      <c r="B256" s="44">
        <f>+'فرع الاردنية'!B67</f>
        <v>0</v>
      </c>
      <c r="C256" s="45">
        <f>+'فرع الاردنية'!C67</f>
        <v>0</v>
      </c>
      <c r="D256" s="45">
        <f>+'فرع الاردنية'!D67</f>
        <v>0</v>
      </c>
      <c r="E256" s="45">
        <f>+'فرع الاردنية'!E67</f>
        <v>0</v>
      </c>
      <c r="F256" s="46">
        <f>'فرع الاردنية'!F67</f>
        <v>0</v>
      </c>
      <c r="G256" s="46">
        <f>'فرع الاردنية'!G67</f>
        <v>0</v>
      </c>
      <c r="H256" s="46">
        <f>'فرع الاردنية'!H67</f>
        <v>0</v>
      </c>
      <c r="I256" s="46">
        <f>'فرع الاردنية'!I67</f>
        <v>0</v>
      </c>
      <c r="J256" s="46">
        <f>'فرع الاردنية'!J67</f>
        <v>0</v>
      </c>
      <c r="K256" s="46">
        <f>'فرع الاردنية'!K67</f>
        <v>0</v>
      </c>
      <c r="L256" s="46">
        <f>'فرع الاردنية'!L67</f>
        <v>0</v>
      </c>
      <c r="M256" s="46">
        <f>'فرع الاردنية'!M67</f>
        <v>0</v>
      </c>
      <c r="N256" s="46">
        <f>'فرع الاردنية'!N67</f>
        <v>0</v>
      </c>
      <c r="O256" s="46">
        <f>'فرع الاردنية'!O67</f>
        <v>0</v>
      </c>
      <c r="P256" s="46">
        <f>'فرع الاردنية'!P67</f>
        <v>0</v>
      </c>
      <c r="Q256" s="46">
        <f>'فرع الاردنية'!Q67</f>
        <v>0</v>
      </c>
      <c r="R256" s="47">
        <f>'فرع الاردنية'!R67</f>
        <v>0</v>
      </c>
      <c r="S256" s="47">
        <f>'فرع الاردنية'!S67</f>
        <v>0</v>
      </c>
      <c r="T256" s="46">
        <f>'فرع الاردنية'!T67</f>
        <v>0</v>
      </c>
      <c r="U256" s="46">
        <f>'فرع الاردنية'!U67</f>
        <v>0</v>
      </c>
      <c r="V256" s="46">
        <f>'فرع الاردنية'!V67</f>
        <v>0</v>
      </c>
      <c r="W256" s="46">
        <f>'فرع الاردنية'!W67</f>
        <v>0</v>
      </c>
      <c r="X256" s="46">
        <f>'فرع الاردنية'!X67</f>
        <v>0</v>
      </c>
      <c r="Y256" s="46">
        <f>'فرع الاردنية'!Y67</f>
        <v>0</v>
      </c>
      <c r="Z256" s="46">
        <f>'فرع الاردنية'!Z67</f>
        <v>0</v>
      </c>
      <c r="AA256" s="46">
        <f>'فرع الاردنية'!AA67</f>
        <v>0</v>
      </c>
      <c r="AB256" s="46">
        <f>'فرع الاردنية'!AB67</f>
        <v>0</v>
      </c>
      <c r="AC256" s="46">
        <f>'فرع الاردنية'!AC67</f>
        <v>0</v>
      </c>
      <c r="AD256" s="46">
        <f>'فرع الاردنية'!AD67</f>
        <v>0</v>
      </c>
      <c r="AE256" s="46">
        <f>'فرع الاردنية'!AE67</f>
        <v>0</v>
      </c>
      <c r="AF256" s="46">
        <f>'فرع الاردنية'!AF67</f>
        <v>0</v>
      </c>
      <c r="AG256" s="46">
        <f>'فرع الاردنية'!AG67</f>
        <v>0</v>
      </c>
      <c r="AH256" s="46">
        <f>'فرع الاردنية'!AH67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+'فرع الاردنية'!A68</f>
        <v>0</v>
      </c>
      <c r="B260" s="44">
        <f>+'فرع الاردنية'!B68</f>
        <v>0</v>
      </c>
      <c r="C260" s="45">
        <f>+'فرع الاردنية'!C68</f>
        <v>0</v>
      </c>
      <c r="D260" s="45">
        <f>+'فرع الاردنية'!D68</f>
        <v>0</v>
      </c>
      <c r="E260" s="45">
        <f>+'فرع الاردنية'!E68</f>
        <v>0</v>
      </c>
      <c r="F260" s="46">
        <f>'فرع الاردنية'!F68</f>
        <v>0</v>
      </c>
      <c r="G260" s="46">
        <f>'فرع الاردنية'!G68</f>
        <v>0</v>
      </c>
      <c r="H260" s="46">
        <f>'فرع الاردنية'!H68</f>
        <v>0</v>
      </c>
      <c r="I260" s="46">
        <f>'فرع الاردنية'!I68</f>
        <v>0</v>
      </c>
      <c r="J260" s="46">
        <f>'فرع الاردنية'!J68</f>
        <v>0</v>
      </c>
      <c r="K260" s="46">
        <f>'فرع الاردنية'!K68</f>
        <v>0</v>
      </c>
      <c r="L260" s="46">
        <f>'فرع الاردنية'!L68</f>
        <v>0</v>
      </c>
      <c r="M260" s="46">
        <f>'فرع الاردنية'!M68</f>
        <v>0</v>
      </c>
      <c r="N260" s="46">
        <f>'فرع الاردنية'!N68</f>
        <v>0</v>
      </c>
      <c r="O260" s="46">
        <f>'فرع الاردنية'!O68</f>
        <v>0</v>
      </c>
      <c r="P260" s="46">
        <f>'فرع الاردنية'!P68</f>
        <v>0</v>
      </c>
      <c r="Q260" s="46">
        <f>'فرع الاردنية'!Q68</f>
        <v>0</v>
      </c>
      <c r="R260" s="47">
        <f>'فرع الاردنية'!R68</f>
        <v>0</v>
      </c>
      <c r="S260" s="47">
        <f>'فرع الاردنية'!S68</f>
        <v>0</v>
      </c>
      <c r="T260" s="46">
        <f>'فرع الاردنية'!T68</f>
        <v>0</v>
      </c>
      <c r="U260" s="46">
        <f>'فرع الاردنية'!U68</f>
        <v>0</v>
      </c>
      <c r="V260" s="46">
        <f>'فرع الاردنية'!V68</f>
        <v>0</v>
      </c>
      <c r="W260" s="46">
        <f>'فرع الاردنية'!W68</f>
        <v>0</v>
      </c>
      <c r="X260" s="46">
        <f>'فرع الاردنية'!X68</f>
        <v>0</v>
      </c>
      <c r="Y260" s="46">
        <f>'فرع الاردنية'!Y68</f>
        <v>0</v>
      </c>
      <c r="Z260" s="46">
        <f>'فرع الاردنية'!Z68</f>
        <v>0</v>
      </c>
      <c r="AA260" s="46">
        <f>'فرع الاردنية'!AA68</f>
        <v>0</v>
      </c>
      <c r="AB260" s="46">
        <f>'فرع الاردنية'!AB68</f>
        <v>0</v>
      </c>
      <c r="AC260" s="46">
        <f>'فرع الاردنية'!AC68</f>
        <v>0</v>
      </c>
      <c r="AD260" s="46">
        <f>'فرع الاردنية'!AD68</f>
        <v>0</v>
      </c>
      <c r="AE260" s="46">
        <f>'فرع الاردنية'!AE68</f>
        <v>0</v>
      </c>
      <c r="AF260" s="46">
        <f>'فرع الاردنية'!AF68</f>
        <v>0</v>
      </c>
      <c r="AG260" s="46">
        <f>'فرع الاردنية'!AG68</f>
        <v>0</v>
      </c>
      <c r="AH260" s="46">
        <f>'فرع الاردنية'!AH68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+'فرع الاردنية'!A69</f>
        <v>0</v>
      </c>
      <c r="B264" s="44">
        <f>+'فرع الاردنية'!B69</f>
        <v>0</v>
      </c>
      <c r="C264" s="45">
        <f>+'فرع الاردنية'!C69</f>
        <v>0</v>
      </c>
      <c r="D264" s="45">
        <f>+'فرع الاردنية'!D69</f>
        <v>0</v>
      </c>
      <c r="E264" s="45">
        <f>+'فرع الاردنية'!E69</f>
        <v>0</v>
      </c>
      <c r="F264" s="46">
        <f>'فرع الاردنية'!F69</f>
        <v>0</v>
      </c>
      <c r="G264" s="46">
        <f>'فرع الاردنية'!G69</f>
        <v>0</v>
      </c>
      <c r="H264" s="46">
        <f>'فرع الاردنية'!H69</f>
        <v>0</v>
      </c>
      <c r="I264" s="46">
        <f>'فرع الاردنية'!I69</f>
        <v>0</v>
      </c>
      <c r="J264" s="46">
        <f>'فرع الاردنية'!J69</f>
        <v>0</v>
      </c>
      <c r="K264" s="46">
        <f>'فرع الاردنية'!K69</f>
        <v>0</v>
      </c>
      <c r="L264" s="46">
        <f>'فرع الاردنية'!L69</f>
        <v>0</v>
      </c>
      <c r="M264" s="46">
        <f>'فرع الاردنية'!M69</f>
        <v>0</v>
      </c>
      <c r="N264" s="46">
        <f>'فرع الاردنية'!N69</f>
        <v>0</v>
      </c>
      <c r="O264" s="46">
        <f>'فرع الاردنية'!O69</f>
        <v>0</v>
      </c>
      <c r="P264" s="46">
        <f>'فرع الاردنية'!P69</f>
        <v>0</v>
      </c>
      <c r="Q264" s="46">
        <f>'فرع الاردنية'!Q69</f>
        <v>0</v>
      </c>
      <c r="R264" s="47">
        <f>'فرع الاردنية'!R69</f>
        <v>0</v>
      </c>
      <c r="S264" s="47">
        <f>'فرع الاردنية'!S69</f>
        <v>0</v>
      </c>
      <c r="T264" s="46">
        <f>'فرع الاردنية'!T69</f>
        <v>0</v>
      </c>
      <c r="U264" s="46">
        <f>'فرع الاردنية'!U69</f>
        <v>0</v>
      </c>
      <c r="V264" s="46">
        <f>'فرع الاردنية'!V69</f>
        <v>0</v>
      </c>
      <c r="W264" s="46">
        <f>'فرع الاردنية'!W69</f>
        <v>0</v>
      </c>
      <c r="X264" s="46">
        <f>'فرع الاردنية'!X69</f>
        <v>0</v>
      </c>
      <c r="Y264" s="46">
        <f>'فرع الاردنية'!Y69</f>
        <v>0</v>
      </c>
      <c r="Z264" s="46">
        <f>'فرع الاردنية'!Z69</f>
        <v>0</v>
      </c>
      <c r="AA264" s="46">
        <f>'فرع الاردنية'!AA69</f>
        <v>0</v>
      </c>
      <c r="AB264" s="46">
        <f>'فرع الاردنية'!AB69</f>
        <v>0</v>
      </c>
      <c r="AC264" s="46">
        <f>'فرع الاردنية'!AC69</f>
        <v>0</v>
      </c>
      <c r="AD264" s="46">
        <f>'فرع الاردنية'!AD69</f>
        <v>0</v>
      </c>
      <c r="AE264" s="46">
        <f>'فرع الاردنية'!AE69</f>
        <v>0</v>
      </c>
      <c r="AF264" s="46">
        <f>'فرع الاردنية'!AF69</f>
        <v>0</v>
      </c>
      <c r="AG264" s="46">
        <f>'فرع الاردنية'!AG69</f>
        <v>0</v>
      </c>
      <c r="AH264" s="46">
        <f>'فرع الاردنية'!AH69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+'فرع الاردنية'!A70</f>
        <v>0</v>
      </c>
      <c r="B268" s="44">
        <f>+'فرع الاردنية'!B70</f>
        <v>0</v>
      </c>
      <c r="C268" s="45">
        <f>+'فرع الاردنية'!C70</f>
        <v>0</v>
      </c>
      <c r="D268" s="45">
        <f>+'فرع الاردنية'!D70</f>
        <v>0</v>
      </c>
      <c r="E268" s="45">
        <f>+'فرع الاردنية'!E70</f>
        <v>0</v>
      </c>
      <c r="F268" s="46">
        <f>'فرع الاردنية'!F70</f>
        <v>0</v>
      </c>
      <c r="G268" s="46">
        <f>'فرع الاردنية'!G70</f>
        <v>0</v>
      </c>
      <c r="H268" s="46">
        <f>'فرع الاردنية'!H70</f>
        <v>0</v>
      </c>
      <c r="I268" s="46">
        <f>'فرع الاردنية'!I70</f>
        <v>0</v>
      </c>
      <c r="J268" s="46">
        <f>'فرع الاردنية'!J70</f>
        <v>0</v>
      </c>
      <c r="K268" s="46">
        <f>'فرع الاردنية'!K70</f>
        <v>0</v>
      </c>
      <c r="L268" s="46">
        <f>'فرع الاردنية'!L70</f>
        <v>0</v>
      </c>
      <c r="M268" s="46">
        <f>'فرع الاردنية'!M70</f>
        <v>0</v>
      </c>
      <c r="N268" s="46">
        <f>'فرع الاردنية'!N70</f>
        <v>0</v>
      </c>
      <c r="O268" s="46">
        <f>'فرع الاردنية'!O70</f>
        <v>0</v>
      </c>
      <c r="P268" s="46">
        <f>'فرع الاردنية'!P70</f>
        <v>0</v>
      </c>
      <c r="Q268" s="46">
        <f>'فرع الاردنية'!Q70</f>
        <v>0</v>
      </c>
      <c r="R268" s="47">
        <f>'فرع الاردنية'!R70</f>
        <v>0</v>
      </c>
      <c r="S268" s="47">
        <f>'فرع الاردنية'!S70</f>
        <v>0</v>
      </c>
      <c r="T268" s="46">
        <f>'فرع الاردنية'!T70</f>
        <v>0</v>
      </c>
      <c r="U268" s="46">
        <f>'فرع الاردنية'!U70</f>
        <v>0</v>
      </c>
      <c r="V268" s="46">
        <f>'فرع الاردنية'!V70</f>
        <v>0</v>
      </c>
      <c r="W268" s="46">
        <f>'فرع الاردنية'!W70</f>
        <v>0</v>
      </c>
      <c r="X268" s="46">
        <f>'فرع الاردنية'!X70</f>
        <v>0</v>
      </c>
      <c r="Y268" s="46">
        <f>'فرع الاردنية'!Y70</f>
        <v>0</v>
      </c>
      <c r="Z268" s="46">
        <f>'فرع الاردنية'!Z70</f>
        <v>0</v>
      </c>
      <c r="AA268" s="46">
        <f>'فرع الاردنية'!AA70</f>
        <v>0</v>
      </c>
      <c r="AB268" s="46">
        <f>'فرع الاردنية'!AB70</f>
        <v>0</v>
      </c>
      <c r="AC268" s="46">
        <f>'فرع الاردنية'!AC70</f>
        <v>0</v>
      </c>
      <c r="AD268" s="46">
        <f>'فرع الاردنية'!AD70</f>
        <v>0</v>
      </c>
      <c r="AE268" s="46">
        <f>'فرع الاردنية'!AE70</f>
        <v>0</v>
      </c>
      <c r="AF268" s="46">
        <f>'فرع الاردنية'!AF70</f>
        <v>0</v>
      </c>
      <c r="AG268" s="46">
        <f>'فرع الاردنية'!AG70</f>
        <v>0</v>
      </c>
      <c r="AH268" s="46">
        <f>'فرع الاردنية'!AH70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+'فرع الاردنية'!A71</f>
        <v>0</v>
      </c>
      <c r="B272" s="44">
        <f>+'فرع الاردنية'!B71</f>
        <v>0</v>
      </c>
      <c r="C272" s="45">
        <f>+'فرع الاردنية'!C71</f>
        <v>0</v>
      </c>
      <c r="D272" s="45">
        <f>+'فرع الاردنية'!D71</f>
        <v>0</v>
      </c>
      <c r="E272" s="45">
        <f>+'فرع الاردنية'!E71</f>
        <v>0</v>
      </c>
      <c r="F272" s="46">
        <f>'فرع الاردنية'!F71</f>
        <v>0</v>
      </c>
      <c r="G272" s="46">
        <f>'فرع الاردنية'!G71</f>
        <v>0</v>
      </c>
      <c r="H272" s="46">
        <f>'فرع الاردنية'!H71</f>
        <v>0</v>
      </c>
      <c r="I272" s="46">
        <f>'فرع الاردنية'!I71</f>
        <v>0</v>
      </c>
      <c r="J272" s="46">
        <f>'فرع الاردنية'!J71</f>
        <v>0</v>
      </c>
      <c r="K272" s="46">
        <f>'فرع الاردنية'!K71</f>
        <v>0</v>
      </c>
      <c r="L272" s="46">
        <f>'فرع الاردنية'!L71</f>
        <v>0</v>
      </c>
      <c r="M272" s="46">
        <f>'فرع الاردنية'!M71</f>
        <v>0</v>
      </c>
      <c r="N272" s="46">
        <f>'فرع الاردنية'!N71</f>
        <v>0</v>
      </c>
      <c r="O272" s="46">
        <f>'فرع الاردنية'!O71</f>
        <v>0</v>
      </c>
      <c r="P272" s="46">
        <f>'فرع الاردنية'!P71</f>
        <v>0</v>
      </c>
      <c r="Q272" s="46">
        <f>'فرع الاردنية'!Q71</f>
        <v>0</v>
      </c>
      <c r="R272" s="47">
        <f>'فرع الاردنية'!R71</f>
        <v>0</v>
      </c>
      <c r="S272" s="47">
        <f>'فرع الاردنية'!S71</f>
        <v>0</v>
      </c>
      <c r="T272" s="46">
        <f>'فرع الاردنية'!T71</f>
        <v>0</v>
      </c>
      <c r="U272" s="46">
        <f>'فرع الاردنية'!U71</f>
        <v>0</v>
      </c>
      <c r="V272" s="46">
        <f>'فرع الاردنية'!V71</f>
        <v>0</v>
      </c>
      <c r="W272" s="46">
        <f>'فرع الاردنية'!W71</f>
        <v>0</v>
      </c>
      <c r="X272" s="46">
        <f>'فرع الاردنية'!X71</f>
        <v>0</v>
      </c>
      <c r="Y272" s="46">
        <f>'فرع الاردنية'!Y71</f>
        <v>0</v>
      </c>
      <c r="Z272" s="46">
        <f>'فرع الاردنية'!Z71</f>
        <v>0</v>
      </c>
      <c r="AA272" s="46">
        <f>'فرع الاردنية'!AA71</f>
        <v>0</v>
      </c>
      <c r="AB272" s="46">
        <f>'فرع الاردنية'!AB71</f>
        <v>0</v>
      </c>
      <c r="AC272" s="46">
        <f>'فرع الاردنية'!AC71</f>
        <v>0</v>
      </c>
      <c r="AD272" s="46">
        <f>'فرع الاردنية'!AD71</f>
        <v>0</v>
      </c>
      <c r="AE272" s="46">
        <f>'فرع الاردنية'!AE71</f>
        <v>0</v>
      </c>
      <c r="AF272" s="46">
        <f>'فرع الاردنية'!AF71</f>
        <v>0</v>
      </c>
      <c r="AG272" s="46">
        <f>'فرع الاردنية'!AG71</f>
        <v>0</v>
      </c>
      <c r="AH272" s="46">
        <f>'فرع الاردنية'!AH71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+'فرع الاردنية'!A72</f>
        <v>0</v>
      </c>
      <c r="B276" s="44">
        <f>+'فرع الاردنية'!B72</f>
        <v>0</v>
      </c>
      <c r="C276" s="45">
        <f>+'فرع الاردنية'!C72</f>
        <v>0</v>
      </c>
      <c r="D276" s="45">
        <f>+'فرع الاردنية'!D72</f>
        <v>0</v>
      </c>
      <c r="E276" s="45">
        <f>+'فرع الاردنية'!E72</f>
        <v>0</v>
      </c>
      <c r="F276" s="46">
        <f>'فرع الاردنية'!F72</f>
        <v>0</v>
      </c>
      <c r="G276" s="46">
        <f>'فرع الاردنية'!G72</f>
        <v>0</v>
      </c>
      <c r="H276" s="46">
        <f>'فرع الاردنية'!H72</f>
        <v>0</v>
      </c>
      <c r="I276" s="46">
        <f>'فرع الاردنية'!I72</f>
        <v>0</v>
      </c>
      <c r="J276" s="46">
        <f>'فرع الاردنية'!J72</f>
        <v>0</v>
      </c>
      <c r="K276" s="46">
        <f>'فرع الاردنية'!K72</f>
        <v>0</v>
      </c>
      <c r="L276" s="46">
        <f>'فرع الاردنية'!L72</f>
        <v>0</v>
      </c>
      <c r="M276" s="46">
        <f>'فرع الاردنية'!M72</f>
        <v>0</v>
      </c>
      <c r="N276" s="46">
        <f>'فرع الاردنية'!N72</f>
        <v>0</v>
      </c>
      <c r="O276" s="46">
        <f>'فرع الاردنية'!O72</f>
        <v>0</v>
      </c>
      <c r="P276" s="46">
        <f>'فرع الاردنية'!P72</f>
        <v>0</v>
      </c>
      <c r="Q276" s="46">
        <f>'فرع الاردنية'!Q72</f>
        <v>0</v>
      </c>
      <c r="R276" s="47">
        <f>'فرع الاردنية'!R72</f>
        <v>0</v>
      </c>
      <c r="S276" s="47">
        <f>'فرع الاردنية'!S72</f>
        <v>0</v>
      </c>
      <c r="T276" s="46">
        <f>'فرع الاردنية'!T72</f>
        <v>0</v>
      </c>
      <c r="U276" s="46">
        <f>'فرع الاردنية'!U72</f>
        <v>0</v>
      </c>
      <c r="V276" s="46">
        <f>'فرع الاردنية'!V72</f>
        <v>0</v>
      </c>
      <c r="W276" s="46">
        <f>'فرع الاردنية'!W72</f>
        <v>0</v>
      </c>
      <c r="X276" s="46">
        <f>'فرع الاردنية'!X72</f>
        <v>0</v>
      </c>
      <c r="Y276" s="46">
        <f>'فرع الاردنية'!Y72</f>
        <v>0</v>
      </c>
      <c r="Z276" s="46">
        <f>'فرع الاردنية'!Z72</f>
        <v>0</v>
      </c>
      <c r="AA276" s="46">
        <f>'فرع الاردنية'!AA72</f>
        <v>0</v>
      </c>
      <c r="AB276" s="46">
        <f>'فرع الاردنية'!AB72</f>
        <v>0</v>
      </c>
      <c r="AC276" s="46">
        <f>'فرع الاردنية'!AC72</f>
        <v>0</v>
      </c>
      <c r="AD276" s="46">
        <f>'فرع الاردنية'!AD72</f>
        <v>0</v>
      </c>
      <c r="AE276" s="46">
        <f>'فرع الاردنية'!AE72</f>
        <v>0</v>
      </c>
      <c r="AF276" s="46">
        <f>'فرع الاردنية'!AF72</f>
        <v>0</v>
      </c>
      <c r="AG276" s="46">
        <f>'فرع الاردنية'!AG72</f>
        <v>0</v>
      </c>
      <c r="AH276" s="46">
        <f>'فرع الاردنية'!AH72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+'فرع الاردنية'!A73</f>
        <v>0</v>
      </c>
      <c r="B280" s="44">
        <f>+'فرع الاردنية'!B73</f>
        <v>0</v>
      </c>
      <c r="C280" s="45">
        <f>+'فرع الاردنية'!C73</f>
        <v>0</v>
      </c>
      <c r="D280" s="45">
        <f>+'فرع الاردنية'!D73</f>
        <v>0</v>
      </c>
      <c r="E280" s="45">
        <f>+'فرع الاردنية'!E73</f>
        <v>0</v>
      </c>
      <c r="F280" s="46">
        <f>'فرع الاردنية'!F73</f>
        <v>0</v>
      </c>
      <c r="G280" s="46">
        <f>'فرع الاردنية'!G73</f>
        <v>0</v>
      </c>
      <c r="H280" s="46">
        <f>'فرع الاردنية'!H73</f>
        <v>0</v>
      </c>
      <c r="I280" s="46">
        <f>'فرع الاردنية'!I73</f>
        <v>0</v>
      </c>
      <c r="J280" s="46">
        <f>'فرع الاردنية'!J73</f>
        <v>0</v>
      </c>
      <c r="K280" s="46">
        <f>'فرع الاردنية'!K73</f>
        <v>0</v>
      </c>
      <c r="L280" s="46">
        <f>'فرع الاردنية'!L73</f>
        <v>0</v>
      </c>
      <c r="M280" s="46">
        <f>'فرع الاردنية'!M73</f>
        <v>0</v>
      </c>
      <c r="N280" s="46">
        <f>'فرع الاردنية'!N73</f>
        <v>0</v>
      </c>
      <c r="O280" s="46">
        <f>'فرع الاردنية'!O73</f>
        <v>0</v>
      </c>
      <c r="P280" s="46">
        <f>'فرع الاردنية'!P73</f>
        <v>0</v>
      </c>
      <c r="Q280" s="46">
        <f>'فرع الاردنية'!Q73</f>
        <v>0</v>
      </c>
      <c r="R280" s="47">
        <f>'فرع الاردنية'!R73</f>
        <v>0</v>
      </c>
      <c r="S280" s="47">
        <f>'فرع الاردنية'!S73</f>
        <v>0</v>
      </c>
      <c r="T280" s="46">
        <f>'فرع الاردنية'!T73</f>
        <v>0</v>
      </c>
      <c r="U280" s="46">
        <f>'فرع الاردنية'!U73</f>
        <v>0</v>
      </c>
      <c r="V280" s="46">
        <f>'فرع الاردنية'!V73</f>
        <v>0</v>
      </c>
      <c r="W280" s="46">
        <f>'فرع الاردنية'!W73</f>
        <v>0</v>
      </c>
      <c r="X280" s="46">
        <f>'فرع الاردنية'!X73</f>
        <v>0</v>
      </c>
      <c r="Y280" s="46">
        <f>'فرع الاردنية'!Y73</f>
        <v>0</v>
      </c>
      <c r="Z280" s="46">
        <f>'فرع الاردنية'!Z73</f>
        <v>0</v>
      </c>
      <c r="AA280" s="46">
        <f>'فرع الاردنية'!AA73</f>
        <v>0</v>
      </c>
      <c r="AB280" s="46">
        <f>'فرع الاردنية'!AB73</f>
        <v>0</v>
      </c>
      <c r="AC280" s="46">
        <f>'فرع الاردنية'!AC73</f>
        <v>0</v>
      </c>
      <c r="AD280" s="46">
        <f>'فرع الاردنية'!AD73</f>
        <v>0</v>
      </c>
      <c r="AE280" s="46">
        <f>'فرع الاردنية'!AE73</f>
        <v>0</v>
      </c>
      <c r="AF280" s="46">
        <f>'فرع الاردنية'!AF73</f>
        <v>0</v>
      </c>
      <c r="AG280" s="46">
        <f>'فرع الاردنية'!AG73</f>
        <v>0</v>
      </c>
      <c r="AH280" s="46">
        <f>'فرع الاردنية'!AH73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+'فرع الاردنية'!A74</f>
        <v>0</v>
      </c>
      <c r="B284" s="44">
        <f>+'فرع الاردنية'!B74</f>
        <v>0</v>
      </c>
      <c r="C284" s="45">
        <f>+'فرع الاردنية'!C74</f>
        <v>0</v>
      </c>
      <c r="D284" s="45">
        <f>+'فرع الاردنية'!D74</f>
        <v>0</v>
      </c>
      <c r="E284" s="45">
        <f>+'فرع الاردنية'!E74</f>
        <v>0</v>
      </c>
      <c r="F284" s="46">
        <f>'فرع الاردنية'!F74</f>
        <v>0</v>
      </c>
      <c r="G284" s="46">
        <f>'فرع الاردنية'!G74</f>
        <v>0</v>
      </c>
      <c r="H284" s="46">
        <f>'فرع الاردنية'!H74</f>
        <v>0</v>
      </c>
      <c r="I284" s="46">
        <f>'فرع الاردنية'!I74</f>
        <v>0</v>
      </c>
      <c r="J284" s="46">
        <f>'فرع الاردنية'!J74</f>
        <v>0</v>
      </c>
      <c r="K284" s="46">
        <f>'فرع الاردنية'!K74</f>
        <v>0</v>
      </c>
      <c r="L284" s="46">
        <f>'فرع الاردنية'!L74</f>
        <v>0</v>
      </c>
      <c r="M284" s="46">
        <f>'فرع الاردنية'!M74</f>
        <v>0</v>
      </c>
      <c r="N284" s="46">
        <f>'فرع الاردنية'!N74</f>
        <v>0</v>
      </c>
      <c r="O284" s="46">
        <f>'فرع الاردنية'!O74</f>
        <v>0</v>
      </c>
      <c r="P284" s="46">
        <f>'فرع الاردنية'!P74</f>
        <v>0</v>
      </c>
      <c r="Q284" s="46">
        <f>'فرع الاردنية'!Q74</f>
        <v>0</v>
      </c>
      <c r="R284" s="47">
        <f>'فرع الاردنية'!R74</f>
        <v>0</v>
      </c>
      <c r="S284" s="47">
        <f>'فرع الاردنية'!S74</f>
        <v>0</v>
      </c>
      <c r="T284" s="46">
        <f>'فرع الاردنية'!T74</f>
        <v>0</v>
      </c>
      <c r="U284" s="46">
        <f>'فرع الاردنية'!U74</f>
        <v>0</v>
      </c>
      <c r="V284" s="46">
        <f>'فرع الاردنية'!V74</f>
        <v>0</v>
      </c>
      <c r="W284" s="46">
        <f>'فرع الاردنية'!W74</f>
        <v>0</v>
      </c>
      <c r="X284" s="46">
        <f>'فرع الاردنية'!X74</f>
        <v>0</v>
      </c>
      <c r="Y284" s="46">
        <f>'فرع الاردنية'!Y74</f>
        <v>0</v>
      </c>
      <c r="Z284" s="46">
        <f>'فرع الاردنية'!Z74</f>
        <v>0</v>
      </c>
      <c r="AA284" s="46">
        <f>'فرع الاردنية'!AA74</f>
        <v>0</v>
      </c>
      <c r="AB284" s="46">
        <f>'فرع الاردنية'!AB74</f>
        <v>0</v>
      </c>
      <c r="AC284" s="46">
        <f>'فرع الاردنية'!AC74</f>
        <v>0</v>
      </c>
      <c r="AD284" s="46">
        <f>'فرع الاردنية'!AD74</f>
        <v>0</v>
      </c>
      <c r="AE284" s="46">
        <f>'فرع الاردنية'!AE74</f>
        <v>0</v>
      </c>
      <c r="AF284" s="46">
        <f>'فرع الاردنية'!AF74</f>
        <v>0</v>
      </c>
      <c r="AG284" s="46">
        <f>'فرع الاردنية'!AG74</f>
        <v>0</v>
      </c>
      <c r="AH284" s="46">
        <f>'فرع الاردنية'!AH74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+'فرع الاردنية'!A75</f>
        <v>0</v>
      </c>
      <c r="B288" s="44">
        <f>+'فرع الاردنية'!B75</f>
        <v>0</v>
      </c>
      <c r="C288" s="45">
        <f>+'فرع الاردنية'!C75</f>
        <v>0</v>
      </c>
      <c r="D288" s="45">
        <f>+'فرع الاردنية'!D75</f>
        <v>0</v>
      </c>
      <c r="E288" s="45">
        <f>+'فرع الاردنية'!E75</f>
        <v>0</v>
      </c>
      <c r="F288" s="46">
        <f>'فرع الاردنية'!F75</f>
        <v>0</v>
      </c>
      <c r="G288" s="46">
        <f>'فرع الاردنية'!G75</f>
        <v>0</v>
      </c>
      <c r="H288" s="46">
        <f>'فرع الاردنية'!H75</f>
        <v>0</v>
      </c>
      <c r="I288" s="46">
        <f>'فرع الاردنية'!I75</f>
        <v>0</v>
      </c>
      <c r="J288" s="46">
        <f>'فرع الاردنية'!J75</f>
        <v>0</v>
      </c>
      <c r="K288" s="46">
        <f>'فرع الاردنية'!K75</f>
        <v>0</v>
      </c>
      <c r="L288" s="46">
        <f>'فرع الاردنية'!L75</f>
        <v>0</v>
      </c>
      <c r="M288" s="46">
        <f>'فرع الاردنية'!M75</f>
        <v>0</v>
      </c>
      <c r="N288" s="46">
        <f>'فرع الاردنية'!N75</f>
        <v>0</v>
      </c>
      <c r="O288" s="46">
        <f>'فرع الاردنية'!O75</f>
        <v>0</v>
      </c>
      <c r="P288" s="46">
        <f>'فرع الاردنية'!P75</f>
        <v>0</v>
      </c>
      <c r="Q288" s="46">
        <f>'فرع الاردنية'!Q75</f>
        <v>0</v>
      </c>
      <c r="R288" s="47">
        <f>'فرع الاردنية'!R75</f>
        <v>0</v>
      </c>
      <c r="S288" s="47">
        <f>'فرع الاردنية'!S75</f>
        <v>0</v>
      </c>
      <c r="T288" s="46">
        <f>'فرع الاردنية'!T75</f>
        <v>0</v>
      </c>
      <c r="U288" s="46">
        <f>'فرع الاردنية'!U75</f>
        <v>0</v>
      </c>
      <c r="V288" s="46">
        <f>'فرع الاردنية'!V75</f>
        <v>0</v>
      </c>
      <c r="W288" s="46">
        <f>'فرع الاردنية'!W75</f>
        <v>0</v>
      </c>
      <c r="X288" s="46">
        <f>'فرع الاردنية'!X75</f>
        <v>0</v>
      </c>
      <c r="Y288" s="46">
        <f>'فرع الاردنية'!Y75</f>
        <v>0</v>
      </c>
      <c r="Z288" s="46">
        <f>'فرع الاردنية'!Z75</f>
        <v>0</v>
      </c>
      <c r="AA288" s="46">
        <f>'فرع الاردنية'!AA75</f>
        <v>0</v>
      </c>
      <c r="AB288" s="46">
        <f>'فرع الاردنية'!AB75</f>
        <v>0</v>
      </c>
      <c r="AC288" s="46">
        <f>'فرع الاردنية'!AC75</f>
        <v>0</v>
      </c>
      <c r="AD288" s="46">
        <f>'فرع الاردنية'!AD75</f>
        <v>0</v>
      </c>
      <c r="AE288" s="46">
        <f>'فرع الاردنية'!AE75</f>
        <v>0</v>
      </c>
      <c r="AF288" s="46">
        <f>'فرع الاردنية'!AF75</f>
        <v>0</v>
      </c>
      <c r="AG288" s="46">
        <f>'فرع الاردنية'!AG75</f>
        <v>0</v>
      </c>
      <c r="AH288" s="46">
        <f>'فرع الاردنية'!AH75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+'فرع الاردنية'!A76</f>
        <v>0</v>
      </c>
      <c r="B292" s="44">
        <f>+'فرع الاردنية'!B76</f>
        <v>0</v>
      </c>
      <c r="C292" s="45">
        <f>+'فرع الاردنية'!C76</f>
        <v>0</v>
      </c>
      <c r="D292" s="45">
        <f>+'فرع الاردنية'!D76</f>
        <v>0</v>
      </c>
      <c r="E292" s="45">
        <f>+'فرع الاردنية'!E76</f>
        <v>0</v>
      </c>
      <c r="F292" s="46">
        <f>'فرع الاردنية'!F76</f>
        <v>0</v>
      </c>
      <c r="G292" s="46">
        <f>'فرع الاردنية'!G76</f>
        <v>0</v>
      </c>
      <c r="H292" s="46">
        <f>'فرع الاردنية'!H76</f>
        <v>0</v>
      </c>
      <c r="I292" s="46">
        <f>'فرع الاردنية'!I76</f>
        <v>0</v>
      </c>
      <c r="J292" s="46">
        <f>'فرع الاردنية'!J76</f>
        <v>0</v>
      </c>
      <c r="K292" s="46">
        <f>'فرع الاردنية'!K76</f>
        <v>0</v>
      </c>
      <c r="L292" s="46">
        <f>'فرع الاردنية'!L76</f>
        <v>0</v>
      </c>
      <c r="M292" s="46">
        <f>'فرع الاردنية'!M76</f>
        <v>0</v>
      </c>
      <c r="N292" s="46">
        <f>'فرع الاردنية'!N76</f>
        <v>0</v>
      </c>
      <c r="O292" s="46">
        <f>'فرع الاردنية'!O76</f>
        <v>0</v>
      </c>
      <c r="P292" s="46">
        <f>'فرع الاردنية'!P76</f>
        <v>0</v>
      </c>
      <c r="Q292" s="46">
        <f>'فرع الاردنية'!Q76</f>
        <v>0</v>
      </c>
      <c r="R292" s="47">
        <f>'فرع الاردنية'!R76</f>
        <v>0</v>
      </c>
      <c r="S292" s="47">
        <f>'فرع الاردنية'!S76</f>
        <v>0</v>
      </c>
      <c r="T292" s="46">
        <f>'فرع الاردنية'!T76</f>
        <v>0</v>
      </c>
      <c r="U292" s="46">
        <f>'فرع الاردنية'!U76</f>
        <v>0</v>
      </c>
      <c r="V292" s="46">
        <f>'فرع الاردنية'!V76</f>
        <v>0</v>
      </c>
      <c r="W292" s="46">
        <f>'فرع الاردنية'!W76</f>
        <v>0</v>
      </c>
      <c r="X292" s="46">
        <f>'فرع الاردنية'!X76</f>
        <v>0</v>
      </c>
      <c r="Y292" s="46">
        <f>'فرع الاردنية'!Y76</f>
        <v>0</v>
      </c>
      <c r="Z292" s="46">
        <f>'فرع الاردنية'!Z76</f>
        <v>0</v>
      </c>
      <c r="AA292" s="46">
        <f>'فرع الاردنية'!AA76</f>
        <v>0</v>
      </c>
      <c r="AB292" s="46">
        <f>'فرع الاردنية'!AB76</f>
        <v>0</v>
      </c>
      <c r="AC292" s="46">
        <f>'فرع الاردنية'!AC76</f>
        <v>0</v>
      </c>
      <c r="AD292" s="46">
        <f>'فرع الاردنية'!AD76</f>
        <v>0</v>
      </c>
      <c r="AE292" s="46">
        <f>'فرع الاردنية'!AE76</f>
        <v>0</v>
      </c>
      <c r="AF292" s="46">
        <f>'فرع الاردنية'!AF76</f>
        <v>0</v>
      </c>
      <c r="AG292" s="46">
        <f>'فرع الاردنية'!AG76</f>
        <v>0</v>
      </c>
      <c r="AH292" s="46">
        <f>'فرع الاردنية'!AH76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+'فرع الاردنية'!A77</f>
        <v>0</v>
      </c>
      <c r="B296" s="44">
        <f>+'فرع الاردنية'!B77</f>
        <v>0</v>
      </c>
      <c r="C296" s="45">
        <f>+'فرع الاردنية'!C77</f>
        <v>0</v>
      </c>
      <c r="D296" s="45">
        <f>+'فرع الاردنية'!D77</f>
        <v>0</v>
      </c>
      <c r="E296" s="45">
        <f>+'فرع الاردنية'!E77</f>
        <v>0</v>
      </c>
      <c r="F296" s="46">
        <f>'فرع الاردنية'!F77</f>
        <v>0</v>
      </c>
      <c r="G296" s="46">
        <f>'فرع الاردنية'!G77</f>
        <v>0</v>
      </c>
      <c r="H296" s="46">
        <f>'فرع الاردنية'!H77</f>
        <v>0</v>
      </c>
      <c r="I296" s="46">
        <f>'فرع الاردنية'!I77</f>
        <v>0</v>
      </c>
      <c r="J296" s="46">
        <f>'فرع الاردنية'!J77</f>
        <v>0</v>
      </c>
      <c r="K296" s="46">
        <f>'فرع الاردنية'!K77</f>
        <v>0</v>
      </c>
      <c r="L296" s="46">
        <f>'فرع الاردنية'!L77</f>
        <v>0</v>
      </c>
      <c r="M296" s="46">
        <f>'فرع الاردنية'!M77</f>
        <v>0</v>
      </c>
      <c r="N296" s="46">
        <f>'فرع الاردنية'!N77</f>
        <v>0</v>
      </c>
      <c r="O296" s="46">
        <f>'فرع الاردنية'!O77</f>
        <v>0</v>
      </c>
      <c r="P296" s="46">
        <f>'فرع الاردنية'!P77</f>
        <v>0</v>
      </c>
      <c r="Q296" s="46">
        <f>'فرع الاردنية'!Q77</f>
        <v>0</v>
      </c>
      <c r="R296" s="47">
        <f>'فرع الاردنية'!R77</f>
        <v>0</v>
      </c>
      <c r="S296" s="47">
        <f>'فرع الاردنية'!S77</f>
        <v>0</v>
      </c>
      <c r="T296" s="46">
        <f>'فرع الاردنية'!T77</f>
        <v>0</v>
      </c>
      <c r="U296" s="46">
        <f>'فرع الاردنية'!U77</f>
        <v>0</v>
      </c>
      <c r="V296" s="46">
        <f>'فرع الاردنية'!V77</f>
        <v>0</v>
      </c>
      <c r="W296" s="46">
        <f>'فرع الاردنية'!W77</f>
        <v>0</v>
      </c>
      <c r="X296" s="46">
        <f>'فرع الاردنية'!X77</f>
        <v>0</v>
      </c>
      <c r="Y296" s="46">
        <f>'فرع الاردنية'!Y77</f>
        <v>0</v>
      </c>
      <c r="Z296" s="46">
        <f>'فرع الاردنية'!Z77</f>
        <v>0</v>
      </c>
      <c r="AA296" s="46">
        <f>'فرع الاردنية'!AA77</f>
        <v>0</v>
      </c>
      <c r="AB296" s="46">
        <f>'فرع الاردنية'!AB77</f>
        <v>0</v>
      </c>
      <c r="AC296" s="46">
        <f>'فرع الاردنية'!AC77</f>
        <v>0</v>
      </c>
      <c r="AD296" s="46">
        <f>'فرع الاردنية'!AD77</f>
        <v>0</v>
      </c>
      <c r="AE296" s="46">
        <f>'فرع الاردنية'!AE77</f>
        <v>0</v>
      </c>
      <c r="AF296" s="46">
        <f>'فرع الاردنية'!AF77</f>
        <v>0</v>
      </c>
      <c r="AG296" s="46">
        <f>'فرع الاردنية'!AG77</f>
        <v>0</v>
      </c>
      <c r="AH296" s="46">
        <f>'فرع الاردنية'!AH77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+'فرع الاردنية'!A78</f>
        <v>0</v>
      </c>
      <c r="B300" s="44">
        <f>+'فرع الاردنية'!B78</f>
        <v>0</v>
      </c>
      <c r="C300" s="45">
        <f>+'فرع الاردنية'!C78</f>
        <v>0</v>
      </c>
      <c r="D300" s="45">
        <f>+'فرع الاردنية'!D78</f>
        <v>0</v>
      </c>
      <c r="E300" s="45">
        <f>+'فرع الاردنية'!E78</f>
        <v>0</v>
      </c>
      <c r="F300" s="46">
        <f>'فرع الاردنية'!F78</f>
        <v>0</v>
      </c>
      <c r="G300" s="46">
        <f>'فرع الاردنية'!G78</f>
        <v>0</v>
      </c>
      <c r="H300" s="46">
        <f>'فرع الاردنية'!H78</f>
        <v>0</v>
      </c>
      <c r="I300" s="46">
        <f>'فرع الاردنية'!I78</f>
        <v>0</v>
      </c>
      <c r="J300" s="46">
        <f>'فرع الاردنية'!J78</f>
        <v>0</v>
      </c>
      <c r="K300" s="46">
        <f>'فرع الاردنية'!K78</f>
        <v>0</v>
      </c>
      <c r="L300" s="46">
        <f>'فرع الاردنية'!L78</f>
        <v>0</v>
      </c>
      <c r="M300" s="46">
        <f>'فرع الاردنية'!M78</f>
        <v>0</v>
      </c>
      <c r="N300" s="46">
        <f>'فرع الاردنية'!N78</f>
        <v>0</v>
      </c>
      <c r="O300" s="46">
        <f>'فرع الاردنية'!O78</f>
        <v>0</v>
      </c>
      <c r="P300" s="46">
        <f>'فرع الاردنية'!P78</f>
        <v>0</v>
      </c>
      <c r="Q300" s="46">
        <f>'فرع الاردنية'!Q78</f>
        <v>0</v>
      </c>
      <c r="R300" s="47">
        <f>'فرع الاردنية'!R78</f>
        <v>0</v>
      </c>
      <c r="S300" s="47">
        <f>'فرع الاردنية'!S78</f>
        <v>0</v>
      </c>
      <c r="T300" s="46">
        <f>'فرع الاردنية'!T78</f>
        <v>0</v>
      </c>
      <c r="U300" s="46">
        <f>'فرع الاردنية'!U78</f>
        <v>0</v>
      </c>
      <c r="V300" s="46">
        <f>'فرع الاردنية'!V78</f>
        <v>0</v>
      </c>
      <c r="W300" s="46">
        <f>'فرع الاردنية'!W78</f>
        <v>0</v>
      </c>
      <c r="X300" s="46">
        <f>'فرع الاردنية'!X78</f>
        <v>0</v>
      </c>
      <c r="Y300" s="46">
        <f>'فرع الاردنية'!Y78</f>
        <v>0</v>
      </c>
      <c r="Z300" s="46">
        <f>'فرع الاردنية'!Z78</f>
        <v>0</v>
      </c>
      <c r="AA300" s="46">
        <f>'فرع الاردنية'!AA78</f>
        <v>0</v>
      </c>
      <c r="AB300" s="46">
        <f>'فرع الاردنية'!AB78</f>
        <v>0</v>
      </c>
      <c r="AC300" s="46">
        <f>'فرع الاردنية'!AC78</f>
        <v>0</v>
      </c>
      <c r="AD300" s="46">
        <f>'فرع الاردنية'!AD78</f>
        <v>0</v>
      </c>
      <c r="AE300" s="46">
        <f>'فرع الاردنية'!AE78</f>
        <v>0</v>
      </c>
      <c r="AF300" s="46">
        <f>'فرع الاردنية'!AF78</f>
        <v>0</v>
      </c>
      <c r="AG300" s="46">
        <f>'فرع الاردنية'!AG78</f>
        <v>0</v>
      </c>
      <c r="AH300" s="46">
        <f>'فرع الاردنية'!AH78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+'فرع الاردنية'!A79</f>
        <v>0</v>
      </c>
      <c r="B304" s="44">
        <f>+'فرع الاردنية'!B79</f>
        <v>0</v>
      </c>
      <c r="C304" s="45">
        <f>+'فرع الاردنية'!C79</f>
        <v>0</v>
      </c>
      <c r="D304" s="45"/>
      <c r="E304" s="45">
        <f>+'فرع الاردنية'!E79</f>
        <v>0</v>
      </c>
      <c r="F304" s="46">
        <f>'فرع الاردنية'!F79</f>
        <v>0</v>
      </c>
      <c r="G304" s="46">
        <f>'فرع الاردنية'!G79</f>
        <v>0</v>
      </c>
      <c r="H304" s="46">
        <f>'فرع الاردنية'!H79</f>
        <v>0</v>
      </c>
      <c r="I304" s="46">
        <f>'فرع الاردنية'!I79</f>
        <v>0</v>
      </c>
      <c r="J304" s="46">
        <f>'فرع الاردنية'!J79</f>
        <v>0</v>
      </c>
      <c r="K304" s="46">
        <f>'فرع الاردنية'!K79</f>
        <v>0</v>
      </c>
      <c r="L304" s="46">
        <f>'فرع الاردنية'!L79</f>
        <v>0</v>
      </c>
      <c r="M304" s="46">
        <f>'فرع الاردنية'!M79</f>
        <v>0</v>
      </c>
      <c r="N304" s="46">
        <f>'فرع الاردنية'!N79</f>
        <v>0</v>
      </c>
      <c r="O304" s="46">
        <f>'فرع الاردنية'!O79</f>
        <v>0</v>
      </c>
      <c r="P304" s="46">
        <f>'فرع الاردنية'!P79</f>
        <v>0</v>
      </c>
      <c r="Q304" s="46">
        <f>'فرع الاردنية'!Q79</f>
        <v>0</v>
      </c>
      <c r="R304" s="47">
        <f>'فرع الاردنية'!R79</f>
        <v>0</v>
      </c>
      <c r="S304" s="47">
        <f>'فرع الاردنية'!S79</f>
        <v>0</v>
      </c>
      <c r="T304" s="46">
        <f>'فرع الاردنية'!T79</f>
        <v>0</v>
      </c>
      <c r="U304" s="46">
        <f>'فرع الاردنية'!U79</f>
        <v>0</v>
      </c>
      <c r="V304" s="46">
        <f>'فرع الاردنية'!V79</f>
        <v>0</v>
      </c>
      <c r="W304" s="46">
        <f>'فرع الاردنية'!W79</f>
        <v>0</v>
      </c>
      <c r="X304" s="46">
        <f>'فرع الاردنية'!X79</f>
        <v>0</v>
      </c>
      <c r="Y304" s="46">
        <f>'فرع الاردنية'!Y79</f>
        <v>0</v>
      </c>
      <c r="Z304" s="46">
        <f>'فرع الاردنية'!Z79</f>
        <v>0</v>
      </c>
      <c r="AA304" s="46">
        <f>'فرع الاردنية'!AA79</f>
        <v>0</v>
      </c>
      <c r="AB304" s="46">
        <f>'فرع الاردنية'!AB79</f>
        <v>0</v>
      </c>
      <c r="AC304" s="46">
        <f>'فرع الاردنية'!AC79</f>
        <v>0</v>
      </c>
      <c r="AD304" s="46">
        <f>'فرع الاردنية'!AD79</f>
        <v>0</v>
      </c>
      <c r="AE304" s="46">
        <f>'فرع الاردنية'!AE79</f>
        <v>0</v>
      </c>
      <c r="AF304" s="46">
        <f>'فرع الاردنية'!AF79</f>
        <v>0</v>
      </c>
      <c r="AG304" s="46">
        <f>'فرع الاردنية'!AG79</f>
        <v>0</v>
      </c>
      <c r="AH304" s="46">
        <f>'فرع الاردنية'!AH79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+'فرع الاردنية'!A80</f>
        <v>0</v>
      </c>
      <c r="B308" s="44">
        <f>+'فرع الاردنية'!B80</f>
        <v>0</v>
      </c>
      <c r="C308" s="45">
        <f>+'فرع الاردنية'!C80</f>
        <v>0</v>
      </c>
      <c r="D308" s="45">
        <f>+'فرع الاردنية'!D80</f>
        <v>0</v>
      </c>
      <c r="E308" s="45">
        <f>+'فرع الاردنية'!E80</f>
        <v>0</v>
      </c>
      <c r="F308" s="46">
        <f>'فرع الاردنية'!F80</f>
        <v>0</v>
      </c>
      <c r="G308" s="46">
        <f>'فرع الاردنية'!G80</f>
        <v>0</v>
      </c>
      <c r="H308" s="46">
        <f>'فرع الاردنية'!H80</f>
        <v>0</v>
      </c>
      <c r="I308" s="46">
        <f>'فرع الاردنية'!I80</f>
        <v>0</v>
      </c>
      <c r="J308" s="46">
        <f>'فرع الاردنية'!J80</f>
        <v>0</v>
      </c>
      <c r="K308" s="46">
        <f>'فرع الاردنية'!K80</f>
        <v>0</v>
      </c>
      <c r="L308" s="46">
        <f>'فرع الاردنية'!L80</f>
        <v>0</v>
      </c>
      <c r="M308" s="46">
        <f>'فرع الاردنية'!M80</f>
        <v>0</v>
      </c>
      <c r="N308" s="46">
        <f>'فرع الاردنية'!N80</f>
        <v>0</v>
      </c>
      <c r="O308" s="46">
        <f>'فرع الاردنية'!O80</f>
        <v>0</v>
      </c>
      <c r="P308" s="46">
        <f>'فرع الاردنية'!P80</f>
        <v>0</v>
      </c>
      <c r="Q308" s="46">
        <f>'فرع الاردنية'!Q80</f>
        <v>0</v>
      </c>
      <c r="R308" s="47">
        <f>'فرع الاردنية'!R80</f>
        <v>0</v>
      </c>
      <c r="S308" s="47">
        <f>'فرع الاردنية'!S80</f>
        <v>0</v>
      </c>
      <c r="T308" s="46">
        <f>'فرع الاردنية'!T80</f>
        <v>0</v>
      </c>
      <c r="U308" s="46">
        <f>'فرع الاردنية'!U80</f>
        <v>0</v>
      </c>
      <c r="V308" s="46">
        <f>'فرع الاردنية'!V80</f>
        <v>0</v>
      </c>
      <c r="W308" s="46">
        <f>'فرع الاردنية'!W80</f>
        <v>0</v>
      </c>
      <c r="X308" s="46">
        <f>'فرع الاردنية'!X80</f>
        <v>0</v>
      </c>
      <c r="Y308" s="46">
        <f>'فرع الاردنية'!Y80</f>
        <v>0</v>
      </c>
      <c r="Z308" s="46">
        <f>'فرع الاردنية'!Z80</f>
        <v>0</v>
      </c>
      <c r="AA308" s="46">
        <f>'فرع الاردنية'!AA80</f>
        <v>0</v>
      </c>
      <c r="AB308" s="46">
        <f>'فرع الاردنية'!AB80</f>
        <v>0</v>
      </c>
      <c r="AC308" s="46">
        <f>'فرع الاردنية'!AC80</f>
        <v>0</v>
      </c>
      <c r="AD308" s="46">
        <f>'فرع الاردنية'!AD80</f>
        <v>0</v>
      </c>
      <c r="AE308" s="46">
        <f>'فرع الاردنية'!AE80</f>
        <v>0</v>
      </c>
      <c r="AF308" s="46">
        <f>'فرع الاردنية'!AF80</f>
        <v>0</v>
      </c>
      <c r="AG308" s="46">
        <f>'فرع الاردنية'!AG80</f>
        <v>0</v>
      </c>
      <c r="AH308" s="46">
        <f>'فرع الاردنية'!AH80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</mergeCells>
  <conditionalFormatting sqref="A4">
    <cfRule type="duplicateValues" dxfId="346" priority="274"/>
    <cfRule type="duplicateValues" dxfId="345" priority="275"/>
    <cfRule type="duplicateValues" dxfId="344" priority="267"/>
    <cfRule type="duplicateValues" dxfId="343" priority="273"/>
    <cfRule type="duplicateValues" dxfId="342" priority="266"/>
    <cfRule type="duplicateValues" dxfId="341" priority="268"/>
    <cfRule type="duplicateValues" dxfId="340" priority="269"/>
    <cfRule type="duplicateValues" dxfId="339" priority="270"/>
    <cfRule type="duplicateValues" dxfId="338" priority="271"/>
    <cfRule type="duplicateValues" dxfId="337" priority="272"/>
  </conditionalFormatting>
  <conditionalFormatting sqref="A8">
    <cfRule type="duplicateValues" dxfId="336" priority="257"/>
    <cfRule type="duplicateValues" dxfId="335" priority="256"/>
    <cfRule type="duplicateValues" dxfId="334" priority="255"/>
    <cfRule type="duplicateValues" dxfId="333" priority="255"/>
    <cfRule type="duplicateValues" dxfId="332" priority="258"/>
    <cfRule type="duplicateValues" dxfId="331" priority="259"/>
    <cfRule type="duplicateValues" dxfId="330" priority="260"/>
    <cfRule type="duplicateValues" dxfId="329" priority="261"/>
    <cfRule type="duplicateValues" dxfId="328" priority="262"/>
    <cfRule type="duplicateValues" dxfId="327" priority="263"/>
  </conditionalFormatting>
  <conditionalFormatting sqref="A12">
    <cfRule type="duplicateValues" dxfId="326" priority="245"/>
    <cfRule type="duplicateValues" dxfId="325" priority="251"/>
    <cfRule type="duplicateValues" dxfId="324" priority="250"/>
    <cfRule type="duplicateValues" dxfId="323" priority="249"/>
    <cfRule type="duplicateValues" dxfId="322" priority="248"/>
    <cfRule type="duplicateValues" dxfId="321" priority="247"/>
    <cfRule type="duplicateValues" dxfId="320" priority="246"/>
    <cfRule type="duplicateValues" dxfId="319" priority="244"/>
    <cfRule type="duplicateValues" dxfId="318" priority="243"/>
    <cfRule type="duplicateValues" dxfId="317" priority="242"/>
  </conditionalFormatting>
  <conditionalFormatting sqref="A16">
    <cfRule type="duplicateValues" dxfId="316" priority="241"/>
    <cfRule type="duplicateValues" dxfId="315" priority="240"/>
    <cfRule type="duplicateValues" dxfId="314" priority="239"/>
    <cfRule type="duplicateValues" dxfId="313" priority="238"/>
    <cfRule type="duplicateValues" dxfId="312" priority="237"/>
    <cfRule type="duplicateValues" dxfId="311" priority="236"/>
    <cfRule type="duplicateValues" dxfId="310" priority="235"/>
    <cfRule type="duplicateValues" dxfId="309" priority="234"/>
    <cfRule type="duplicateValues" dxfId="308" priority="233"/>
    <cfRule type="duplicateValues" dxfId="307" priority="232"/>
  </conditionalFormatting>
  <conditionalFormatting sqref="A20">
    <cfRule type="duplicateValues" dxfId="306" priority="222"/>
    <cfRule type="duplicateValues" dxfId="305" priority="231"/>
    <cfRule type="duplicateValues" dxfId="304" priority="230"/>
    <cfRule type="duplicateValues" dxfId="303" priority="229"/>
    <cfRule type="duplicateValues" dxfId="302" priority="228"/>
    <cfRule type="duplicateValues" dxfId="301" priority="227"/>
    <cfRule type="duplicateValues" dxfId="300" priority="225"/>
    <cfRule type="duplicateValues" dxfId="299" priority="226"/>
    <cfRule type="duplicateValues" dxfId="298" priority="223"/>
    <cfRule type="duplicateValues" dxfId="297" priority="224"/>
  </conditionalFormatting>
  <conditionalFormatting sqref="A24">
    <cfRule type="duplicateValues" dxfId="296" priority="209"/>
    <cfRule type="duplicateValues" dxfId="295" priority="210"/>
    <cfRule type="duplicateValues" dxfId="294" priority="212"/>
    <cfRule type="duplicateValues" dxfId="293" priority="213"/>
    <cfRule type="duplicateValues" dxfId="292" priority="214"/>
    <cfRule type="duplicateValues" dxfId="291" priority="215"/>
    <cfRule type="duplicateValues" dxfId="290" priority="216"/>
    <cfRule type="duplicateValues" dxfId="289" priority="218"/>
    <cfRule type="duplicateValues" dxfId="288" priority="211"/>
    <cfRule type="duplicateValues" dxfId="287" priority="217"/>
  </conditionalFormatting>
  <conditionalFormatting sqref="A28">
    <cfRule type="duplicateValues" dxfId="286" priority="196"/>
    <cfRule type="duplicateValues" dxfId="285" priority="204"/>
    <cfRule type="duplicateValues" dxfId="284" priority="205"/>
    <cfRule type="duplicateValues" dxfId="283" priority="199"/>
    <cfRule type="duplicateValues" dxfId="282" priority="200"/>
    <cfRule type="duplicateValues" dxfId="281" priority="197"/>
    <cfRule type="duplicateValues" dxfId="280" priority="198"/>
    <cfRule type="duplicateValues" dxfId="279" priority="203"/>
    <cfRule type="duplicateValues" dxfId="278" priority="202"/>
    <cfRule type="duplicateValues" dxfId="277" priority="201"/>
  </conditionalFormatting>
  <conditionalFormatting sqref="A32">
    <cfRule type="duplicateValues" dxfId="276" priority="187"/>
    <cfRule type="duplicateValues" dxfId="275" priority="190"/>
    <cfRule type="duplicateValues" dxfId="274" priority="191"/>
    <cfRule type="duplicateValues" dxfId="273" priority="192"/>
    <cfRule type="duplicateValues" dxfId="272" priority="189"/>
    <cfRule type="duplicateValues" dxfId="271" priority="183"/>
    <cfRule type="duplicateValues" dxfId="270" priority="185"/>
    <cfRule type="duplicateValues" dxfId="269" priority="186"/>
    <cfRule type="duplicateValues" dxfId="268" priority="188"/>
    <cfRule type="duplicateValues" dxfId="267" priority="184"/>
  </conditionalFormatting>
  <conditionalFormatting sqref="A36">
    <cfRule type="duplicateValues" dxfId="266" priority="179"/>
    <cfRule type="duplicateValues" dxfId="265" priority="177"/>
    <cfRule type="duplicateValues" dxfId="264" priority="173"/>
    <cfRule type="duplicateValues" dxfId="263" priority="176"/>
    <cfRule type="duplicateValues" dxfId="262" priority="172"/>
    <cfRule type="duplicateValues" dxfId="261" priority="171"/>
    <cfRule type="duplicateValues" dxfId="260" priority="170"/>
    <cfRule type="duplicateValues" dxfId="259" priority="175"/>
    <cfRule type="duplicateValues" dxfId="258" priority="178"/>
    <cfRule type="duplicateValues" dxfId="257" priority="174"/>
  </conditionalFormatting>
  <conditionalFormatting sqref="A40">
    <cfRule type="duplicateValues" dxfId="256" priority="158"/>
    <cfRule type="duplicateValues" dxfId="255" priority="156"/>
    <cfRule type="duplicateValues" dxfId="254" priority="157"/>
    <cfRule type="duplicateValues" dxfId="253" priority="159"/>
    <cfRule type="duplicateValues" dxfId="252" priority="160"/>
    <cfRule type="duplicateValues" dxfId="251" priority="161"/>
    <cfRule type="duplicateValues" dxfId="250" priority="162"/>
    <cfRule type="duplicateValues" dxfId="249" priority="163"/>
    <cfRule type="duplicateValues" dxfId="248" priority="164"/>
    <cfRule type="duplicateValues" dxfId="247" priority="165"/>
  </conditionalFormatting>
  <conditionalFormatting sqref="A44">
    <cfRule type="duplicateValues" dxfId="246" priority="142"/>
    <cfRule type="duplicateValues" dxfId="245" priority="145"/>
    <cfRule type="duplicateValues" dxfId="244" priority="151"/>
    <cfRule type="duplicateValues" dxfId="243" priority="150"/>
    <cfRule type="duplicateValues" dxfId="242" priority="149"/>
    <cfRule type="duplicateValues" dxfId="241" priority="143"/>
    <cfRule type="duplicateValues" dxfId="240" priority="148"/>
    <cfRule type="duplicateValues" dxfId="239" priority="147"/>
    <cfRule type="duplicateValues" dxfId="238" priority="146"/>
    <cfRule type="duplicateValues" dxfId="237" priority="144"/>
  </conditionalFormatting>
  <conditionalFormatting sqref="A48">
    <cfRule type="duplicateValues" dxfId="236" priority="136"/>
    <cfRule type="duplicateValues" dxfId="235" priority="131"/>
    <cfRule type="duplicateValues" dxfId="234" priority="128"/>
    <cfRule type="duplicateValues" dxfId="233" priority="129"/>
    <cfRule type="duplicateValues" dxfId="232" priority="130"/>
    <cfRule type="duplicateValues" dxfId="231" priority="132"/>
    <cfRule type="duplicateValues" dxfId="230" priority="133"/>
    <cfRule type="duplicateValues" dxfId="229" priority="134"/>
    <cfRule type="duplicateValues" dxfId="228" priority="135"/>
    <cfRule type="duplicateValues" dxfId="227" priority="137"/>
  </conditionalFormatting>
  <conditionalFormatting sqref="A52">
    <cfRule type="duplicateValues" dxfId="226" priority="124"/>
    <cfRule type="duplicateValues" dxfId="225" priority="120"/>
    <cfRule type="duplicateValues" dxfId="224" priority="125"/>
    <cfRule type="duplicateValues" dxfId="223" priority="126"/>
    <cfRule type="duplicateValues" dxfId="222" priority="127"/>
    <cfRule type="duplicateValues" dxfId="221" priority="122"/>
    <cfRule type="duplicateValues" dxfId="220" priority="119"/>
    <cfRule type="duplicateValues" dxfId="219" priority="123"/>
    <cfRule type="duplicateValues" dxfId="218" priority="118"/>
    <cfRule type="duplicateValues" dxfId="217" priority="121"/>
  </conditionalFormatting>
  <conditionalFormatting sqref="A56">
    <cfRule type="duplicateValues" dxfId="216" priority="113"/>
    <cfRule type="duplicateValues" dxfId="215" priority="105"/>
    <cfRule type="duplicateValues" dxfId="214" priority="106"/>
    <cfRule type="duplicateValues" dxfId="213" priority="107"/>
    <cfRule type="duplicateValues" dxfId="212" priority="108"/>
    <cfRule type="duplicateValues" dxfId="211" priority="109"/>
    <cfRule type="duplicateValues" dxfId="210" priority="110"/>
    <cfRule type="duplicateValues" dxfId="209" priority="111"/>
    <cfRule type="duplicateValues" dxfId="208" priority="112"/>
    <cfRule type="duplicateValues" dxfId="207" priority="114"/>
  </conditionalFormatting>
  <conditionalFormatting sqref="A60">
    <cfRule type="duplicateValues" dxfId="206" priority="95"/>
    <cfRule type="duplicateValues" dxfId="205" priority="92"/>
    <cfRule type="duplicateValues" dxfId="204" priority="93"/>
    <cfRule type="duplicateValues" dxfId="203" priority="94"/>
    <cfRule type="duplicateValues" dxfId="202" priority="96"/>
    <cfRule type="duplicateValues" dxfId="201" priority="97"/>
    <cfRule type="duplicateValues" dxfId="200" priority="98"/>
    <cfRule type="duplicateValues" dxfId="199" priority="99"/>
    <cfRule type="duplicateValues" dxfId="198" priority="101"/>
    <cfRule type="duplicateValues" dxfId="197" priority="100"/>
  </conditionalFormatting>
  <conditionalFormatting sqref="A64">
    <cfRule type="duplicateValues" dxfId="196" priority="85"/>
    <cfRule type="duplicateValues" dxfId="195" priority="78"/>
    <cfRule type="duplicateValues" dxfId="194" priority="86"/>
    <cfRule type="duplicateValues" dxfId="193" priority="79"/>
    <cfRule type="duplicateValues" dxfId="192" priority="81"/>
    <cfRule type="duplicateValues" dxfId="191" priority="82"/>
    <cfRule type="duplicateValues" dxfId="190" priority="83"/>
    <cfRule type="duplicateValues" dxfId="189" priority="80"/>
    <cfRule type="duplicateValues" dxfId="188" priority="87"/>
    <cfRule type="duplicateValues" dxfId="187" priority="84"/>
  </conditionalFormatting>
  <conditionalFormatting sqref="A68">
    <cfRule type="duplicateValues" dxfId="186" priority="71"/>
    <cfRule type="duplicateValues" dxfId="185" priority="70"/>
    <cfRule type="duplicateValues" dxfId="184" priority="68"/>
    <cfRule type="duplicateValues" dxfId="183" priority="67"/>
    <cfRule type="duplicateValues" dxfId="182" priority="66"/>
    <cfRule type="duplicateValues" dxfId="181" priority="72"/>
    <cfRule type="duplicateValues" dxfId="180" priority="73"/>
    <cfRule type="duplicateValues" dxfId="179" priority="65"/>
    <cfRule type="duplicateValues" dxfId="178" priority="64"/>
    <cfRule type="duplicateValues" dxfId="177" priority="69"/>
  </conditionalFormatting>
  <conditionalFormatting sqref="A72">
    <cfRule type="duplicateValues" dxfId="176" priority="62"/>
    <cfRule type="duplicateValues" dxfId="175" priority="61"/>
    <cfRule type="duplicateValues" dxfId="174" priority="60"/>
    <cfRule type="duplicateValues" dxfId="173" priority="58"/>
    <cfRule type="duplicateValues" dxfId="172" priority="57"/>
    <cfRule type="duplicateValues" dxfId="171" priority="56"/>
    <cfRule type="duplicateValues" dxfId="170" priority="55"/>
    <cfRule type="duplicateValues" dxfId="169" priority="54"/>
    <cfRule type="duplicateValues" dxfId="168" priority="53"/>
    <cfRule type="duplicateValues" dxfId="167" priority="59"/>
  </conditionalFormatting>
  <conditionalFormatting sqref="A76">
    <cfRule type="duplicateValues" dxfId="166" priority="50"/>
    <cfRule type="duplicateValues" dxfId="165" priority="51"/>
    <cfRule type="duplicateValues" dxfId="164" priority="52"/>
    <cfRule type="duplicateValues" dxfId="163" priority="44"/>
    <cfRule type="duplicateValues" dxfId="162" priority="43"/>
    <cfRule type="duplicateValues" dxfId="161" priority="45"/>
    <cfRule type="duplicateValues" dxfId="160" priority="46"/>
    <cfRule type="duplicateValues" dxfId="159" priority="47"/>
    <cfRule type="duplicateValues" dxfId="158" priority="48"/>
    <cfRule type="duplicateValues" dxfId="157" priority="49"/>
  </conditionalFormatting>
  <conditionalFormatting sqref="A80">
    <cfRule type="duplicateValues" dxfId="156" priority="37"/>
    <cfRule type="duplicateValues" dxfId="155" priority="39"/>
    <cfRule type="duplicateValues" dxfId="154" priority="30"/>
    <cfRule type="duplicateValues" dxfId="153" priority="31"/>
    <cfRule type="duplicateValues" dxfId="152" priority="32"/>
    <cfRule type="duplicateValues" dxfId="151" priority="33"/>
    <cfRule type="duplicateValues" dxfId="150" priority="34"/>
    <cfRule type="duplicateValues" dxfId="149" priority="35"/>
    <cfRule type="duplicateValues" dxfId="148" priority="36"/>
    <cfRule type="duplicateValues" dxfId="147" priority="38"/>
  </conditionalFormatting>
  <conditionalFormatting sqref="A84">
    <cfRule type="duplicateValues" dxfId="146" priority="25"/>
    <cfRule type="duplicateValues" dxfId="145" priority="24"/>
    <cfRule type="duplicateValues" dxfId="144" priority="23"/>
    <cfRule type="duplicateValues" dxfId="143" priority="22"/>
    <cfRule type="duplicateValues" dxfId="142" priority="21"/>
    <cfRule type="duplicateValues" dxfId="141" priority="20"/>
    <cfRule type="duplicateValues" dxfId="140" priority="19"/>
    <cfRule type="duplicateValues" dxfId="139" priority="26"/>
    <cfRule type="duplicateValues" dxfId="138" priority="18"/>
    <cfRule type="duplicateValues" dxfId="137" priority="17"/>
  </conditionalFormatting>
  <conditionalFormatting sqref="A88">
    <cfRule type="duplicateValues" dxfId="136" priority="4"/>
    <cfRule type="duplicateValues" dxfId="135" priority="5"/>
    <cfRule type="duplicateValues" dxfId="134" priority="6"/>
    <cfRule type="duplicateValues" dxfId="133" priority="12"/>
    <cfRule type="duplicateValues" dxfId="132" priority="13"/>
    <cfRule type="duplicateValues" dxfId="131" priority="11"/>
    <cfRule type="duplicateValues" dxfId="130" priority="10"/>
    <cfRule type="duplicateValues" dxfId="129" priority="7"/>
    <cfRule type="duplicateValues" dxfId="128" priority="8"/>
    <cfRule type="duplicateValues" dxfId="127" priority="9"/>
  </conditionalFormatting>
  <conditionalFormatting sqref="A92">
    <cfRule type="duplicateValues" dxfId="126" priority="347"/>
    <cfRule type="duplicateValues" dxfId="125" priority="339"/>
    <cfRule type="duplicateValues" dxfId="124" priority="338"/>
    <cfRule type="duplicateValues" dxfId="123" priority="337"/>
    <cfRule type="duplicateValues" dxfId="122" priority="341"/>
    <cfRule type="duplicateValues" dxfId="121" priority="342"/>
    <cfRule type="duplicateValues" dxfId="120" priority="346"/>
    <cfRule type="duplicateValues" dxfId="119" priority="343"/>
    <cfRule type="duplicateValues" dxfId="118" priority="344"/>
    <cfRule type="duplicateValues" dxfId="117" priority="345"/>
    <cfRule type="duplicateValues" dxfId="116" priority="340"/>
  </conditionalFormatting>
  <conditionalFormatting sqref="A96">
    <cfRule type="duplicateValues" dxfId="115" priority="336"/>
    <cfRule type="duplicateValues" dxfId="114" priority="328"/>
    <cfRule type="duplicateValues" dxfId="113" priority="326"/>
    <cfRule type="duplicateValues" dxfId="112" priority="327"/>
    <cfRule type="duplicateValues" dxfId="111" priority="329"/>
    <cfRule type="duplicateValues" dxfId="110" priority="330"/>
    <cfRule type="duplicateValues" dxfId="109" priority="331"/>
    <cfRule type="duplicateValues" dxfId="108" priority="332"/>
    <cfRule type="duplicateValues" dxfId="107" priority="333"/>
    <cfRule type="duplicateValues" dxfId="106" priority="334"/>
    <cfRule type="duplicateValues" dxfId="105" priority="335"/>
  </conditionalFormatting>
  <conditionalFormatting sqref="A100">
    <cfRule type="duplicateValues" dxfId="104" priority="315"/>
    <cfRule type="duplicateValues" dxfId="103" priority="318"/>
    <cfRule type="duplicateValues" dxfId="102" priority="317"/>
    <cfRule type="duplicateValues" dxfId="101" priority="312"/>
    <cfRule type="duplicateValues" dxfId="100" priority="313"/>
    <cfRule type="duplicateValues" dxfId="99" priority="314"/>
    <cfRule type="duplicateValues" dxfId="98" priority="321"/>
    <cfRule type="duplicateValues" dxfId="97" priority="316"/>
    <cfRule type="duplicateValues" dxfId="96" priority="322"/>
    <cfRule type="duplicateValues" dxfId="95" priority="320"/>
    <cfRule type="duplicateValues" dxfId="94" priority="319"/>
  </conditionalFormatting>
  <conditionalFormatting sqref="A104">
    <cfRule type="duplicateValues" dxfId="93" priority="308"/>
    <cfRule type="duplicateValues" dxfId="92" priority="301"/>
    <cfRule type="duplicateValues" dxfId="91" priority="304"/>
    <cfRule type="duplicateValues" dxfId="90" priority="305"/>
    <cfRule type="duplicateValues" dxfId="89" priority="307"/>
    <cfRule type="duplicateValues" dxfId="88" priority="306"/>
    <cfRule type="duplicateValues" dxfId="87" priority="303"/>
    <cfRule type="duplicateValues" dxfId="86" priority="302"/>
  </conditionalFormatting>
  <conditionalFormatting sqref="A108">
    <cfRule type="duplicateValues" dxfId="85" priority="294"/>
    <cfRule type="duplicateValues" dxfId="84" priority="296"/>
    <cfRule type="duplicateValues" dxfId="83" priority="297"/>
    <cfRule type="duplicateValues" dxfId="82" priority="295"/>
    <cfRule type="duplicateValues" dxfId="81" priority="293"/>
    <cfRule type="duplicateValues" dxfId="80" priority="292"/>
    <cfRule type="duplicateValues" dxfId="79" priority="291"/>
    <cfRule type="duplicateValues" dxfId="78" priority="290"/>
  </conditionalFormatting>
  <conditionalFormatting sqref="A112">
    <cfRule type="duplicateValues" dxfId="77" priority="283"/>
    <cfRule type="duplicateValues" dxfId="76" priority="280"/>
    <cfRule type="duplicateValues" dxfId="75" priority="279"/>
    <cfRule type="duplicateValues" dxfId="74" priority="286"/>
    <cfRule type="duplicateValues" dxfId="73" priority="285"/>
    <cfRule type="duplicateValues" dxfId="72" priority="284"/>
    <cfRule type="duplicateValues" dxfId="71" priority="281"/>
    <cfRule type="duplicateValues" dxfId="70" priority="282"/>
  </conditionalFormatting>
  <conditionalFormatting sqref="B4">
    <cfRule type="duplicateValues" dxfId="69" priority="265"/>
    <cfRule type="duplicateValues" dxfId="68" priority="264"/>
  </conditionalFormatting>
  <conditionalFormatting sqref="B8">
    <cfRule type="duplicateValues" dxfId="67" priority="252"/>
    <cfRule type="duplicateValues" dxfId="66" priority="253"/>
  </conditionalFormatting>
  <conditionalFormatting sqref="B20">
    <cfRule type="duplicateValues" dxfId="65" priority="221"/>
    <cfRule type="duplicateValues" dxfId="64" priority="220"/>
    <cfRule type="duplicateValues" dxfId="63" priority="219"/>
  </conditionalFormatting>
  <conditionalFormatting sqref="B24">
    <cfRule type="duplicateValues" dxfId="62" priority="208"/>
    <cfRule type="duplicateValues" dxfId="61" priority="207"/>
    <cfRule type="duplicateValues" dxfId="60" priority="206"/>
  </conditionalFormatting>
  <conditionalFormatting sqref="B28">
    <cfRule type="duplicateValues" dxfId="59" priority="195"/>
    <cfRule type="duplicateValues" dxfId="58" priority="194"/>
    <cfRule type="duplicateValues" dxfId="57" priority="193"/>
  </conditionalFormatting>
  <conditionalFormatting sqref="B32">
    <cfRule type="duplicateValues" dxfId="56" priority="182"/>
    <cfRule type="duplicateValues" dxfId="55" priority="180"/>
    <cfRule type="duplicateValues" dxfId="54" priority="181"/>
  </conditionalFormatting>
  <conditionalFormatting sqref="B36">
    <cfRule type="duplicateValues" dxfId="53" priority="167"/>
    <cfRule type="duplicateValues" dxfId="52" priority="166"/>
    <cfRule type="duplicateValues" dxfId="51" priority="168"/>
    <cfRule type="containsText" dxfId="50" priority="169" operator="containsText" text="m">
      <formula>NOT(ISERROR(SEARCH("m",B36)))</formula>
    </cfRule>
  </conditionalFormatting>
  <conditionalFormatting sqref="B40">
    <cfRule type="duplicateValues" dxfId="49" priority="152"/>
    <cfRule type="containsText" dxfId="48" priority="155" operator="containsText" text="m">
      <formula>NOT(ISERROR(SEARCH("m",B40)))</formula>
    </cfRule>
    <cfRule type="duplicateValues" dxfId="47" priority="154"/>
    <cfRule type="duplicateValues" dxfId="46" priority="153"/>
  </conditionalFormatting>
  <conditionalFormatting sqref="B44">
    <cfRule type="duplicateValues" dxfId="45" priority="141"/>
    <cfRule type="duplicateValues" dxfId="44" priority="140"/>
    <cfRule type="duplicateValues" dxfId="43" priority="139"/>
    <cfRule type="containsText" dxfId="42" priority="138" operator="containsText" text="m">
      <formula>NOT(ISERROR(SEARCH("m",B44)))</formula>
    </cfRule>
  </conditionalFormatting>
  <conditionalFormatting sqref="B52">
    <cfRule type="duplicateValues" dxfId="41" priority="115"/>
    <cfRule type="duplicateValues" dxfId="40" priority="116"/>
    <cfRule type="duplicateValues" dxfId="39" priority="117"/>
  </conditionalFormatting>
  <conditionalFormatting sqref="B56">
    <cfRule type="duplicateValues" dxfId="38" priority="102"/>
    <cfRule type="duplicateValues" dxfId="37" priority="103"/>
    <cfRule type="duplicateValues" dxfId="36" priority="104"/>
  </conditionalFormatting>
  <conditionalFormatting sqref="B60">
    <cfRule type="duplicateValues" dxfId="35" priority="90"/>
    <cfRule type="duplicateValues" dxfId="34" priority="91"/>
    <cfRule type="duplicateValues" dxfId="33" priority="89"/>
    <cfRule type="containsText" dxfId="32" priority="88" operator="containsText" text="m">
      <formula>NOT(ISERROR(SEARCH("m",B60)))</formula>
    </cfRule>
  </conditionalFormatting>
  <conditionalFormatting sqref="B64">
    <cfRule type="containsText" dxfId="31" priority="74" operator="containsText" text="m">
      <formula>NOT(ISERROR(SEARCH("m",B64)))</formula>
    </cfRule>
    <cfRule type="duplicateValues" dxfId="30" priority="75"/>
    <cfRule type="duplicateValues" dxfId="29" priority="76"/>
    <cfRule type="duplicateValues" dxfId="28" priority="77"/>
  </conditionalFormatting>
  <conditionalFormatting sqref="B68">
    <cfRule type="containsText" dxfId="27" priority="63" operator="containsText" text="m">
      <formula>NOT(ISERROR(SEARCH("m",B68)))</formula>
    </cfRule>
  </conditionalFormatting>
  <conditionalFormatting sqref="B76">
    <cfRule type="duplicateValues" dxfId="26" priority="41"/>
    <cfRule type="duplicateValues" dxfId="25" priority="40"/>
    <cfRule type="duplicateValues" dxfId="24" priority="42"/>
  </conditionalFormatting>
  <conditionalFormatting sqref="B80">
    <cfRule type="duplicateValues" dxfId="23" priority="29"/>
    <cfRule type="duplicateValues" dxfId="22" priority="27"/>
    <cfRule type="duplicateValues" dxfId="21" priority="28"/>
  </conditionalFormatting>
  <conditionalFormatting sqref="B84">
    <cfRule type="duplicateValues" dxfId="20" priority="15"/>
    <cfRule type="duplicateValues" dxfId="19" priority="14"/>
    <cfRule type="duplicateValues" dxfId="18" priority="16"/>
  </conditionalFormatting>
  <conditionalFormatting sqref="B88">
    <cfRule type="duplicateValues" dxfId="17" priority="3"/>
    <cfRule type="duplicateValues" dxfId="16" priority="1"/>
    <cfRule type="duplicateValues" dxfId="15" priority="2"/>
  </conditionalFormatting>
  <conditionalFormatting sqref="B96">
    <cfRule type="duplicateValues" dxfId="14" priority="324"/>
    <cfRule type="duplicateValues" dxfId="13" priority="323"/>
    <cfRule type="duplicateValues" dxfId="12" priority="325"/>
  </conditionalFormatting>
  <conditionalFormatting sqref="B100">
    <cfRule type="duplicateValues" dxfId="11" priority="311"/>
    <cfRule type="duplicateValues" dxfId="10" priority="310"/>
    <cfRule type="duplicateValues" dxfId="9" priority="309"/>
  </conditionalFormatting>
  <conditionalFormatting sqref="B104">
    <cfRule type="duplicateValues" dxfId="8" priority="298"/>
    <cfRule type="duplicateValues" dxfId="7" priority="299"/>
    <cfRule type="duplicateValues" dxfId="6" priority="300"/>
  </conditionalFormatting>
  <conditionalFormatting sqref="B108">
    <cfRule type="duplicateValues" dxfId="5" priority="288"/>
    <cfRule type="duplicateValues" dxfId="4" priority="289"/>
    <cfRule type="duplicateValues" dxfId="3" priority="287"/>
  </conditionalFormatting>
  <conditionalFormatting sqref="B112">
    <cfRule type="duplicateValues" dxfId="2" priority="278"/>
    <cfRule type="duplicateValues" dxfId="1" priority="277"/>
    <cfRule type="duplicateValues" dxfId="0" priority="276"/>
  </conditionalFormatting>
  <pageMargins left="0.25" right="0.25" top="0.75" bottom="0.75" header="0.3" footer="0.3"/>
  <pageSetup paperSize="9" scale="3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K11" sqref="H11:K13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H309"/>
  <sheetViews>
    <sheetView rightToLeft="1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+'فرع الرواد'!A4</f>
        <v>0</v>
      </c>
      <c r="B4" s="44">
        <f>+'فرع الرواد'!B4</f>
        <v>0</v>
      </c>
      <c r="C4" s="45">
        <f>+'فرع الرواد'!C4</f>
        <v>0</v>
      </c>
      <c r="D4" s="45">
        <f>+'فرع الرواد'!D4</f>
        <v>0</v>
      </c>
      <c r="E4" s="45">
        <f>+'فرع الرواد'!E4</f>
        <v>0</v>
      </c>
      <c r="F4" s="46">
        <f>'فرع الرواد'!F4</f>
        <v>0</v>
      </c>
      <c r="G4" s="46">
        <f>'فرع الرواد'!G4</f>
        <v>0</v>
      </c>
      <c r="H4" s="46">
        <f>'فرع الرواد'!H4</f>
        <v>0</v>
      </c>
      <c r="I4" s="46">
        <f>'فرع الرواد'!I4</f>
        <v>0</v>
      </c>
      <c r="J4" s="46">
        <f>'فرع الرواد'!J4</f>
        <v>0</v>
      </c>
      <c r="K4" s="46">
        <f>'فرع الرواد'!K4</f>
        <v>0</v>
      </c>
      <c r="L4" s="46">
        <f>'فرع الرواد'!L4</f>
        <v>0</v>
      </c>
      <c r="M4" s="46">
        <f>'فرع الرواد'!M4</f>
        <v>0</v>
      </c>
      <c r="N4" s="46">
        <f>'فرع الرواد'!N4</f>
        <v>0</v>
      </c>
      <c r="O4" s="46">
        <f>'فرع الرواد'!O4</f>
        <v>0</v>
      </c>
      <c r="P4" s="46">
        <f>'فرع الرواد'!P4</f>
        <v>0</v>
      </c>
      <c r="Q4" s="46">
        <f>'فرع الرواد'!Q4</f>
        <v>0</v>
      </c>
      <c r="R4" s="47">
        <f>'فرع الرواد'!R4</f>
        <v>0</v>
      </c>
      <c r="S4" s="47">
        <f>'فرع الرواد'!S4</f>
        <v>0</v>
      </c>
      <c r="T4" s="46">
        <f>'فرع الرواد'!T4</f>
        <v>0</v>
      </c>
      <c r="U4" s="46">
        <f>'فرع الرواد'!U4</f>
        <v>0</v>
      </c>
      <c r="V4" s="46">
        <f>'فرع الرواد'!V4</f>
        <v>0</v>
      </c>
      <c r="W4" s="46">
        <f>'فرع الرواد'!W4</f>
        <v>0</v>
      </c>
      <c r="X4" s="46">
        <f>'فرع الرواد'!X4</f>
        <v>0</v>
      </c>
      <c r="Y4" s="46">
        <f>'فرع الرواد'!Y4</f>
        <v>0</v>
      </c>
      <c r="Z4" s="46">
        <f>'فرع الرواد'!Z4</f>
        <v>0</v>
      </c>
      <c r="AA4" s="46">
        <f>'فرع الرواد'!AA4</f>
        <v>0</v>
      </c>
      <c r="AB4" s="46">
        <f>'فرع الرواد'!AB4</f>
        <v>0</v>
      </c>
      <c r="AC4" s="46">
        <f>'فرع الرواد'!AC4</f>
        <v>0</v>
      </c>
      <c r="AD4" s="46">
        <f>'فرع الرواد'!AD4</f>
        <v>0</v>
      </c>
      <c r="AE4" s="46">
        <f>'فرع الرواد'!AE4</f>
        <v>0</v>
      </c>
      <c r="AF4" s="46">
        <f>'فرع الرواد'!AF4</f>
        <v>0</v>
      </c>
      <c r="AG4" s="46">
        <f>'فرع الرواد'!AG4</f>
        <v>0</v>
      </c>
      <c r="AH4" s="46">
        <f>'فرع الرواد'!AH4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+'فرع الرواد'!A5</f>
        <v>0</v>
      </c>
      <c r="B8" s="44">
        <f>+'فرع الرواد'!B5</f>
        <v>0</v>
      </c>
      <c r="C8" s="45">
        <f>+'فرع الرواد'!C5</f>
        <v>0</v>
      </c>
      <c r="D8" s="45">
        <f>+'فرع الرواد'!D5</f>
        <v>0</v>
      </c>
      <c r="E8" s="45">
        <f>+'فرع الرواد'!E5</f>
        <v>0</v>
      </c>
      <c r="F8" s="46">
        <f>+'فرع الرواد'!F5</f>
        <v>0</v>
      </c>
      <c r="G8" s="46">
        <f>+'فرع الرواد'!G5</f>
        <v>0</v>
      </c>
      <c r="H8" s="46">
        <f>+'فرع الرواد'!H5</f>
        <v>0</v>
      </c>
      <c r="I8" s="46">
        <f>+'فرع الرواد'!I5</f>
        <v>0</v>
      </c>
      <c r="J8" s="46">
        <f>+'فرع الرواد'!J5</f>
        <v>0</v>
      </c>
      <c r="K8" s="46">
        <f>+'فرع الرواد'!K5</f>
        <v>0</v>
      </c>
      <c r="L8" s="46">
        <f>+'فرع الرواد'!L5</f>
        <v>0</v>
      </c>
      <c r="M8" s="46">
        <f>+'فرع الرواد'!M5</f>
        <v>0</v>
      </c>
      <c r="N8" s="46">
        <f>+'فرع الرواد'!N5</f>
        <v>0</v>
      </c>
      <c r="O8" s="46">
        <f>+'فرع الرواد'!O5</f>
        <v>0</v>
      </c>
      <c r="P8" s="46">
        <f>+'فرع الرواد'!P5</f>
        <v>0</v>
      </c>
      <c r="Q8" s="46">
        <f>+'فرع الرواد'!Q5</f>
        <v>0</v>
      </c>
      <c r="R8" s="47">
        <f>+'فرع الرواد'!R5</f>
        <v>0</v>
      </c>
      <c r="S8" s="47">
        <f>+'فرع الرواد'!S5</f>
        <v>0</v>
      </c>
      <c r="T8" s="46">
        <f>+'فرع الرواد'!T5</f>
        <v>0</v>
      </c>
      <c r="U8" s="46">
        <f>+'فرع الرواد'!U5</f>
        <v>0</v>
      </c>
      <c r="V8" s="46">
        <f>+'فرع الرواد'!V5</f>
        <v>0</v>
      </c>
      <c r="W8" s="46">
        <f>+'فرع الرواد'!W5</f>
        <v>0</v>
      </c>
      <c r="X8" s="46">
        <f>+'فرع الرواد'!X5</f>
        <v>0</v>
      </c>
      <c r="Y8" s="46">
        <f>+'فرع الرواد'!Y5</f>
        <v>0</v>
      </c>
      <c r="Z8" s="46">
        <f>+'فرع الرواد'!Z5</f>
        <v>0</v>
      </c>
      <c r="AA8" s="46">
        <f>+'فرع الرواد'!AA5</f>
        <v>0</v>
      </c>
      <c r="AB8" s="46">
        <f>+'فرع الرواد'!AB5</f>
        <v>0</v>
      </c>
      <c r="AC8" s="46">
        <f>+'فرع الرواد'!AC5</f>
        <v>0</v>
      </c>
      <c r="AD8" s="46">
        <f>+'فرع الرواد'!AD5</f>
        <v>0</v>
      </c>
      <c r="AE8" s="46">
        <f>+'فرع الرواد'!AE5</f>
        <v>0</v>
      </c>
      <c r="AF8" s="46">
        <f>+'فرع الرواد'!AF5</f>
        <v>0</v>
      </c>
      <c r="AG8" s="46">
        <f>+'فرع الرواد'!AG5</f>
        <v>0</v>
      </c>
      <c r="AH8" s="46">
        <f>+'فرع الرواد'!AH5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+'فرع الرواد'!A6</f>
        <v>0</v>
      </c>
      <c r="B12" s="44">
        <f>+'فرع الرواد'!B6</f>
        <v>0</v>
      </c>
      <c r="C12" s="45">
        <f>+'فرع الرواد'!C6</f>
        <v>0</v>
      </c>
      <c r="D12" s="45">
        <f>+'فرع الرواد'!D6</f>
        <v>0</v>
      </c>
      <c r="E12" s="45">
        <f>+'فرع الرواد'!E6</f>
        <v>0</v>
      </c>
      <c r="F12" s="46">
        <f>+'فرع الرواد'!F6</f>
        <v>0</v>
      </c>
      <c r="G12" s="46">
        <f>+'فرع الرواد'!G6</f>
        <v>0</v>
      </c>
      <c r="H12" s="46">
        <f>+'فرع الرواد'!H6</f>
        <v>0</v>
      </c>
      <c r="I12" s="46">
        <f>+'فرع الرواد'!I6</f>
        <v>0</v>
      </c>
      <c r="J12" s="46">
        <f>+'فرع الرواد'!J6</f>
        <v>0</v>
      </c>
      <c r="K12" s="46">
        <f>+'فرع الرواد'!K6</f>
        <v>0</v>
      </c>
      <c r="L12" s="46">
        <f>+'فرع الرواد'!L6</f>
        <v>0</v>
      </c>
      <c r="M12" s="46">
        <f>+'فرع الرواد'!M6</f>
        <v>0</v>
      </c>
      <c r="N12" s="46">
        <f>+'فرع الرواد'!N6</f>
        <v>0</v>
      </c>
      <c r="O12" s="46">
        <f>+'فرع الرواد'!O6</f>
        <v>0</v>
      </c>
      <c r="P12" s="46">
        <f>+'فرع الرواد'!P6</f>
        <v>0</v>
      </c>
      <c r="Q12" s="46">
        <f>+'فرع الرواد'!Q6</f>
        <v>0</v>
      </c>
      <c r="R12" s="47">
        <f>+'فرع الرواد'!R6</f>
        <v>0</v>
      </c>
      <c r="S12" s="47">
        <f>+'فرع الرواد'!S6</f>
        <v>0</v>
      </c>
      <c r="T12" s="46">
        <f>+'فرع الرواد'!T6</f>
        <v>0</v>
      </c>
      <c r="U12" s="46">
        <f>+'فرع الرواد'!U6</f>
        <v>0</v>
      </c>
      <c r="V12" s="46">
        <f>+'فرع الرواد'!V6</f>
        <v>0</v>
      </c>
      <c r="W12" s="46">
        <f>+'فرع الرواد'!W6</f>
        <v>0</v>
      </c>
      <c r="X12" s="46">
        <f>+'فرع الرواد'!X6</f>
        <v>0</v>
      </c>
      <c r="Y12" s="46">
        <f>+'فرع الرواد'!Y6</f>
        <v>0</v>
      </c>
      <c r="Z12" s="46">
        <f>+'فرع الرواد'!Z6</f>
        <v>0</v>
      </c>
      <c r="AA12" s="46">
        <f>+'فرع الرواد'!AA6</f>
        <v>0</v>
      </c>
      <c r="AB12" s="46">
        <f>+'فرع الرواد'!AB6</f>
        <v>0</v>
      </c>
      <c r="AC12" s="46">
        <f>+'فرع الرواد'!AC6</f>
        <v>0</v>
      </c>
      <c r="AD12" s="46">
        <f>+'فرع الرواد'!AD6</f>
        <v>0</v>
      </c>
      <c r="AE12" s="46">
        <f>+'فرع الرواد'!AE6</f>
        <v>0</v>
      </c>
      <c r="AF12" s="46">
        <f>+'فرع الرواد'!AF6</f>
        <v>0</v>
      </c>
      <c r="AG12" s="46">
        <f>+'فرع الرواد'!AG6</f>
        <v>0</v>
      </c>
      <c r="AH12" s="46">
        <f>+'فرع الرواد'!AH6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+'فرع الرواد'!A7</f>
        <v>0</v>
      </c>
      <c r="B16" s="44">
        <f>+'فرع الرواد'!B7</f>
        <v>0</v>
      </c>
      <c r="C16" s="45">
        <f>+'فرع الرواد'!C7</f>
        <v>0</v>
      </c>
      <c r="D16" s="45">
        <f>+'فرع الرواد'!D7</f>
        <v>0</v>
      </c>
      <c r="E16" s="45">
        <f>+'فرع الرواد'!E7</f>
        <v>0</v>
      </c>
      <c r="F16" s="46">
        <f>+'فرع الرواد'!F7</f>
        <v>0</v>
      </c>
      <c r="G16" s="46">
        <f>+'فرع الرواد'!G7</f>
        <v>0</v>
      </c>
      <c r="H16" s="46">
        <f>+'فرع الرواد'!H7</f>
        <v>0</v>
      </c>
      <c r="I16" s="46">
        <f>+'فرع الرواد'!I7</f>
        <v>0</v>
      </c>
      <c r="J16" s="46">
        <f>+'فرع الرواد'!J7</f>
        <v>0</v>
      </c>
      <c r="K16" s="46">
        <f>+'فرع الرواد'!K7</f>
        <v>0</v>
      </c>
      <c r="L16" s="46">
        <f>+'فرع الرواد'!L7</f>
        <v>0</v>
      </c>
      <c r="M16" s="46">
        <f>+'فرع الرواد'!M7</f>
        <v>0</v>
      </c>
      <c r="N16" s="46">
        <f>+'فرع الرواد'!N7</f>
        <v>0</v>
      </c>
      <c r="O16" s="46">
        <f>+'فرع الرواد'!O7</f>
        <v>0</v>
      </c>
      <c r="P16" s="46">
        <f>+'فرع الرواد'!P7</f>
        <v>0</v>
      </c>
      <c r="Q16" s="46">
        <f>+'فرع الرواد'!Q7</f>
        <v>0</v>
      </c>
      <c r="R16" s="47">
        <f>+'فرع الرواد'!R7</f>
        <v>0</v>
      </c>
      <c r="S16" s="47">
        <f>+'فرع الرواد'!S7</f>
        <v>0</v>
      </c>
      <c r="T16" s="46">
        <f>+'فرع الرواد'!T7</f>
        <v>0</v>
      </c>
      <c r="U16" s="46">
        <f>+'فرع الرواد'!U7</f>
        <v>0</v>
      </c>
      <c r="V16" s="46">
        <f>+'فرع الرواد'!V7</f>
        <v>0</v>
      </c>
      <c r="W16" s="46">
        <f>+'فرع الرواد'!W7</f>
        <v>0</v>
      </c>
      <c r="X16" s="46">
        <f>+'فرع الرواد'!X7</f>
        <v>0</v>
      </c>
      <c r="Y16" s="46">
        <f>+'فرع الرواد'!Y7</f>
        <v>0</v>
      </c>
      <c r="Z16" s="46">
        <f>+'فرع الرواد'!Z7</f>
        <v>0</v>
      </c>
      <c r="AA16" s="46">
        <f>+'فرع الرواد'!AA7</f>
        <v>0</v>
      </c>
      <c r="AB16" s="46">
        <f>+'فرع الرواد'!AB7</f>
        <v>0</v>
      </c>
      <c r="AC16" s="46">
        <f>+'فرع الرواد'!AC7</f>
        <v>0</v>
      </c>
      <c r="AD16" s="46">
        <f>+'فرع الرواد'!AD7</f>
        <v>0</v>
      </c>
      <c r="AE16" s="46">
        <f>+'فرع الرواد'!AE7</f>
        <v>0</v>
      </c>
      <c r="AF16" s="46">
        <f>+'فرع الرواد'!AF7</f>
        <v>0</v>
      </c>
      <c r="AG16" s="46">
        <f>+'فرع الرواد'!AG7</f>
        <v>0</v>
      </c>
      <c r="AH16" s="46">
        <f>+'فرع الرواد'!AH7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+'فرع الرواد'!A8</f>
        <v>0</v>
      </c>
      <c r="B20" s="44">
        <f>+'فرع الرواد'!B8</f>
        <v>0</v>
      </c>
      <c r="C20" s="45">
        <f>+'فرع الرواد'!C8</f>
        <v>0</v>
      </c>
      <c r="D20" s="45">
        <f>+'فرع الرواد'!D8</f>
        <v>0</v>
      </c>
      <c r="E20" s="45">
        <f>+'فرع الرواد'!E8</f>
        <v>0</v>
      </c>
      <c r="F20" s="46">
        <f>+'فرع الرواد'!F8</f>
        <v>0</v>
      </c>
      <c r="G20" s="46">
        <f>+'فرع الرواد'!G8</f>
        <v>0</v>
      </c>
      <c r="H20" s="46">
        <f>+'فرع الرواد'!H8</f>
        <v>0</v>
      </c>
      <c r="I20" s="46">
        <f>+'فرع الرواد'!I8</f>
        <v>0</v>
      </c>
      <c r="J20" s="46">
        <f>+'فرع الرواد'!J8</f>
        <v>0</v>
      </c>
      <c r="K20" s="46">
        <f>+'فرع الرواد'!K8</f>
        <v>0</v>
      </c>
      <c r="L20" s="46">
        <f>+'فرع الرواد'!L8</f>
        <v>0</v>
      </c>
      <c r="M20" s="46">
        <f>+'فرع الرواد'!M8</f>
        <v>0</v>
      </c>
      <c r="N20" s="46">
        <f>+'فرع الرواد'!N8</f>
        <v>0</v>
      </c>
      <c r="O20" s="46">
        <f>+'فرع الرواد'!O8</f>
        <v>0</v>
      </c>
      <c r="P20" s="46">
        <f>+'فرع الرواد'!P8</f>
        <v>0</v>
      </c>
      <c r="Q20" s="46">
        <f>+'فرع الرواد'!Q8</f>
        <v>0</v>
      </c>
      <c r="R20" s="47">
        <f>+'فرع الرواد'!R8</f>
        <v>0</v>
      </c>
      <c r="S20" s="47">
        <f>+'فرع الرواد'!S8</f>
        <v>0</v>
      </c>
      <c r="T20" s="46">
        <f>+'فرع الرواد'!T8</f>
        <v>0</v>
      </c>
      <c r="U20" s="46">
        <f>+'فرع الرواد'!U8</f>
        <v>0</v>
      </c>
      <c r="V20" s="46">
        <f>+'فرع الرواد'!V8</f>
        <v>0</v>
      </c>
      <c r="W20" s="46">
        <f>+'فرع الرواد'!W8</f>
        <v>0</v>
      </c>
      <c r="X20" s="46">
        <f>+'فرع الرواد'!X8</f>
        <v>0</v>
      </c>
      <c r="Y20" s="46">
        <f>+'فرع الرواد'!Y8</f>
        <v>0</v>
      </c>
      <c r="Z20" s="46">
        <f>+'فرع الرواد'!Z8</f>
        <v>0</v>
      </c>
      <c r="AA20" s="46">
        <f>+'فرع الرواد'!AA8</f>
        <v>0</v>
      </c>
      <c r="AB20" s="46">
        <f>+'فرع الرواد'!AB8</f>
        <v>0</v>
      </c>
      <c r="AC20" s="46">
        <f>+'فرع الرواد'!AC8</f>
        <v>0</v>
      </c>
      <c r="AD20" s="46">
        <f>+'فرع الرواد'!AD8</f>
        <v>0</v>
      </c>
      <c r="AE20" s="46">
        <f>+'فرع الرواد'!AE8</f>
        <v>0</v>
      </c>
      <c r="AF20" s="46">
        <f>+'فرع الرواد'!AF8</f>
        <v>0</v>
      </c>
      <c r="AG20" s="46">
        <f>+'فرع الرواد'!AG8</f>
        <v>0</v>
      </c>
      <c r="AH20" s="46">
        <f>+'فرع الرواد'!AH8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+'فرع الرواد'!A9</f>
        <v>0</v>
      </c>
      <c r="B24" s="44">
        <f>+'فرع الرواد'!B9</f>
        <v>0</v>
      </c>
      <c r="C24" s="45">
        <f>+'فرع الرواد'!C9</f>
        <v>0</v>
      </c>
      <c r="D24" s="45">
        <f>+'فرع الرواد'!D9</f>
        <v>0</v>
      </c>
      <c r="E24" s="45">
        <f>+'فرع الرواد'!E9</f>
        <v>0</v>
      </c>
      <c r="F24" s="46">
        <f>+'فرع الرواد'!F9</f>
        <v>0</v>
      </c>
      <c r="G24" s="46">
        <f>+'فرع الرواد'!G9</f>
        <v>0</v>
      </c>
      <c r="H24" s="46">
        <f>+'فرع الرواد'!H9</f>
        <v>0</v>
      </c>
      <c r="I24" s="46">
        <f>+'فرع الرواد'!I9</f>
        <v>0</v>
      </c>
      <c r="J24" s="46">
        <f>+'فرع الرواد'!J9</f>
        <v>0</v>
      </c>
      <c r="K24" s="46">
        <f>+'فرع الرواد'!K9</f>
        <v>0</v>
      </c>
      <c r="L24" s="46">
        <f>+'فرع الرواد'!L9</f>
        <v>0</v>
      </c>
      <c r="M24" s="46">
        <f>+'فرع الرواد'!M9</f>
        <v>0</v>
      </c>
      <c r="N24" s="46">
        <f>+'فرع الرواد'!N9</f>
        <v>0</v>
      </c>
      <c r="O24" s="46">
        <f>+'فرع الرواد'!O9</f>
        <v>0</v>
      </c>
      <c r="P24" s="46">
        <f>+'فرع الرواد'!P9</f>
        <v>0</v>
      </c>
      <c r="Q24" s="46">
        <f>+'فرع الرواد'!Q9</f>
        <v>0</v>
      </c>
      <c r="R24" s="47">
        <f>+'فرع الرواد'!R9</f>
        <v>0</v>
      </c>
      <c r="S24" s="47">
        <f>+'فرع الرواد'!S9</f>
        <v>0</v>
      </c>
      <c r="T24" s="46">
        <f>+'فرع الرواد'!T9</f>
        <v>0</v>
      </c>
      <c r="U24" s="46">
        <f>+'فرع الرواد'!U9</f>
        <v>0</v>
      </c>
      <c r="V24" s="46">
        <f>+'فرع الرواد'!V9</f>
        <v>0</v>
      </c>
      <c r="W24" s="46">
        <f>+'فرع الرواد'!W9</f>
        <v>0</v>
      </c>
      <c r="X24" s="46">
        <f>+'فرع الرواد'!X9</f>
        <v>0</v>
      </c>
      <c r="Y24" s="46">
        <f>+'فرع الرواد'!Y9</f>
        <v>0</v>
      </c>
      <c r="Z24" s="46">
        <f>+'فرع الرواد'!Z9</f>
        <v>0</v>
      </c>
      <c r="AA24" s="46">
        <f>+'فرع الرواد'!AA9</f>
        <v>0</v>
      </c>
      <c r="AB24" s="46">
        <f>+'فرع الرواد'!AB9</f>
        <v>0</v>
      </c>
      <c r="AC24" s="46">
        <f>+'فرع الرواد'!AC9</f>
        <v>0</v>
      </c>
      <c r="AD24" s="46">
        <f>+'فرع الرواد'!AD9</f>
        <v>0</v>
      </c>
      <c r="AE24" s="46">
        <f>+'فرع الرواد'!AE9</f>
        <v>0</v>
      </c>
      <c r="AF24" s="46">
        <f>+'فرع الرواد'!AF9</f>
        <v>0</v>
      </c>
      <c r="AG24" s="46">
        <f>+'فرع الرواد'!AG9</f>
        <v>0</v>
      </c>
      <c r="AH24" s="46">
        <f>+'فرع الرواد'!AH9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+'فرع الرواد'!A10</f>
        <v>0</v>
      </c>
      <c r="B28" s="44">
        <f>+'فرع الرواد'!B10</f>
        <v>0</v>
      </c>
      <c r="C28" s="45">
        <f>+'فرع الرواد'!C10</f>
        <v>0</v>
      </c>
      <c r="D28" s="45">
        <f>+'فرع الرواد'!D10</f>
        <v>0</v>
      </c>
      <c r="E28" s="45">
        <f>+'فرع الرواد'!E10</f>
        <v>0</v>
      </c>
      <c r="F28" s="46">
        <f>+'فرع الرواد'!F10</f>
        <v>0</v>
      </c>
      <c r="G28" s="46">
        <f>+'فرع الرواد'!G10</f>
        <v>0</v>
      </c>
      <c r="H28" s="46">
        <f>+'فرع الرواد'!H10</f>
        <v>0</v>
      </c>
      <c r="I28" s="46">
        <f>+'فرع الرواد'!I10</f>
        <v>0</v>
      </c>
      <c r="J28" s="46">
        <f>+'فرع الرواد'!J10</f>
        <v>0</v>
      </c>
      <c r="K28" s="46">
        <f>+'فرع الرواد'!K10</f>
        <v>0</v>
      </c>
      <c r="L28" s="46">
        <f>+'فرع الرواد'!L10</f>
        <v>0</v>
      </c>
      <c r="M28" s="46">
        <f>+'فرع الرواد'!M10</f>
        <v>0</v>
      </c>
      <c r="N28" s="46">
        <f>+'فرع الرواد'!N10</f>
        <v>0</v>
      </c>
      <c r="O28" s="46">
        <f>+'فرع الرواد'!O10</f>
        <v>0</v>
      </c>
      <c r="P28" s="46">
        <f>+'فرع الرواد'!P10</f>
        <v>0</v>
      </c>
      <c r="Q28" s="46">
        <f>+'فرع الرواد'!Q10</f>
        <v>0</v>
      </c>
      <c r="R28" s="47">
        <f>+'فرع الرواد'!R10</f>
        <v>0</v>
      </c>
      <c r="S28" s="47">
        <f>+'فرع الرواد'!S10</f>
        <v>0</v>
      </c>
      <c r="T28" s="46">
        <f>+'فرع الرواد'!T10</f>
        <v>0</v>
      </c>
      <c r="U28" s="46">
        <f>+'فرع الرواد'!U10</f>
        <v>0</v>
      </c>
      <c r="V28" s="46">
        <f>+'فرع الرواد'!V10</f>
        <v>0</v>
      </c>
      <c r="W28" s="46">
        <f>+'فرع الرواد'!W10</f>
        <v>0</v>
      </c>
      <c r="X28" s="46">
        <f>+'فرع الرواد'!X10</f>
        <v>0</v>
      </c>
      <c r="Y28" s="46">
        <f>+'فرع الرواد'!Y10</f>
        <v>0</v>
      </c>
      <c r="Z28" s="46">
        <f>+'فرع الرواد'!Z10</f>
        <v>0</v>
      </c>
      <c r="AA28" s="46">
        <f>+'فرع الرواد'!AA10</f>
        <v>0</v>
      </c>
      <c r="AB28" s="46">
        <f>+'فرع الرواد'!AB10</f>
        <v>0</v>
      </c>
      <c r="AC28" s="46">
        <f>+'فرع الرواد'!AC10</f>
        <v>0</v>
      </c>
      <c r="AD28" s="46">
        <f>+'فرع الرواد'!AD10</f>
        <v>0</v>
      </c>
      <c r="AE28" s="46">
        <f>+'فرع الرواد'!AE10</f>
        <v>0</v>
      </c>
      <c r="AF28" s="46">
        <f>+'فرع الرواد'!AF10</f>
        <v>0</v>
      </c>
      <c r="AG28" s="46">
        <f>+'فرع الرواد'!AG10</f>
        <v>0</v>
      </c>
      <c r="AH28" s="46">
        <f>+'فرع الرواد'!AH10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+'فرع الرواد'!A11</f>
        <v>0</v>
      </c>
      <c r="B32" s="44">
        <f>+'فرع الرواد'!B11</f>
        <v>0</v>
      </c>
      <c r="C32" s="45">
        <f>+'فرع الرواد'!C11</f>
        <v>0</v>
      </c>
      <c r="D32" s="45">
        <f>+'فرع الرواد'!D11</f>
        <v>0</v>
      </c>
      <c r="E32" s="45">
        <f>+'فرع الرواد'!E11</f>
        <v>0</v>
      </c>
      <c r="F32" s="46">
        <f>+'فرع الرواد'!F11</f>
        <v>0</v>
      </c>
      <c r="G32" s="46">
        <f>+'فرع الرواد'!G11</f>
        <v>0</v>
      </c>
      <c r="H32" s="46">
        <f>+'فرع الرواد'!H11</f>
        <v>0</v>
      </c>
      <c r="I32" s="46">
        <f>+'فرع الرواد'!I11</f>
        <v>0</v>
      </c>
      <c r="J32" s="46">
        <f>+'فرع الرواد'!J11</f>
        <v>0</v>
      </c>
      <c r="K32" s="46">
        <f>+'فرع الرواد'!K11</f>
        <v>0</v>
      </c>
      <c r="L32" s="46">
        <f>+'فرع الرواد'!L11</f>
        <v>0</v>
      </c>
      <c r="M32" s="46">
        <f>+'فرع الرواد'!M11</f>
        <v>0</v>
      </c>
      <c r="N32" s="46">
        <f>+'فرع الرواد'!N11</f>
        <v>0</v>
      </c>
      <c r="O32" s="46">
        <f>+'فرع الرواد'!O11</f>
        <v>0</v>
      </c>
      <c r="P32" s="46">
        <f>+'فرع الرواد'!P11</f>
        <v>0</v>
      </c>
      <c r="Q32" s="46">
        <f>+'فرع الرواد'!Q11</f>
        <v>0</v>
      </c>
      <c r="R32" s="47">
        <f>+'فرع الرواد'!R11</f>
        <v>0</v>
      </c>
      <c r="S32" s="47">
        <f>+'فرع الرواد'!S11</f>
        <v>0</v>
      </c>
      <c r="T32" s="46">
        <f>+'فرع الرواد'!T11</f>
        <v>0</v>
      </c>
      <c r="U32" s="46">
        <f>+'فرع الرواد'!U11</f>
        <v>0</v>
      </c>
      <c r="V32" s="46">
        <f>+'فرع الرواد'!V11</f>
        <v>0</v>
      </c>
      <c r="W32" s="46">
        <f>+'فرع الرواد'!W11</f>
        <v>0</v>
      </c>
      <c r="X32" s="46">
        <f>+'فرع الرواد'!X11</f>
        <v>0</v>
      </c>
      <c r="Y32" s="46">
        <f>+'فرع الرواد'!Y11</f>
        <v>0</v>
      </c>
      <c r="Z32" s="46">
        <f>+'فرع الرواد'!Z11</f>
        <v>0</v>
      </c>
      <c r="AA32" s="46">
        <f>+'فرع الرواد'!AA11</f>
        <v>0</v>
      </c>
      <c r="AB32" s="46">
        <f>+'فرع الرواد'!AB11</f>
        <v>0</v>
      </c>
      <c r="AC32" s="46">
        <f>+'فرع الرواد'!AC11</f>
        <v>0</v>
      </c>
      <c r="AD32" s="46">
        <f>+'فرع الرواد'!AD11</f>
        <v>0</v>
      </c>
      <c r="AE32" s="46">
        <f>+'فرع الرواد'!AE11</f>
        <v>0</v>
      </c>
      <c r="AF32" s="46">
        <f>+'فرع الرواد'!AF11</f>
        <v>0</v>
      </c>
      <c r="AG32" s="46">
        <f>+'فرع الرواد'!AG11</f>
        <v>0</v>
      </c>
      <c r="AH32" s="46">
        <f>+'فرع الرواد'!AH11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+'فرع الرواد'!A12</f>
        <v>0</v>
      </c>
      <c r="B36" s="44">
        <f>+'فرع الرواد'!B12</f>
        <v>0</v>
      </c>
      <c r="C36" s="45">
        <f>+'فرع الرواد'!C12</f>
        <v>0</v>
      </c>
      <c r="D36" s="45">
        <f>+'فرع الرواد'!D12</f>
        <v>0</v>
      </c>
      <c r="E36" s="45">
        <f>+'فرع الرواد'!E12</f>
        <v>0</v>
      </c>
      <c r="F36" s="46">
        <f>+'فرع الرواد'!F12</f>
        <v>0</v>
      </c>
      <c r="G36" s="46">
        <f>+'فرع الرواد'!G12</f>
        <v>0</v>
      </c>
      <c r="H36" s="46">
        <f>+'فرع الرواد'!H12</f>
        <v>0</v>
      </c>
      <c r="I36" s="46">
        <f>+'فرع الرواد'!I12</f>
        <v>0</v>
      </c>
      <c r="J36" s="46">
        <f>+'فرع الرواد'!J12</f>
        <v>0</v>
      </c>
      <c r="K36" s="46">
        <f>+'فرع الرواد'!K12</f>
        <v>0</v>
      </c>
      <c r="L36" s="46">
        <f>+'فرع الرواد'!L12</f>
        <v>0</v>
      </c>
      <c r="M36" s="46">
        <f>+'فرع الرواد'!M12</f>
        <v>0</v>
      </c>
      <c r="N36" s="46">
        <f>+'فرع الرواد'!N12</f>
        <v>0</v>
      </c>
      <c r="O36" s="46">
        <f>+'فرع الرواد'!O12</f>
        <v>0</v>
      </c>
      <c r="P36" s="46">
        <f>+'فرع الرواد'!P12</f>
        <v>0</v>
      </c>
      <c r="Q36" s="46">
        <f>+'فرع الرواد'!Q12</f>
        <v>0</v>
      </c>
      <c r="R36" s="47">
        <f>+'فرع الرواد'!R12</f>
        <v>0</v>
      </c>
      <c r="S36" s="47">
        <f>+'فرع الرواد'!S12</f>
        <v>0</v>
      </c>
      <c r="T36" s="46">
        <f>+'فرع الرواد'!T12</f>
        <v>0</v>
      </c>
      <c r="U36" s="46">
        <f>+'فرع الرواد'!U12</f>
        <v>0</v>
      </c>
      <c r="V36" s="46">
        <f>+'فرع الرواد'!V12</f>
        <v>0</v>
      </c>
      <c r="W36" s="46">
        <f>+'فرع الرواد'!W12</f>
        <v>0</v>
      </c>
      <c r="X36" s="46">
        <f>+'فرع الرواد'!X12</f>
        <v>0</v>
      </c>
      <c r="Y36" s="46">
        <f>+'فرع الرواد'!Y12</f>
        <v>0</v>
      </c>
      <c r="Z36" s="46">
        <f>+'فرع الرواد'!Z12</f>
        <v>0</v>
      </c>
      <c r="AA36" s="46">
        <f>+'فرع الرواد'!AA12</f>
        <v>0</v>
      </c>
      <c r="AB36" s="46">
        <f>+'فرع الرواد'!AB12</f>
        <v>0</v>
      </c>
      <c r="AC36" s="46">
        <f>+'فرع الرواد'!AC12</f>
        <v>0</v>
      </c>
      <c r="AD36" s="46">
        <f>+'فرع الرواد'!AD12</f>
        <v>0</v>
      </c>
      <c r="AE36" s="46">
        <f>+'فرع الرواد'!AE12</f>
        <v>0</v>
      </c>
      <c r="AF36" s="46">
        <f>+'فرع الرواد'!AF12</f>
        <v>0</v>
      </c>
      <c r="AG36" s="46">
        <f>+'فرع الرواد'!AG12</f>
        <v>0</v>
      </c>
      <c r="AH36" s="46">
        <f>+'فرع الرواد'!AH12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+'فرع الرواد'!A13</f>
        <v>0</v>
      </c>
      <c r="B40" s="44">
        <f>+'فرع الرواد'!B13</f>
        <v>0</v>
      </c>
      <c r="C40" s="45">
        <f>+'فرع الرواد'!C13</f>
        <v>0</v>
      </c>
      <c r="D40" s="45">
        <f>+'فرع الرواد'!D13</f>
        <v>0</v>
      </c>
      <c r="E40" s="45">
        <f>+'فرع الرواد'!E13</f>
        <v>0</v>
      </c>
      <c r="F40" s="46">
        <f>+'فرع الرواد'!F13</f>
        <v>0</v>
      </c>
      <c r="G40" s="46">
        <f>+'فرع الرواد'!G13</f>
        <v>0</v>
      </c>
      <c r="H40" s="46">
        <f>+'فرع الرواد'!H13</f>
        <v>0</v>
      </c>
      <c r="I40" s="46">
        <f>+'فرع الرواد'!I13</f>
        <v>0</v>
      </c>
      <c r="J40" s="46">
        <f>+'فرع الرواد'!J13</f>
        <v>0</v>
      </c>
      <c r="K40" s="46">
        <f>+'فرع الرواد'!K13</f>
        <v>0</v>
      </c>
      <c r="L40" s="46">
        <f>+'فرع الرواد'!L13</f>
        <v>0</v>
      </c>
      <c r="M40" s="46">
        <f>+'فرع الرواد'!M13</f>
        <v>0</v>
      </c>
      <c r="N40" s="46">
        <f>+'فرع الرواد'!N13</f>
        <v>0</v>
      </c>
      <c r="O40" s="46">
        <f>+'فرع الرواد'!O13</f>
        <v>0</v>
      </c>
      <c r="P40" s="46">
        <f>+'فرع الرواد'!P13</f>
        <v>0</v>
      </c>
      <c r="Q40" s="46">
        <f>+'فرع الرواد'!Q13</f>
        <v>0</v>
      </c>
      <c r="R40" s="47">
        <f>+'فرع الرواد'!R13</f>
        <v>0</v>
      </c>
      <c r="S40" s="47">
        <f>+'فرع الرواد'!S13</f>
        <v>0</v>
      </c>
      <c r="T40" s="46">
        <f>+'فرع الرواد'!T13</f>
        <v>0</v>
      </c>
      <c r="U40" s="46">
        <f>+'فرع الرواد'!U13</f>
        <v>0</v>
      </c>
      <c r="V40" s="46">
        <f>+'فرع الرواد'!V13</f>
        <v>0</v>
      </c>
      <c r="W40" s="46">
        <f>+'فرع الرواد'!W13</f>
        <v>0</v>
      </c>
      <c r="X40" s="46">
        <f>+'فرع الرواد'!X13</f>
        <v>0</v>
      </c>
      <c r="Y40" s="46">
        <f>+'فرع الرواد'!Y13</f>
        <v>0</v>
      </c>
      <c r="Z40" s="46">
        <f>+'فرع الرواد'!Z13</f>
        <v>0</v>
      </c>
      <c r="AA40" s="46">
        <f>+'فرع الرواد'!AA13</f>
        <v>0</v>
      </c>
      <c r="AB40" s="46">
        <f>+'فرع الرواد'!AB13</f>
        <v>0</v>
      </c>
      <c r="AC40" s="46">
        <f>+'فرع الرواد'!AC13</f>
        <v>0</v>
      </c>
      <c r="AD40" s="46">
        <f>+'فرع الرواد'!AD13</f>
        <v>0</v>
      </c>
      <c r="AE40" s="46">
        <f>+'فرع الرواد'!AE13</f>
        <v>0</v>
      </c>
      <c r="AF40" s="46">
        <f>+'فرع الرواد'!AF13</f>
        <v>0</v>
      </c>
      <c r="AG40" s="46">
        <f>+'فرع الرواد'!AG13</f>
        <v>0</v>
      </c>
      <c r="AH40" s="46">
        <f>+'فرع الرواد'!AH13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+'فرع الرواد'!A14</f>
        <v>0</v>
      </c>
      <c r="B44" s="44">
        <f>+'فرع الرواد'!B14</f>
        <v>0</v>
      </c>
      <c r="C44" s="45">
        <f>+'فرع الرواد'!C14</f>
        <v>0</v>
      </c>
      <c r="D44" s="45">
        <f>+'فرع الرواد'!D14</f>
        <v>0</v>
      </c>
      <c r="E44" s="45">
        <f>+'فرع الرواد'!E14</f>
        <v>0</v>
      </c>
      <c r="F44" s="46">
        <f>+'فرع الرواد'!F14</f>
        <v>0</v>
      </c>
      <c r="G44" s="46">
        <f>+'فرع الرواد'!G14</f>
        <v>0</v>
      </c>
      <c r="H44" s="46">
        <f>+'فرع الرواد'!H14</f>
        <v>0</v>
      </c>
      <c r="I44" s="46">
        <f>+'فرع الرواد'!I14</f>
        <v>0</v>
      </c>
      <c r="J44" s="46">
        <f>+'فرع الرواد'!J14</f>
        <v>0</v>
      </c>
      <c r="K44" s="46">
        <f>+'فرع الرواد'!K14</f>
        <v>0</v>
      </c>
      <c r="L44" s="46">
        <f>+'فرع الرواد'!L14</f>
        <v>0</v>
      </c>
      <c r="M44" s="46">
        <f>+'فرع الرواد'!M14</f>
        <v>0</v>
      </c>
      <c r="N44" s="46">
        <f>+'فرع الرواد'!N14</f>
        <v>0</v>
      </c>
      <c r="O44" s="46">
        <f>+'فرع الرواد'!O14</f>
        <v>0</v>
      </c>
      <c r="P44" s="46">
        <f>+'فرع الرواد'!P14</f>
        <v>0</v>
      </c>
      <c r="Q44" s="46">
        <f>+'فرع الرواد'!Q14</f>
        <v>0</v>
      </c>
      <c r="R44" s="47">
        <f>+'فرع الرواد'!R14</f>
        <v>0</v>
      </c>
      <c r="S44" s="47">
        <f>+'فرع الرواد'!S14</f>
        <v>0</v>
      </c>
      <c r="T44" s="46">
        <f>+'فرع الرواد'!T14</f>
        <v>0</v>
      </c>
      <c r="U44" s="46">
        <f>+'فرع الرواد'!U14</f>
        <v>0</v>
      </c>
      <c r="V44" s="46">
        <f>+'فرع الرواد'!V14</f>
        <v>0</v>
      </c>
      <c r="W44" s="46">
        <f>+'فرع الرواد'!W14</f>
        <v>0</v>
      </c>
      <c r="X44" s="46">
        <f>+'فرع الرواد'!X14</f>
        <v>0</v>
      </c>
      <c r="Y44" s="46">
        <f>+'فرع الرواد'!Y14</f>
        <v>0</v>
      </c>
      <c r="Z44" s="46">
        <f>+'فرع الرواد'!Z14</f>
        <v>0</v>
      </c>
      <c r="AA44" s="46">
        <f>+'فرع الرواد'!AA14</f>
        <v>0</v>
      </c>
      <c r="AB44" s="46">
        <f>+'فرع الرواد'!AB14</f>
        <v>0</v>
      </c>
      <c r="AC44" s="46">
        <f>+'فرع الرواد'!AC14</f>
        <v>0</v>
      </c>
      <c r="AD44" s="46">
        <f>+'فرع الرواد'!AD14</f>
        <v>0</v>
      </c>
      <c r="AE44" s="46">
        <f>+'فرع الرواد'!AE14</f>
        <v>0</v>
      </c>
      <c r="AF44" s="46">
        <f>+'فرع الرواد'!AF14</f>
        <v>0</v>
      </c>
      <c r="AG44" s="46">
        <f>+'فرع الرواد'!AG14</f>
        <v>0</v>
      </c>
      <c r="AH44" s="46">
        <f>+'فرع الرواد'!AH14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+'فرع الرواد'!A15</f>
        <v>0</v>
      </c>
      <c r="B48" s="44">
        <f>+'فرع الرواد'!B15</f>
        <v>0</v>
      </c>
      <c r="C48" s="45">
        <f>+'فرع الرواد'!C15</f>
        <v>0</v>
      </c>
      <c r="D48" s="45">
        <f>+'فرع الرواد'!D15</f>
        <v>0</v>
      </c>
      <c r="E48" s="45">
        <f>+'فرع الرواد'!E15</f>
        <v>0</v>
      </c>
      <c r="F48" s="46">
        <f>+'فرع الرواد'!F15</f>
        <v>0</v>
      </c>
      <c r="G48" s="46">
        <f>+'فرع الرواد'!G15</f>
        <v>0</v>
      </c>
      <c r="H48" s="46">
        <f>+'فرع الرواد'!H15</f>
        <v>0</v>
      </c>
      <c r="I48" s="46">
        <f>+'فرع الرواد'!I15</f>
        <v>0</v>
      </c>
      <c r="J48" s="46">
        <f>+'فرع الرواد'!J15</f>
        <v>0</v>
      </c>
      <c r="K48" s="46">
        <f>+'فرع الرواد'!K15</f>
        <v>0</v>
      </c>
      <c r="L48" s="46">
        <f>+'فرع الرواد'!L15</f>
        <v>0</v>
      </c>
      <c r="M48" s="46">
        <f>+'فرع الرواد'!M15</f>
        <v>0</v>
      </c>
      <c r="N48" s="46">
        <f>+'فرع الرواد'!N15</f>
        <v>0</v>
      </c>
      <c r="O48" s="46">
        <f>+'فرع الرواد'!O15</f>
        <v>0</v>
      </c>
      <c r="P48" s="46">
        <f>+'فرع الرواد'!P15</f>
        <v>0</v>
      </c>
      <c r="Q48" s="46">
        <f>+'فرع الرواد'!Q15</f>
        <v>0</v>
      </c>
      <c r="R48" s="47">
        <f>+'فرع الرواد'!R15</f>
        <v>0</v>
      </c>
      <c r="S48" s="47">
        <f>+'فرع الرواد'!S15</f>
        <v>0</v>
      </c>
      <c r="T48" s="46">
        <f>+'فرع الرواد'!T15</f>
        <v>0</v>
      </c>
      <c r="U48" s="46">
        <f>+'فرع الرواد'!U15</f>
        <v>0</v>
      </c>
      <c r="V48" s="46">
        <f>+'فرع الرواد'!V15</f>
        <v>0</v>
      </c>
      <c r="W48" s="46">
        <f>+'فرع الرواد'!W15</f>
        <v>0</v>
      </c>
      <c r="X48" s="46">
        <f>+'فرع الرواد'!X15</f>
        <v>0</v>
      </c>
      <c r="Y48" s="46">
        <f>+'فرع الرواد'!Y15</f>
        <v>0</v>
      </c>
      <c r="Z48" s="46">
        <f>+'فرع الرواد'!Z15</f>
        <v>0</v>
      </c>
      <c r="AA48" s="46">
        <f>+'فرع الرواد'!AA15</f>
        <v>0</v>
      </c>
      <c r="AB48" s="46">
        <f>+'فرع الرواد'!AB15</f>
        <v>0</v>
      </c>
      <c r="AC48" s="46">
        <f>+'فرع الرواد'!AC15</f>
        <v>0</v>
      </c>
      <c r="AD48" s="46">
        <f>+'فرع الرواد'!AD15</f>
        <v>0</v>
      </c>
      <c r="AE48" s="46">
        <f>+'فرع الرواد'!AE15</f>
        <v>0</v>
      </c>
      <c r="AF48" s="46">
        <f>+'فرع الرواد'!AF15</f>
        <v>0</v>
      </c>
      <c r="AG48" s="46">
        <f>+'فرع الرواد'!AG15</f>
        <v>0</v>
      </c>
      <c r="AH48" s="46">
        <f>+'فرع الرواد'!AH15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+'فرع الرواد'!A16</f>
        <v>0</v>
      </c>
      <c r="B52" s="44">
        <f>+'فرع الرواد'!B16</f>
        <v>0</v>
      </c>
      <c r="C52" s="45">
        <f>+'فرع الرواد'!C16</f>
        <v>0</v>
      </c>
      <c r="D52" s="45">
        <f>+'فرع الرواد'!D16</f>
        <v>0</v>
      </c>
      <c r="E52" s="45">
        <f>+'فرع الرواد'!E16</f>
        <v>0</v>
      </c>
      <c r="F52" s="46">
        <f>+'فرع الرواد'!F16</f>
        <v>0</v>
      </c>
      <c r="G52" s="46">
        <f>+'فرع الرواد'!G16</f>
        <v>0</v>
      </c>
      <c r="H52" s="46">
        <f>+'فرع الرواد'!H16</f>
        <v>0</v>
      </c>
      <c r="I52" s="46">
        <f>+'فرع الرواد'!I16</f>
        <v>0</v>
      </c>
      <c r="J52" s="46">
        <f>+'فرع الرواد'!J16</f>
        <v>0</v>
      </c>
      <c r="K52" s="46">
        <f>+'فرع الرواد'!K16</f>
        <v>0</v>
      </c>
      <c r="L52" s="46">
        <f>+'فرع الرواد'!L16</f>
        <v>0</v>
      </c>
      <c r="M52" s="46">
        <f>+'فرع الرواد'!M16</f>
        <v>0</v>
      </c>
      <c r="N52" s="46">
        <f>+'فرع الرواد'!N16</f>
        <v>0</v>
      </c>
      <c r="O52" s="46">
        <f>+'فرع الرواد'!O16</f>
        <v>0</v>
      </c>
      <c r="P52" s="46">
        <f>+'فرع الرواد'!P16</f>
        <v>0</v>
      </c>
      <c r="Q52" s="46">
        <f>+'فرع الرواد'!Q16</f>
        <v>0</v>
      </c>
      <c r="R52" s="47">
        <f>+'فرع الرواد'!R16</f>
        <v>0</v>
      </c>
      <c r="S52" s="47">
        <f>+'فرع الرواد'!S16</f>
        <v>0</v>
      </c>
      <c r="T52" s="46">
        <f>+'فرع الرواد'!T16</f>
        <v>0</v>
      </c>
      <c r="U52" s="46">
        <f>+'فرع الرواد'!U16</f>
        <v>0</v>
      </c>
      <c r="V52" s="46">
        <f>+'فرع الرواد'!V16</f>
        <v>0</v>
      </c>
      <c r="W52" s="46">
        <f>+'فرع الرواد'!W16</f>
        <v>0</v>
      </c>
      <c r="X52" s="46">
        <f>+'فرع الرواد'!X16</f>
        <v>0</v>
      </c>
      <c r="Y52" s="46">
        <f>+'فرع الرواد'!Y16</f>
        <v>0</v>
      </c>
      <c r="Z52" s="46">
        <f>+'فرع الرواد'!Z16</f>
        <v>0</v>
      </c>
      <c r="AA52" s="46">
        <f>+'فرع الرواد'!AA16</f>
        <v>0</v>
      </c>
      <c r="AB52" s="46">
        <f>+'فرع الرواد'!AB16</f>
        <v>0</v>
      </c>
      <c r="AC52" s="46">
        <f>+'فرع الرواد'!AC16</f>
        <v>0</v>
      </c>
      <c r="AD52" s="46">
        <f>+'فرع الرواد'!AD16</f>
        <v>0</v>
      </c>
      <c r="AE52" s="46">
        <f>+'فرع الرواد'!AE16</f>
        <v>0</v>
      </c>
      <c r="AF52" s="46">
        <f>+'فرع الرواد'!AF16</f>
        <v>0</v>
      </c>
      <c r="AG52" s="46">
        <f>+'فرع الرواد'!AG16</f>
        <v>0</v>
      </c>
      <c r="AH52" s="46">
        <f>+'فرع الرواد'!AH16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+'فرع الرواد'!A17</f>
        <v>0</v>
      </c>
      <c r="B56" s="44">
        <f>+'فرع الرواد'!B17</f>
        <v>0</v>
      </c>
      <c r="C56" s="45">
        <f>+'فرع الرواد'!C17</f>
        <v>0</v>
      </c>
      <c r="D56" s="45">
        <f>+'فرع الرواد'!D17</f>
        <v>0</v>
      </c>
      <c r="E56" s="45">
        <f>+'فرع الرواد'!E17</f>
        <v>0</v>
      </c>
      <c r="F56" s="46">
        <f>+'فرع الرواد'!F17</f>
        <v>0</v>
      </c>
      <c r="G56" s="46">
        <f>+'فرع الرواد'!G17</f>
        <v>0</v>
      </c>
      <c r="H56" s="46">
        <f>+'فرع الرواد'!H17</f>
        <v>0</v>
      </c>
      <c r="I56" s="46">
        <f>+'فرع الرواد'!I17</f>
        <v>0</v>
      </c>
      <c r="J56" s="46">
        <f>+'فرع الرواد'!J17</f>
        <v>0</v>
      </c>
      <c r="K56" s="46">
        <f>+'فرع الرواد'!K17</f>
        <v>0</v>
      </c>
      <c r="L56" s="46">
        <f>+'فرع الرواد'!L17</f>
        <v>0</v>
      </c>
      <c r="M56" s="46">
        <f>+'فرع الرواد'!M17</f>
        <v>0</v>
      </c>
      <c r="N56" s="46">
        <f>+'فرع الرواد'!N17</f>
        <v>0</v>
      </c>
      <c r="O56" s="46">
        <f>+'فرع الرواد'!O17</f>
        <v>0</v>
      </c>
      <c r="P56" s="46">
        <f>+'فرع الرواد'!P17</f>
        <v>0</v>
      </c>
      <c r="Q56" s="46">
        <f>+'فرع الرواد'!Q17</f>
        <v>0</v>
      </c>
      <c r="R56" s="47">
        <f>+'فرع الرواد'!R17</f>
        <v>0</v>
      </c>
      <c r="S56" s="47">
        <f>+'فرع الرواد'!S17</f>
        <v>0</v>
      </c>
      <c r="T56" s="46">
        <f>+'فرع الرواد'!T17</f>
        <v>0</v>
      </c>
      <c r="U56" s="46">
        <f>+'فرع الرواد'!U17</f>
        <v>0</v>
      </c>
      <c r="V56" s="46">
        <f>+'فرع الرواد'!V17</f>
        <v>0</v>
      </c>
      <c r="W56" s="46">
        <f>+'فرع الرواد'!W17</f>
        <v>0</v>
      </c>
      <c r="X56" s="46">
        <f>+'فرع الرواد'!X17</f>
        <v>0</v>
      </c>
      <c r="Y56" s="46">
        <f>+'فرع الرواد'!Y17</f>
        <v>0</v>
      </c>
      <c r="Z56" s="46">
        <f>+'فرع الرواد'!Z17</f>
        <v>0</v>
      </c>
      <c r="AA56" s="46">
        <f>+'فرع الرواد'!AA17</f>
        <v>0</v>
      </c>
      <c r="AB56" s="46">
        <f>+'فرع الرواد'!AB17</f>
        <v>0</v>
      </c>
      <c r="AC56" s="46">
        <f>+'فرع الرواد'!AC17</f>
        <v>0</v>
      </c>
      <c r="AD56" s="46">
        <f>+'فرع الرواد'!AD17</f>
        <v>0</v>
      </c>
      <c r="AE56" s="46">
        <f>+'فرع الرواد'!AE17</f>
        <v>0</v>
      </c>
      <c r="AF56" s="46">
        <f>+'فرع الرواد'!AF17</f>
        <v>0</v>
      </c>
      <c r="AG56" s="46">
        <f>+'فرع الرواد'!AG17</f>
        <v>0</v>
      </c>
      <c r="AH56" s="46">
        <f>+'فرع الرواد'!AH17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+'فرع الرواد'!A18</f>
        <v>0</v>
      </c>
      <c r="B60" s="44">
        <f>+'فرع الرواد'!B18</f>
        <v>0</v>
      </c>
      <c r="C60" s="45">
        <f>+'فرع الرواد'!C18</f>
        <v>0</v>
      </c>
      <c r="D60" s="45">
        <f>+'فرع الرواد'!D18</f>
        <v>0</v>
      </c>
      <c r="E60" s="45">
        <f>+'فرع الرواد'!E18</f>
        <v>0</v>
      </c>
      <c r="F60" s="46">
        <f>+'فرع الرواد'!F18</f>
        <v>0</v>
      </c>
      <c r="G60" s="46">
        <f>+'فرع الرواد'!G18</f>
        <v>0</v>
      </c>
      <c r="H60" s="46">
        <f>+'فرع الرواد'!H18</f>
        <v>0</v>
      </c>
      <c r="I60" s="46">
        <f>+'فرع الرواد'!I18</f>
        <v>0</v>
      </c>
      <c r="J60" s="46">
        <f>+'فرع الرواد'!J18</f>
        <v>0</v>
      </c>
      <c r="K60" s="46">
        <f>+'فرع الرواد'!K18</f>
        <v>0</v>
      </c>
      <c r="L60" s="46">
        <f>+'فرع الرواد'!L18</f>
        <v>0</v>
      </c>
      <c r="M60" s="46">
        <f>+'فرع الرواد'!M18</f>
        <v>0</v>
      </c>
      <c r="N60" s="46">
        <f>+'فرع الرواد'!N18</f>
        <v>0</v>
      </c>
      <c r="O60" s="46">
        <f>+'فرع الرواد'!O18</f>
        <v>0</v>
      </c>
      <c r="P60" s="46">
        <f>+'فرع الرواد'!P18</f>
        <v>0</v>
      </c>
      <c r="Q60" s="46">
        <f>+'فرع الرواد'!Q18</f>
        <v>0</v>
      </c>
      <c r="R60" s="47">
        <f>+'فرع الرواد'!R18</f>
        <v>0</v>
      </c>
      <c r="S60" s="47">
        <f>+'فرع الرواد'!S18</f>
        <v>0</v>
      </c>
      <c r="T60" s="46">
        <f>+'فرع الرواد'!T18</f>
        <v>0</v>
      </c>
      <c r="U60" s="46">
        <f>+'فرع الرواد'!U18</f>
        <v>0</v>
      </c>
      <c r="V60" s="46">
        <f>+'فرع الرواد'!V18</f>
        <v>0</v>
      </c>
      <c r="W60" s="46">
        <f>+'فرع الرواد'!W18</f>
        <v>0</v>
      </c>
      <c r="X60" s="46">
        <f>+'فرع الرواد'!X18</f>
        <v>0</v>
      </c>
      <c r="Y60" s="46">
        <f>+'فرع الرواد'!Y18</f>
        <v>0</v>
      </c>
      <c r="Z60" s="46">
        <f>+'فرع الرواد'!Z18</f>
        <v>0</v>
      </c>
      <c r="AA60" s="46">
        <f>+'فرع الرواد'!AA18</f>
        <v>0</v>
      </c>
      <c r="AB60" s="46">
        <f>+'فرع الرواد'!AB18</f>
        <v>0</v>
      </c>
      <c r="AC60" s="46">
        <f>+'فرع الرواد'!AC18</f>
        <v>0</v>
      </c>
      <c r="AD60" s="46">
        <f>+'فرع الرواد'!AD18</f>
        <v>0</v>
      </c>
      <c r="AE60" s="46">
        <f>+'فرع الرواد'!AE18</f>
        <v>0</v>
      </c>
      <c r="AF60" s="46">
        <f>+'فرع الرواد'!AF18</f>
        <v>0</v>
      </c>
      <c r="AG60" s="46">
        <f>+'فرع الرواد'!AG18</f>
        <v>0</v>
      </c>
      <c r="AH60" s="46">
        <f>+'فرع الرواد'!AH18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+'فرع الرواد'!A19</f>
        <v>0</v>
      </c>
      <c r="B64" s="44">
        <f>+'فرع الرواد'!B19</f>
        <v>0</v>
      </c>
      <c r="C64" s="45">
        <f>+'فرع الرواد'!C19</f>
        <v>0</v>
      </c>
      <c r="D64" s="45">
        <f>+'فرع الرواد'!D19</f>
        <v>0</v>
      </c>
      <c r="E64" s="45">
        <f>+'فرع الرواد'!E19</f>
        <v>0</v>
      </c>
      <c r="F64" s="46">
        <f>+'فرع الرواد'!F19</f>
        <v>0</v>
      </c>
      <c r="G64" s="46">
        <f>+'فرع الرواد'!G19</f>
        <v>0</v>
      </c>
      <c r="H64" s="46">
        <f>+'فرع الرواد'!H19</f>
        <v>0</v>
      </c>
      <c r="I64" s="46">
        <f>+'فرع الرواد'!I19</f>
        <v>0</v>
      </c>
      <c r="J64" s="46">
        <f>+'فرع الرواد'!J19</f>
        <v>0</v>
      </c>
      <c r="K64" s="46">
        <f>+'فرع الرواد'!K19</f>
        <v>0</v>
      </c>
      <c r="L64" s="46">
        <f>+'فرع الرواد'!L19</f>
        <v>0</v>
      </c>
      <c r="M64" s="46">
        <f>+'فرع الرواد'!M19</f>
        <v>0</v>
      </c>
      <c r="N64" s="46">
        <f>+'فرع الرواد'!N19</f>
        <v>0</v>
      </c>
      <c r="O64" s="46">
        <f>+'فرع الرواد'!O19</f>
        <v>0</v>
      </c>
      <c r="P64" s="46">
        <f>+'فرع الرواد'!P19</f>
        <v>0</v>
      </c>
      <c r="Q64" s="46">
        <f>+'فرع الرواد'!Q19</f>
        <v>0</v>
      </c>
      <c r="R64" s="47">
        <f>+'فرع الرواد'!R19</f>
        <v>0</v>
      </c>
      <c r="S64" s="47">
        <f>+'فرع الرواد'!S19</f>
        <v>0</v>
      </c>
      <c r="T64" s="46">
        <f>+'فرع الرواد'!T19</f>
        <v>0</v>
      </c>
      <c r="U64" s="46">
        <f>+'فرع الرواد'!U19</f>
        <v>0</v>
      </c>
      <c r="V64" s="46">
        <f>+'فرع الرواد'!V19</f>
        <v>0</v>
      </c>
      <c r="W64" s="46">
        <f>+'فرع الرواد'!W19</f>
        <v>0</v>
      </c>
      <c r="X64" s="46">
        <f>+'فرع الرواد'!X19</f>
        <v>0</v>
      </c>
      <c r="Y64" s="46">
        <f>+'فرع الرواد'!Y19</f>
        <v>0</v>
      </c>
      <c r="Z64" s="46">
        <f>+'فرع الرواد'!Z19</f>
        <v>0</v>
      </c>
      <c r="AA64" s="46">
        <f>+'فرع الرواد'!AA19</f>
        <v>0</v>
      </c>
      <c r="AB64" s="46">
        <f>+'فرع الرواد'!AB19</f>
        <v>0</v>
      </c>
      <c r="AC64" s="46">
        <f>+'فرع الرواد'!AC19</f>
        <v>0</v>
      </c>
      <c r="AD64" s="46">
        <f>+'فرع الرواد'!AD19</f>
        <v>0</v>
      </c>
      <c r="AE64" s="46">
        <f>+'فرع الرواد'!AE19</f>
        <v>0</v>
      </c>
      <c r="AF64" s="46">
        <f>+'فرع الرواد'!AF19</f>
        <v>0</v>
      </c>
      <c r="AG64" s="46">
        <f>+'فرع الرواد'!AG19</f>
        <v>0</v>
      </c>
      <c r="AH64" s="46">
        <f>+'فرع الرواد'!AH19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+'فرع الرواد'!A20</f>
        <v>0</v>
      </c>
      <c r="B68" s="44">
        <f>+'فرع الرواد'!B20</f>
        <v>0</v>
      </c>
      <c r="C68" s="45">
        <f>+'فرع الرواد'!C20</f>
        <v>0</v>
      </c>
      <c r="D68" s="45">
        <f>+'فرع الرواد'!D20</f>
        <v>0</v>
      </c>
      <c r="E68" s="45">
        <f>+'فرع الرواد'!E20</f>
        <v>0</v>
      </c>
      <c r="F68" s="46">
        <f>+'فرع الرواد'!F20</f>
        <v>0</v>
      </c>
      <c r="G68" s="46">
        <f>+'فرع الرواد'!G20</f>
        <v>0</v>
      </c>
      <c r="H68" s="46">
        <f>+'فرع الرواد'!H20</f>
        <v>0</v>
      </c>
      <c r="I68" s="46">
        <f>+'فرع الرواد'!I20</f>
        <v>0</v>
      </c>
      <c r="J68" s="46">
        <f>+'فرع الرواد'!J20</f>
        <v>0</v>
      </c>
      <c r="K68" s="46">
        <f>+'فرع الرواد'!K20</f>
        <v>0</v>
      </c>
      <c r="L68" s="46">
        <f>+'فرع الرواد'!L20</f>
        <v>0</v>
      </c>
      <c r="M68" s="46">
        <f>+'فرع الرواد'!M20</f>
        <v>0</v>
      </c>
      <c r="N68" s="46">
        <f>+'فرع الرواد'!N20</f>
        <v>0</v>
      </c>
      <c r="O68" s="46">
        <f>+'فرع الرواد'!O20</f>
        <v>0</v>
      </c>
      <c r="P68" s="46">
        <f>+'فرع الرواد'!P20</f>
        <v>0</v>
      </c>
      <c r="Q68" s="46">
        <f>+'فرع الرواد'!Q20</f>
        <v>0</v>
      </c>
      <c r="R68" s="47">
        <f>+'فرع الرواد'!R20</f>
        <v>0</v>
      </c>
      <c r="S68" s="47">
        <f>+'فرع الرواد'!S20</f>
        <v>0</v>
      </c>
      <c r="T68" s="46">
        <f>+'فرع الرواد'!T20</f>
        <v>0</v>
      </c>
      <c r="U68" s="46">
        <f>+'فرع الرواد'!U20</f>
        <v>0</v>
      </c>
      <c r="V68" s="46">
        <f>+'فرع الرواد'!V20</f>
        <v>0</v>
      </c>
      <c r="W68" s="46">
        <f>+'فرع الرواد'!W20</f>
        <v>0</v>
      </c>
      <c r="X68" s="46">
        <f>+'فرع الرواد'!X20</f>
        <v>0</v>
      </c>
      <c r="Y68" s="46">
        <f>+'فرع الرواد'!Y20</f>
        <v>0</v>
      </c>
      <c r="Z68" s="46">
        <f>+'فرع الرواد'!Z20</f>
        <v>0</v>
      </c>
      <c r="AA68" s="46">
        <f>+'فرع الرواد'!AA20</f>
        <v>0</v>
      </c>
      <c r="AB68" s="46">
        <f>+'فرع الرواد'!AB20</f>
        <v>0</v>
      </c>
      <c r="AC68" s="46">
        <f>+'فرع الرواد'!AC20</f>
        <v>0</v>
      </c>
      <c r="AD68" s="46">
        <f>+'فرع الرواد'!AD20</f>
        <v>0</v>
      </c>
      <c r="AE68" s="46">
        <f>+'فرع الرواد'!AE20</f>
        <v>0</v>
      </c>
      <c r="AF68" s="46">
        <f>+'فرع الرواد'!AF20</f>
        <v>0</v>
      </c>
      <c r="AG68" s="46">
        <f>+'فرع الرواد'!AG20</f>
        <v>0</v>
      </c>
      <c r="AH68" s="46">
        <f>+'فرع الرواد'!AH20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+'فرع الرواد'!A21</f>
        <v>0</v>
      </c>
      <c r="B72" s="44">
        <f>+'فرع الرواد'!B21</f>
        <v>0</v>
      </c>
      <c r="C72" s="45">
        <f>+'فرع الرواد'!C21</f>
        <v>0</v>
      </c>
      <c r="D72" s="45">
        <f>+'فرع الرواد'!D21</f>
        <v>0</v>
      </c>
      <c r="E72" s="45">
        <f>+'فرع الرواد'!E21</f>
        <v>0</v>
      </c>
      <c r="F72" s="46">
        <f>+'فرع الرواد'!F21</f>
        <v>0</v>
      </c>
      <c r="G72" s="46">
        <f>+'فرع الرواد'!G21</f>
        <v>0</v>
      </c>
      <c r="H72" s="46">
        <f>+'فرع الرواد'!H21</f>
        <v>0</v>
      </c>
      <c r="I72" s="46">
        <f>+'فرع الرواد'!I21</f>
        <v>0</v>
      </c>
      <c r="J72" s="46">
        <f>+'فرع الرواد'!J21</f>
        <v>0</v>
      </c>
      <c r="K72" s="46">
        <f>+'فرع الرواد'!K21</f>
        <v>0</v>
      </c>
      <c r="L72" s="46">
        <f>+'فرع الرواد'!L21</f>
        <v>0</v>
      </c>
      <c r="M72" s="46">
        <f>+'فرع الرواد'!M21</f>
        <v>0</v>
      </c>
      <c r="N72" s="46">
        <f>+'فرع الرواد'!N21</f>
        <v>0</v>
      </c>
      <c r="O72" s="46">
        <f>+'فرع الرواد'!O21</f>
        <v>0</v>
      </c>
      <c r="P72" s="46">
        <f>+'فرع الرواد'!P21</f>
        <v>0</v>
      </c>
      <c r="Q72" s="46">
        <f>+'فرع الرواد'!Q21</f>
        <v>0</v>
      </c>
      <c r="R72" s="47">
        <f>+'فرع الرواد'!R21</f>
        <v>0</v>
      </c>
      <c r="S72" s="47">
        <f>+'فرع الرواد'!S21</f>
        <v>0</v>
      </c>
      <c r="T72" s="46">
        <f>+'فرع الرواد'!T21</f>
        <v>0</v>
      </c>
      <c r="U72" s="46">
        <f>+'فرع الرواد'!U21</f>
        <v>0</v>
      </c>
      <c r="V72" s="46">
        <f>+'فرع الرواد'!V21</f>
        <v>0</v>
      </c>
      <c r="W72" s="46">
        <f>+'فرع الرواد'!W21</f>
        <v>0</v>
      </c>
      <c r="X72" s="46">
        <f>+'فرع الرواد'!X21</f>
        <v>0</v>
      </c>
      <c r="Y72" s="46">
        <f>+'فرع الرواد'!Y21</f>
        <v>0</v>
      </c>
      <c r="Z72" s="46">
        <f>+'فرع الرواد'!Z21</f>
        <v>0</v>
      </c>
      <c r="AA72" s="46">
        <f>+'فرع الرواد'!AA21</f>
        <v>0</v>
      </c>
      <c r="AB72" s="46">
        <f>+'فرع الرواد'!AB21</f>
        <v>0</v>
      </c>
      <c r="AC72" s="46">
        <f>+'فرع الرواد'!AC21</f>
        <v>0</v>
      </c>
      <c r="AD72" s="46">
        <f>+'فرع الرواد'!AD21</f>
        <v>0</v>
      </c>
      <c r="AE72" s="46">
        <f>+'فرع الرواد'!AE21</f>
        <v>0</v>
      </c>
      <c r="AF72" s="46">
        <f>+'فرع الرواد'!AF21</f>
        <v>0</v>
      </c>
      <c r="AG72" s="46">
        <f>+'فرع الرواد'!AG21</f>
        <v>0</v>
      </c>
      <c r="AH72" s="46">
        <f>+'فرع الرواد'!AH21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+'فرع الرواد'!A22</f>
        <v>0</v>
      </c>
      <c r="B76" s="44">
        <f>+'فرع الرواد'!B22</f>
        <v>0</v>
      </c>
      <c r="C76" s="45">
        <f>+'فرع الرواد'!C22</f>
        <v>0</v>
      </c>
      <c r="D76" s="45">
        <f>+'فرع الرواد'!D22</f>
        <v>0</v>
      </c>
      <c r="E76" s="45">
        <f>+'فرع الرواد'!E22</f>
        <v>0</v>
      </c>
      <c r="F76" s="46">
        <f>+'فرع الرواد'!F22</f>
        <v>0</v>
      </c>
      <c r="G76" s="46">
        <f>+'فرع الرواد'!G22</f>
        <v>0</v>
      </c>
      <c r="H76" s="46">
        <f>+'فرع الرواد'!H22</f>
        <v>0</v>
      </c>
      <c r="I76" s="46">
        <f>+'فرع الرواد'!I22</f>
        <v>0</v>
      </c>
      <c r="J76" s="46">
        <f>+'فرع الرواد'!J22</f>
        <v>0</v>
      </c>
      <c r="K76" s="46">
        <f>+'فرع الرواد'!K22</f>
        <v>0</v>
      </c>
      <c r="L76" s="46">
        <f>+'فرع الرواد'!L22</f>
        <v>0</v>
      </c>
      <c r="M76" s="46">
        <f>+'فرع الرواد'!M22</f>
        <v>0</v>
      </c>
      <c r="N76" s="46">
        <f>+'فرع الرواد'!N22</f>
        <v>0</v>
      </c>
      <c r="O76" s="46">
        <f>+'فرع الرواد'!O22</f>
        <v>0</v>
      </c>
      <c r="P76" s="46">
        <f>+'فرع الرواد'!P22</f>
        <v>0</v>
      </c>
      <c r="Q76" s="46">
        <f>+'فرع الرواد'!Q22</f>
        <v>0</v>
      </c>
      <c r="R76" s="47">
        <f>+'فرع الرواد'!R22</f>
        <v>0</v>
      </c>
      <c r="S76" s="47">
        <f>+'فرع الرواد'!S22</f>
        <v>0</v>
      </c>
      <c r="T76" s="46">
        <f>+'فرع الرواد'!T22</f>
        <v>0</v>
      </c>
      <c r="U76" s="46">
        <f>+'فرع الرواد'!U22</f>
        <v>0</v>
      </c>
      <c r="V76" s="46">
        <f>+'فرع الرواد'!V22</f>
        <v>0</v>
      </c>
      <c r="W76" s="46">
        <f>+'فرع الرواد'!W22</f>
        <v>0</v>
      </c>
      <c r="X76" s="46">
        <f>+'فرع الرواد'!X22</f>
        <v>0</v>
      </c>
      <c r="Y76" s="46">
        <f>+'فرع الرواد'!Y22</f>
        <v>0</v>
      </c>
      <c r="Z76" s="46">
        <f>+'فرع الرواد'!Z22</f>
        <v>0</v>
      </c>
      <c r="AA76" s="46">
        <f>+'فرع الرواد'!AA22</f>
        <v>0</v>
      </c>
      <c r="AB76" s="46">
        <f>+'فرع الرواد'!AB22</f>
        <v>0</v>
      </c>
      <c r="AC76" s="46">
        <f>+'فرع الرواد'!AC22</f>
        <v>0</v>
      </c>
      <c r="AD76" s="46">
        <f>+'فرع الرواد'!AD22</f>
        <v>0</v>
      </c>
      <c r="AE76" s="46">
        <f>+'فرع الرواد'!AE22</f>
        <v>0</v>
      </c>
      <c r="AF76" s="46">
        <f>+'فرع الرواد'!AF22</f>
        <v>0</v>
      </c>
      <c r="AG76" s="46">
        <f>+'فرع الرواد'!AG22</f>
        <v>0</v>
      </c>
      <c r="AH76" s="46">
        <f>+'فرع الرواد'!AH22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+'فرع الرواد'!A23</f>
        <v>0</v>
      </c>
      <c r="B80" s="44">
        <f>+'فرع الرواد'!B23</f>
        <v>0</v>
      </c>
      <c r="C80" s="45">
        <f>+'فرع الرواد'!C23</f>
        <v>0</v>
      </c>
      <c r="D80" s="45">
        <f>+'فرع الرواد'!D23</f>
        <v>0</v>
      </c>
      <c r="E80" s="45">
        <f>+'فرع الرواد'!E23</f>
        <v>0</v>
      </c>
      <c r="F80" s="46">
        <f>+'فرع الرواد'!F23</f>
        <v>0</v>
      </c>
      <c r="G80" s="46">
        <f>+'فرع الرواد'!G23</f>
        <v>0</v>
      </c>
      <c r="H80" s="46">
        <f>+'فرع الرواد'!H23</f>
        <v>0</v>
      </c>
      <c r="I80" s="46">
        <f>+'فرع الرواد'!I23</f>
        <v>0</v>
      </c>
      <c r="J80" s="46">
        <f>+'فرع الرواد'!J23</f>
        <v>0</v>
      </c>
      <c r="K80" s="46">
        <f>+'فرع الرواد'!K23</f>
        <v>0</v>
      </c>
      <c r="L80" s="46">
        <f>+'فرع الرواد'!L23</f>
        <v>0</v>
      </c>
      <c r="M80" s="46">
        <f>+'فرع الرواد'!M23</f>
        <v>0</v>
      </c>
      <c r="N80" s="46">
        <f>+'فرع الرواد'!N23</f>
        <v>0</v>
      </c>
      <c r="O80" s="46">
        <f>+'فرع الرواد'!O23</f>
        <v>0</v>
      </c>
      <c r="P80" s="46">
        <f>+'فرع الرواد'!P23</f>
        <v>0</v>
      </c>
      <c r="Q80" s="46">
        <f>+'فرع الرواد'!Q23</f>
        <v>0</v>
      </c>
      <c r="R80" s="47">
        <f>+'فرع الرواد'!R23</f>
        <v>0</v>
      </c>
      <c r="S80" s="47">
        <f>+'فرع الرواد'!S23</f>
        <v>0</v>
      </c>
      <c r="T80" s="46">
        <f>+'فرع الرواد'!T23</f>
        <v>0</v>
      </c>
      <c r="U80" s="46">
        <f>+'فرع الرواد'!U23</f>
        <v>0</v>
      </c>
      <c r="V80" s="46">
        <f>+'فرع الرواد'!V23</f>
        <v>0</v>
      </c>
      <c r="W80" s="46">
        <f>+'فرع الرواد'!W23</f>
        <v>0</v>
      </c>
      <c r="X80" s="46">
        <f>+'فرع الرواد'!X23</f>
        <v>0</v>
      </c>
      <c r="Y80" s="46">
        <f>+'فرع الرواد'!Y23</f>
        <v>0</v>
      </c>
      <c r="Z80" s="46">
        <f>+'فرع الرواد'!Z23</f>
        <v>0</v>
      </c>
      <c r="AA80" s="46">
        <f>+'فرع الرواد'!AA23</f>
        <v>0</v>
      </c>
      <c r="AB80" s="46">
        <f>+'فرع الرواد'!AB23</f>
        <v>0</v>
      </c>
      <c r="AC80" s="46">
        <f>+'فرع الرواد'!AC23</f>
        <v>0</v>
      </c>
      <c r="AD80" s="46">
        <f>+'فرع الرواد'!AD23</f>
        <v>0</v>
      </c>
      <c r="AE80" s="46">
        <f>+'فرع الرواد'!AE23</f>
        <v>0</v>
      </c>
      <c r="AF80" s="46">
        <f>+'فرع الرواد'!AF23</f>
        <v>0</v>
      </c>
      <c r="AG80" s="46">
        <f>+'فرع الرواد'!AG23</f>
        <v>0</v>
      </c>
      <c r="AH80" s="46">
        <f>+'فرع الرواد'!AH23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+'فرع الرواد'!A24</f>
        <v>0</v>
      </c>
      <c r="B84" s="44">
        <f>+'فرع الرواد'!B24</f>
        <v>0</v>
      </c>
      <c r="C84" s="45">
        <f>+'فرع الرواد'!C24</f>
        <v>0</v>
      </c>
      <c r="D84" s="45">
        <f>+'فرع الرواد'!D24</f>
        <v>0</v>
      </c>
      <c r="E84" s="45">
        <f>+'فرع الرواد'!E24</f>
        <v>0</v>
      </c>
      <c r="F84" s="46">
        <f>+'فرع الرواد'!F24</f>
        <v>0</v>
      </c>
      <c r="G84" s="46">
        <f>+'فرع الرواد'!G24</f>
        <v>0</v>
      </c>
      <c r="H84" s="46">
        <f>+'فرع الرواد'!H24</f>
        <v>0</v>
      </c>
      <c r="I84" s="46">
        <f>+'فرع الرواد'!I24</f>
        <v>0</v>
      </c>
      <c r="J84" s="46">
        <f>+'فرع الرواد'!J24</f>
        <v>0</v>
      </c>
      <c r="K84" s="46">
        <f>+'فرع الرواد'!K24</f>
        <v>0</v>
      </c>
      <c r="L84" s="46">
        <f>+'فرع الرواد'!L24</f>
        <v>0</v>
      </c>
      <c r="M84" s="46">
        <f>+'فرع الرواد'!M24</f>
        <v>0</v>
      </c>
      <c r="N84" s="46">
        <f>+'فرع الرواد'!N24</f>
        <v>0</v>
      </c>
      <c r="O84" s="46">
        <f>+'فرع الرواد'!O24</f>
        <v>0</v>
      </c>
      <c r="P84" s="46">
        <f>+'فرع الرواد'!P24</f>
        <v>0</v>
      </c>
      <c r="Q84" s="46">
        <f>+'فرع الرواد'!Q24</f>
        <v>0</v>
      </c>
      <c r="R84" s="47">
        <f>+'فرع الرواد'!R24</f>
        <v>0</v>
      </c>
      <c r="S84" s="47">
        <f>+'فرع الرواد'!S24</f>
        <v>0</v>
      </c>
      <c r="T84" s="46">
        <f>+'فرع الرواد'!T24</f>
        <v>0</v>
      </c>
      <c r="U84" s="46">
        <f>+'فرع الرواد'!U24</f>
        <v>0</v>
      </c>
      <c r="V84" s="46">
        <f>+'فرع الرواد'!V24</f>
        <v>0</v>
      </c>
      <c r="W84" s="46">
        <f>+'فرع الرواد'!W24</f>
        <v>0</v>
      </c>
      <c r="X84" s="46">
        <f>+'فرع الرواد'!X24</f>
        <v>0</v>
      </c>
      <c r="Y84" s="46">
        <f>+'فرع الرواد'!Y24</f>
        <v>0</v>
      </c>
      <c r="Z84" s="46">
        <f>+'فرع الرواد'!Z24</f>
        <v>0</v>
      </c>
      <c r="AA84" s="46">
        <f>+'فرع الرواد'!AA24</f>
        <v>0</v>
      </c>
      <c r="AB84" s="46">
        <f>+'فرع الرواد'!AB24</f>
        <v>0</v>
      </c>
      <c r="AC84" s="46">
        <f>+'فرع الرواد'!AC24</f>
        <v>0</v>
      </c>
      <c r="AD84" s="46">
        <f>+'فرع الرواد'!AD24</f>
        <v>0</v>
      </c>
      <c r="AE84" s="46">
        <f>+'فرع الرواد'!AE24</f>
        <v>0</v>
      </c>
      <c r="AF84" s="46">
        <f>+'فرع الرواد'!AF24</f>
        <v>0</v>
      </c>
      <c r="AG84" s="46">
        <f>+'فرع الرواد'!AG24</f>
        <v>0</v>
      </c>
      <c r="AH84" s="46">
        <f>+'فرع الرواد'!AH24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+'فرع الرواد'!A25</f>
        <v>0</v>
      </c>
      <c r="B88" s="44">
        <f>+'فرع الرواد'!B25</f>
        <v>0</v>
      </c>
      <c r="C88" s="45">
        <f>+'فرع الرواد'!C25</f>
        <v>0</v>
      </c>
      <c r="D88" s="45">
        <f>+'فرع الرواد'!D25</f>
        <v>0</v>
      </c>
      <c r="E88" s="45">
        <f>+'فرع الرواد'!E25</f>
        <v>0</v>
      </c>
      <c r="F88" s="46">
        <f>+'فرع الرواد'!F25</f>
        <v>0</v>
      </c>
      <c r="G88" s="46">
        <f>+'فرع الرواد'!G25</f>
        <v>0</v>
      </c>
      <c r="H88" s="46">
        <f>+'فرع الرواد'!H25</f>
        <v>0</v>
      </c>
      <c r="I88" s="46">
        <f>+'فرع الرواد'!I25</f>
        <v>0</v>
      </c>
      <c r="J88" s="46">
        <f>+'فرع الرواد'!J25</f>
        <v>0</v>
      </c>
      <c r="K88" s="46">
        <f>+'فرع الرواد'!K25</f>
        <v>0</v>
      </c>
      <c r="L88" s="46">
        <f>+'فرع الرواد'!L25</f>
        <v>0</v>
      </c>
      <c r="M88" s="46">
        <f>+'فرع الرواد'!M25</f>
        <v>0</v>
      </c>
      <c r="N88" s="46">
        <f>+'فرع الرواد'!N25</f>
        <v>0</v>
      </c>
      <c r="O88" s="46">
        <f>+'فرع الرواد'!O25</f>
        <v>0</v>
      </c>
      <c r="P88" s="46">
        <f>+'فرع الرواد'!P25</f>
        <v>0</v>
      </c>
      <c r="Q88" s="46">
        <f>+'فرع الرواد'!Q25</f>
        <v>0</v>
      </c>
      <c r="R88" s="47">
        <f>+'فرع الرواد'!R25</f>
        <v>0</v>
      </c>
      <c r="S88" s="47">
        <f>+'فرع الرواد'!S25</f>
        <v>0</v>
      </c>
      <c r="T88" s="46">
        <f>+'فرع الرواد'!T25</f>
        <v>0</v>
      </c>
      <c r="U88" s="46">
        <f>+'فرع الرواد'!U25</f>
        <v>0</v>
      </c>
      <c r="V88" s="46">
        <f>+'فرع الرواد'!V25</f>
        <v>0</v>
      </c>
      <c r="W88" s="46">
        <f>+'فرع الرواد'!W25</f>
        <v>0</v>
      </c>
      <c r="X88" s="46">
        <f>+'فرع الرواد'!X25</f>
        <v>0</v>
      </c>
      <c r="Y88" s="46">
        <f>+'فرع الرواد'!Y25</f>
        <v>0</v>
      </c>
      <c r="Z88" s="46">
        <f>+'فرع الرواد'!Z25</f>
        <v>0</v>
      </c>
      <c r="AA88" s="46">
        <f>+'فرع الرواد'!AA25</f>
        <v>0</v>
      </c>
      <c r="AB88" s="46">
        <f>+'فرع الرواد'!AB25</f>
        <v>0</v>
      </c>
      <c r="AC88" s="46">
        <f>+'فرع الرواد'!AC25</f>
        <v>0</v>
      </c>
      <c r="AD88" s="46">
        <f>+'فرع الرواد'!AD25</f>
        <v>0</v>
      </c>
      <c r="AE88" s="46">
        <f>+'فرع الرواد'!AE25</f>
        <v>0</v>
      </c>
      <c r="AF88" s="46">
        <f>+'فرع الرواد'!AF25</f>
        <v>0</v>
      </c>
      <c r="AG88" s="46">
        <f>+'فرع الرواد'!AG25</f>
        <v>0</v>
      </c>
      <c r="AH88" s="46">
        <f>+'فرع الرواد'!AH25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+'فرع الرواد'!A26</f>
        <v>0</v>
      </c>
      <c r="B92" s="44">
        <f>+'فرع الرواد'!B26</f>
        <v>0</v>
      </c>
      <c r="C92" s="45">
        <f>+'فرع الرواد'!C26</f>
        <v>0</v>
      </c>
      <c r="D92" s="45">
        <f>+'فرع الرواد'!D26</f>
        <v>0</v>
      </c>
      <c r="E92" s="45">
        <f>+'فرع الرواد'!E26</f>
        <v>0</v>
      </c>
      <c r="F92" s="46">
        <f>+'فرع الرواد'!F26</f>
        <v>0</v>
      </c>
      <c r="G92" s="46">
        <f>+'فرع الرواد'!G26</f>
        <v>0</v>
      </c>
      <c r="H92" s="46">
        <f>+'فرع الرواد'!H26</f>
        <v>0</v>
      </c>
      <c r="I92" s="46">
        <f>+'فرع الرواد'!I26</f>
        <v>0</v>
      </c>
      <c r="J92" s="46">
        <f>+'فرع الرواد'!J26</f>
        <v>0</v>
      </c>
      <c r="K92" s="46">
        <f>+'فرع الرواد'!K26</f>
        <v>0</v>
      </c>
      <c r="L92" s="46">
        <f>+'فرع الرواد'!L26</f>
        <v>0</v>
      </c>
      <c r="M92" s="46">
        <f>+'فرع الرواد'!M26</f>
        <v>0</v>
      </c>
      <c r="N92" s="46">
        <f>+'فرع الرواد'!N26</f>
        <v>0</v>
      </c>
      <c r="O92" s="46">
        <f>+'فرع الرواد'!O26</f>
        <v>0</v>
      </c>
      <c r="P92" s="46">
        <f>+'فرع الرواد'!P26</f>
        <v>0</v>
      </c>
      <c r="Q92" s="46">
        <f>+'فرع الرواد'!Q26</f>
        <v>0</v>
      </c>
      <c r="R92" s="47">
        <f>+'فرع الرواد'!R26</f>
        <v>0</v>
      </c>
      <c r="S92" s="47">
        <f>+'فرع الرواد'!S26</f>
        <v>0</v>
      </c>
      <c r="T92" s="46">
        <f>+'فرع الرواد'!T26</f>
        <v>0</v>
      </c>
      <c r="U92" s="46">
        <f>+'فرع الرواد'!U26</f>
        <v>0</v>
      </c>
      <c r="V92" s="46">
        <f>+'فرع الرواد'!V26</f>
        <v>0</v>
      </c>
      <c r="W92" s="46">
        <f>+'فرع الرواد'!W26</f>
        <v>0</v>
      </c>
      <c r="X92" s="46">
        <f>+'فرع الرواد'!X26</f>
        <v>0</v>
      </c>
      <c r="Y92" s="46">
        <f>+'فرع الرواد'!Y26</f>
        <v>0</v>
      </c>
      <c r="Z92" s="46">
        <f>+'فرع الرواد'!Z26</f>
        <v>0</v>
      </c>
      <c r="AA92" s="46">
        <f>+'فرع الرواد'!AA26</f>
        <v>0</v>
      </c>
      <c r="AB92" s="46">
        <f>+'فرع الرواد'!AB26</f>
        <v>0</v>
      </c>
      <c r="AC92" s="46">
        <f>+'فرع الرواد'!AC26</f>
        <v>0</v>
      </c>
      <c r="AD92" s="46">
        <f>+'فرع الرواد'!AD26</f>
        <v>0</v>
      </c>
      <c r="AE92" s="46">
        <f>+'فرع الرواد'!AE26</f>
        <v>0</v>
      </c>
      <c r="AF92" s="46">
        <f>+'فرع الرواد'!AF26</f>
        <v>0</v>
      </c>
      <c r="AG92" s="46">
        <f>+'فرع الرواد'!AG26</f>
        <v>0</v>
      </c>
      <c r="AH92" s="46">
        <f>+'فرع الرواد'!AH26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+'فرع الرواد'!A27</f>
        <v>0</v>
      </c>
      <c r="B96" s="44">
        <f>+'فرع الرواد'!B27</f>
        <v>0</v>
      </c>
      <c r="C96" s="45">
        <f>+'فرع الرواد'!C27</f>
        <v>0</v>
      </c>
      <c r="D96" s="45">
        <f>+'فرع الرواد'!D27</f>
        <v>0</v>
      </c>
      <c r="E96" s="45">
        <f>+'فرع الرواد'!E27</f>
        <v>0</v>
      </c>
      <c r="F96" s="46">
        <f>+'فرع الرواد'!F27</f>
        <v>0</v>
      </c>
      <c r="G96" s="46">
        <f>+'فرع الرواد'!G27</f>
        <v>0</v>
      </c>
      <c r="H96" s="46">
        <f>+'فرع الرواد'!H27</f>
        <v>0</v>
      </c>
      <c r="I96" s="46">
        <f>+'فرع الرواد'!I27</f>
        <v>0</v>
      </c>
      <c r="J96" s="46">
        <f>+'فرع الرواد'!J27</f>
        <v>0</v>
      </c>
      <c r="K96" s="46">
        <f>+'فرع الرواد'!K27</f>
        <v>0</v>
      </c>
      <c r="L96" s="46">
        <f>+'فرع الرواد'!L27</f>
        <v>0</v>
      </c>
      <c r="M96" s="46">
        <f>+'فرع الرواد'!M27</f>
        <v>0</v>
      </c>
      <c r="N96" s="46">
        <f>+'فرع الرواد'!N27</f>
        <v>0</v>
      </c>
      <c r="O96" s="46">
        <f>+'فرع الرواد'!O27</f>
        <v>0</v>
      </c>
      <c r="P96" s="46">
        <f>+'فرع الرواد'!P27</f>
        <v>0</v>
      </c>
      <c r="Q96" s="46">
        <f>+'فرع الرواد'!Q27</f>
        <v>0</v>
      </c>
      <c r="R96" s="47">
        <f>+'فرع الرواد'!R27</f>
        <v>0</v>
      </c>
      <c r="S96" s="47">
        <f>+'فرع الرواد'!S27</f>
        <v>0</v>
      </c>
      <c r="T96" s="46">
        <f>+'فرع الرواد'!T27</f>
        <v>0</v>
      </c>
      <c r="U96" s="46">
        <f>+'فرع الرواد'!U27</f>
        <v>0</v>
      </c>
      <c r="V96" s="46">
        <f>+'فرع الرواد'!V27</f>
        <v>0</v>
      </c>
      <c r="W96" s="46">
        <f>+'فرع الرواد'!W27</f>
        <v>0</v>
      </c>
      <c r="X96" s="46">
        <f>+'فرع الرواد'!X27</f>
        <v>0</v>
      </c>
      <c r="Y96" s="46">
        <f>+'فرع الرواد'!Y27</f>
        <v>0</v>
      </c>
      <c r="Z96" s="46">
        <f>+'فرع الرواد'!Z27</f>
        <v>0</v>
      </c>
      <c r="AA96" s="46">
        <f>+'فرع الرواد'!AA27</f>
        <v>0</v>
      </c>
      <c r="AB96" s="46">
        <f>+'فرع الرواد'!AB27</f>
        <v>0</v>
      </c>
      <c r="AC96" s="46">
        <f>+'فرع الرواد'!AC27</f>
        <v>0</v>
      </c>
      <c r="AD96" s="46">
        <f>+'فرع الرواد'!AD27</f>
        <v>0</v>
      </c>
      <c r="AE96" s="46">
        <f>+'فرع الرواد'!AE27</f>
        <v>0</v>
      </c>
      <c r="AF96" s="46">
        <f>+'فرع الرواد'!AF27</f>
        <v>0</v>
      </c>
      <c r="AG96" s="46">
        <f>+'فرع الرواد'!AG27</f>
        <v>0</v>
      </c>
      <c r="AH96" s="46">
        <f>+'فرع الرواد'!AH27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+'فرع الرواد'!A28</f>
        <v>0</v>
      </c>
      <c r="B100" s="44">
        <f>+'فرع الرواد'!B28</f>
        <v>0</v>
      </c>
      <c r="C100" s="45">
        <f>+'فرع الرواد'!C28</f>
        <v>0</v>
      </c>
      <c r="D100" s="45">
        <f>+'فرع الرواد'!D28</f>
        <v>0</v>
      </c>
      <c r="E100" s="45">
        <f>+'فرع الرواد'!E28</f>
        <v>0</v>
      </c>
      <c r="F100" s="46">
        <f>+'فرع الرواد'!F28</f>
        <v>0</v>
      </c>
      <c r="G100" s="46">
        <f>+'فرع الرواد'!G28</f>
        <v>0</v>
      </c>
      <c r="H100" s="46">
        <f>+'فرع الرواد'!H28</f>
        <v>0</v>
      </c>
      <c r="I100" s="46">
        <f>+'فرع الرواد'!I28</f>
        <v>0</v>
      </c>
      <c r="J100" s="46">
        <f>+'فرع الرواد'!J28</f>
        <v>0</v>
      </c>
      <c r="K100" s="46">
        <f>+'فرع الرواد'!K28</f>
        <v>0</v>
      </c>
      <c r="L100" s="46">
        <f>+'فرع الرواد'!L28</f>
        <v>0</v>
      </c>
      <c r="M100" s="46">
        <f>+'فرع الرواد'!M28</f>
        <v>0</v>
      </c>
      <c r="N100" s="46">
        <f>+'فرع الرواد'!N28</f>
        <v>0</v>
      </c>
      <c r="O100" s="46">
        <f>+'فرع الرواد'!O28</f>
        <v>0</v>
      </c>
      <c r="P100" s="46">
        <f>+'فرع الرواد'!P28</f>
        <v>0</v>
      </c>
      <c r="Q100" s="46">
        <f>+'فرع الرواد'!Q28</f>
        <v>0</v>
      </c>
      <c r="R100" s="47">
        <f>+'فرع الرواد'!R28</f>
        <v>0</v>
      </c>
      <c r="S100" s="47">
        <f>+'فرع الرواد'!S28</f>
        <v>0</v>
      </c>
      <c r="T100" s="46">
        <f>+'فرع الرواد'!T28</f>
        <v>0</v>
      </c>
      <c r="U100" s="46">
        <f>+'فرع الرواد'!U28</f>
        <v>0</v>
      </c>
      <c r="V100" s="46">
        <f>+'فرع الرواد'!V28</f>
        <v>0</v>
      </c>
      <c r="W100" s="46">
        <f>+'فرع الرواد'!W28</f>
        <v>0</v>
      </c>
      <c r="X100" s="46">
        <f>+'فرع الرواد'!X28</f>
        <v>0</v>
      </c>
      <c r="Y100" s="46">
        <f>+'فرع الرواد'!Y28</f>
        <v>0</v>
      </c>
      <c r="Z100" s="46">
        <f>+'فرع الرواد'!Z28</f>
        <v>0</v>
      </c>
      <c r="AA100" s="46">
        <f>+'فرع الرواد'!AA28</f>
        <v>0</v>
      </c>
      <c r="AB100" s="46">
        <f>+'فرع الرواد'!AB28</f>
        <v>0</v>
      </c>
      <c r="AC100" s="46">
        <f>+'فرع الرواد'!AC28</f>
        <v>0</v>
      </c>
      <c r="AD100" s="46">
        <f>+'فرع الرواد'!AD28</f>
        <v>0</v>
      </c>
      <c r="AE100" s="46">
        <f>+'فرع الرواد'!AE28</f>
        <v>0</v>
      </c>
      <c r="AF100" s="46">
        <f>+'فرع الرواد'!AF28</f>
        <v>0</v>
      </c>
      <c r="AG100" s="46">
        <f>+'فرع الرواد'!AG28</f>
        <v>0</v>
      </c>
      <c r="AH100" s="46">
        <f>+'فرع الرواد'!AH28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+'فرع الرواد'!A29</f>
        <v>0</v>
      </c>
      <c r="B104" s="44">
        <f>+'فرع الرواد'!B29</f>
        <v>0</v>
      </c>
      <c r="C104" s="45">
        <f>+'فرع الرواد'!C29</f>
        <v>0</v>
      </c>
      <c r="D104" s="45">
        <f>+'فرع الرواد'!D29</f>
        <v>0</v>
      </c>
      <c r="E104" s="45">
        <f>+'فرع الرواد'!E29</f>
        <v>0</v>
      </c>
      <c r="F104" s="46">
        <f>+'فرع الرواد'!F29</f>
        <v>0</v>
      </c>
      <c r="G104" s="46">
        <f>+'فرع الرواد'!G29</f>
        <v>0</v>
      </c>
      <c r="H104" s="46">
        <f>+'فرع الرواد'!H29</f>
        <v>0</v>
      </c>
      <c r="I104" s="46">
        <f>+'فرع الرواد'!I29</f>
        <v>0</v>
      </c>
      <c r="J104" s="46">
        <f>+'فرع الرواد'!J29</f>
        <v>0</v>
      </c>
      <c r="K104" s="46">
        <f>+'فرع الرواد'!K29</f>
        <v>0</v>
      </c>
      <c r="L104" s="46">
        <f>+'فرع الرواد'!L29</f>
        <v>0</v>
      </c>
      <c r="M104" s="46">
        <f>+'فرع الرواد'!M29</f>
        <v>0</v>
      </c>
      <c r="N104" s="46">
        <f>+'فرع الرواد'!N29</f>
        <v>0</v>
      </c>
      <c r="O104" s="46">
        <f>+'فرع الرواد'!O29</f>
        <v>0</v>
      </c>
      <c r="P104" s="46">
        <f>+'فرع الرواد'!P29</f>
        <v>0</v>
      </c>
      <c r="Q104" s="46">
        <f>+'فرع الرواد'!Q29</f>
        <v>0</v>
      </c>
      <c r="R104" s="47">
        <f>+'فرع الرواد'!R29</f>
        <v>0</v>
      </c>
      <c r="S104" s="47">
        <f>+'فرع الرواد'!S29</f>
        <v>0</v>
      </c>
      <c r="T104" s="46">
        <f>+'فرع الرواد'!T29</f>
        <v>0</v>
      </c>
      <c r="U104" s="46">
        <f>+'فرع الرواد'!U29</f>
        <v>0</v>
      </c>
      <c r="V104" s="46">
        <f>+'فرع الرواد'!V29</f>
        <v>0</v>
      </c>
      <c r="W104" s="46">
        <f>+'فرع الرواد'!W29</f>
        <v>0</v>
      </c>
      <c r="X104" s="46">
        <f>+'فرع الرواد'!X29</f>
        <v>0</v>
      </c>
      <c r="Y104" s="46">
        <f>+'فرع الرواد'!Y29</f>
        <v>0</v>
      </c>
      <c r="Z104" s="46">
        <f>+'فرع الرواد'!Z29</f>
        <v>0</v>
      </c>
      <c r="AA104" s="46">
        <f>+'فرع الرواد'!AA29</f>
        <v>0</v>
      </c>
      <c r="AB104" s="46">
        <f>+'فرع الرواد'!AB29</f>
        <v>0</v>
      </c>
      <c r="AC104" s="46">
        <f>+'فرع الرواد'!AC29</f>
        <v>0</v>
      </c>
      <c r="AD104" s="46">
        <f>+'فرع الرواد'!AD29</f>
        <v>0</v>
      </c>
      <c r="AE104" s="46">
        <f>+'فرع الرواد'!AE29</f>
        <v>0</v>
      </c>
      <c r="AF104" s="46">
        <f>+'فرع الرواد'!AF29</f>
        <v>0</v>
      </c>
      <c r="AG104" s="46">
        <f>+'فرع الرواد'!AG29</f>
        <v>0</v>
      </c>
      <c r="AH104" s="46">
        <f>+'فرع الرواد'!AH29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+'فرع الرواد'!A30</f>
        <v>0</v>
      </c>
      <c r="B108" s="44">
        <f>+'فرع الرواد'!B30</f>
        <v>0</v>
      </c>
      <c r="C108" s="45">
        <f>+'فرع الرواد'!C30</f>
        <v>0</v>
      </c>
      <c r="D108" s="45">
        <f>+'فرع الرواد'!D30</f>
        <v>0</v>
      </c>
      <c r="E108" s="45">
        <f>+'فرع الرواد'!E30</f>
        <v>0</v>
      </c>
      <c r="F108" s="46">
        <f>+'فرع الرواد'!F30</f>
        <v>0</v>
      </c>
      <c r="G108" s="46">
        <f>+'فرع الرواد'!G30</f>
        <v>0</v>
      </c>
      <c r="H108" s="46">
        <f>+'فرع الرواد'!H30</f>
        <v>0</v>
      </c>
      <c r="I108" s="46">
        <f>+'فرع الرواد'!I30</f>
        <v>0</v>
      </c>
      <c r="J108" s="46">
        <f>+'فرع الرواد'!J30</f>
        <v>0</v>
      </c>
      <c r="K108" s="46">
        <f>+'فرع الرواد'!K30</f>
        <v>0</v>
      </c>
      <c r="L108" s="46">
        <f>+'فرع الرواد'!L30</f>
        <v>0</v>
      </c>
      <c r="M108" s="46">
        <f>+'فرع الرواد'!M30</f>
        <v>0</v>
      </c>
      <c r="N108" s="46">
        <f>+'فرع الرواد'!N30</f>
        <v>0</v>
      </c>
      <c r="O108" s="46">
        <f>+'فرع الرواد'!O30</f>
        <v>0</v>
      </c>
      <c r="P108" s="46">
        <f>+'فرع الرواد'!P30</f>
        <v>0</v>
      </c>
      <c r="Q108" s="46">
        <f>+'فرع الرواد'!Q30</f>
        <v>0</v>
      </c>
      <c r="R108" s="47">
        <f>+'فرع الرواد'!R30</f>
        <v>0</v>
      </c>
      <c r="S108" s="47">
        <f>+'فرع الرواد'!S30</f>
        <v>0</v>
      </c>
      <c r="T108" s="46">
        <f>+'فرع الرواد'!T30</f>
        <v>0</v>
      </c>
      <c r="U108" s="46">
        <f>+'فرع الرواد'!U30</f>
        <v>0</v>
      </c>
      <c r="V108" s="46">
        <f>+'فرع الرواد'!V30</f>
        <v>0</v>
      </c>
      <c r="W108" s="46">
        <f>+'فرع الرواد'!W30</f>
        <v>0</v>
      </c>
      <c r="X108" s="46">
        <f>+'فرع الرواد'!X30</f>
        <v>0</v>
      </c>
      <c r="Y108" s="46">
        <f>+'فرع الرواد'!Y30</f>
        <v>0</v>
      </c>
      <c r="Z108" s="46">
        <f>+'فرع الرواد'!Z30</f>
        <v>0</v>
      </c>
      <c r="AA108" s="46">
        <f>+'فرع الرواد'!AA30</f>
        <v>0</v>
      </c>
      <c r="AB108" s="46">
        <f>+'فرع الرواد'!AB30</f>
        <v>0</v>
      </c>
      <c r="AC108" s="46">
        <f>+'فرع الرواد'!AC30</f>
        <v>0</v>
      </c>
      <c r="AD108" s="46">
        <f>+'فرع الرواد'!AD30</f>
        <v>0</v>
      </c>
      <c r="AE108" s="46">
        <f>+'فرع الرواد'!AE30</f>
        <v>0</v>
      </c>
      <c r="AF108" s="46">
        <f>+'فرع الرواد'!AF30</f>
        <v>0</v>
      </c>
      <c r="AG108" s="46">
        <f>+'فرع الرواد'!AG30</f>
        <v>0</v>
      </c>
      <c r="AH108" s="46">
        <f>+'فرع الرواد'!AH30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+'فرع الرواد'!A31</f>
        <v>0</v>
      </c>
      <c r="B112" s="44">
        <f>+'فرع الرواد'!B31</f>
        <v>0</v>
      </c>
      <c r="C112" s="45">
        <f>+'فرع الرواد'!C31</f>
        <v>0</v>
      </c>
      <c r="D112" s="45">
        <f>+'فرع الرواد'!D31</f>
        <v>0</v>
      </c>
      <c r="E112" s="45">
        <f>+'فرع الرواد'!E31</f>
        <v>0</v>
      </c>
      <c r="F112" s="46">
        <f>+'فرع الرواد'!F31</f>
        <v>0</v>
      </c>
      <c r="G112" s="46">
        <f>+'فرع الرواد'!G31</f>
        <v>0</v>
      </c>
      <c r="H112" s="46">
        <f>+'فرع الرواد'!H31</f>
        <v>0</v>
      </c>
      <c r="I112" s="46">
        <f>+'فرع الرواد'!I31</f>
        <v>0</v>
      </c>
      <c r="J112" s="46">
        <f>+'فرع الرواد'!J31</f>
        <v>0</v>
      </c>
      <c r="K112" s="46">
        <f>+'فرع الرواد'!K31</f>
        <v>0</v>
      </c>
      <c r="L112" s="46">
        <f>+'فرع الرواد'!L31</f>
        <v>0</v>
      </c>
      <c r="M112" s="46">
        <f>+'فرع الرواد'!M31</f>
        <v>0</v>
      </c>
      <c r="N112" s="46">
        <f>+'فرع الرواد'!N31</f>
        <v>0</v>
      </c>
      <c r="O112" s="46">
        <f>+'فرع الرواد'!O31</f>
        <v>0</v>
      </c>
      <c r="P112" s="46">
        <f>+'فرع الرواد'!P31</f>
        <v>0</v>
      </c>
      <c r="Q112" s="46">
        <f>+'فرع الرواد'!Q31</f>
        <v>0</v>
      </c>
      <c r="R112" s="47">
        <f>+'فرع الرواد'!R31</f>
        <v>0</v>
      </c>
      <c r="S112" s="47">
        <f>+'فرع الرواد'!S31</f>
        <v>0</v>
      </c>
      <c r="T112" s="46">
        <f>+'فرع الرواد'!T31</f>
        <v>0</v>
      </c>
      <c r="U112" s="46">
        <f>+'فرع الرواد'!U31</f>
        <v>0</v>
      </c>
      <c r="V112" s="46">
        <f>+'فرع الرواد'!V31</f>
        <v>0</v>
      </c>
      <c r="W112" s="46">
        <f>+'فرع الرواد'!W31</f>
        <v>0</v>
      </c>
      <c r="X112" s="46">
        <f>+'فرع الرواد'!X31</f>
        <v>0</v>
      </c>
      <c r="Y112" s="46">
        <f>+'فرع الرواد'!Y31</f>
        <v>0</v>
      </c>
      <c r="Z112" s="46">
        <f>+'فرع الرواد'!Z31</f>
        <v>0</v>
      </c>
      <c r="AA112" s="46">
        <f>+'فرع الرواد'!AA31</f>
        <v>0</v>
      </c>
      <c r="AB112" s="46">
        <f>+'فرع الرواد'!AB31</f>
        <v>0</v>
      </c>
      <c r="AC112" s="46">
        <f>+'فرع الرواد'!AC31</f>
        <v>0</v>
      </c>
      <c r="AD112" s="46">
        <f>+'فرع الرواد'!AD31</f>
        <v>0</v>
      </c>
      <c r="AE112" s="46">
        <f>+'فرع الرواد'!AE31</f>
        <v>0</v>
      </c>
      <c r="AF112" s="46">
        <f>+'فرع الرواد'!AF31</f>
        <v>0</v>
      </c>
      <c r="AG112" s="46">
        <f>+'فرع الرواد'!AG31</f>
        <v>0</v>
      </c>
      <c r="AH112" s="46">
        <f>+'فرع الرواد'!AH31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+'فرع الرواد'!A32</f>
        <v>0</v>
      </c>
      <c r="B116" s="44">
        <f>+'فرع الرواد'!B32</f>
        <v>0</v>
      </c>
      <c r="C116" s="45">
        <f>+'فرع الرواد'!C32</f>
        <v>0</v>
      </c>
      <c r="D116" s="45">
        <f>+'فرع الرواد'!D32</f>
        <v>0</v>
      </c>
      <c r="E116" s="45">
        <f>+'فرع الرواد'!E32</f>
        <v>0</v>
      </c>
      <c r="F116" s="46">
        <f>+'فرع الرواد'!F32</f>
        <v>0</v>
      </c>
      <c r="G116" s="46">
        <f>+'فرع الرواد'!G32</f>
        <v>0</v>
      </c>
      <c r="H116" s="46">
        <f>+'فرع الرواد'!H32</f>
        <v>0</v>
      </c>
      <c r="I116" s="46">
        <f>+'فرع الرواد'!I32</f>
        <v>0</v>
      </c>
      <c r="J116" s="46">
        <f>+'فرع الرواد'!J32</f>
        <v>0</v>
      </c>
      <c r="K116" s="46">
        <f>+'فرع الرواد'!K32</f>
        <v>0</v>
      </c>
      <c r="L116" s="46">
        <f>+'فرع الرواد'!L32</f>
        <v>0</v>
      </c>
      <c r="M116" s="46">
        <f>+'فرع الرواد'!M32</f>
        <v>0</v>
      </c>
      <c r="N116" s="46">
        <f>+'فرع الرواد'!N32</f>
        <v>0</v>
      </c>
      <c r="O116" s="46">
        <f>+'فرع الرواد'!O32</f>
        <v>0</v>
      </c>
      <c r="P116" s="46">
        <f>+'فرع الرواد'!P32</f>
        <v>0</v>
      </c>
      <c r="Q116" s="46">
        <f>+'فرع الرواد'!Q32</f>
        <v>0</v>
      </c>
      <c r="R116" s="47">
        <f>+'فرع الرواد'!R32</f>
        <v>0</v>
      </c>
      <c r="S116" s="47">
        <f>+'فرع الرواد'!S32</f>
        <v>0</v>
      </c>
      <c r="T116" s="46">
        <f>+'فرع الرواد'!T32</f>
        <v>0</v>
      </c>
      <c r="U116" s="46">
        <f>+'فرع الرواد'!U32</f>
        <v>0</v>
      </c>
      <c r="V116" s="46">
        <f>+'فرع الرواد'!V32</f>
        <v>0</v>
      </c>
      <c r="W116" s="46">
        <f>+'فرع الرواد'!W32</f>
        <v>0</v>
      </c>
      <c r="X116" s="46">
        <f>+'فرع الرواد'!X32</f>
        <v>0</v>
      </c>
      <c r="Y116" s="46">
        <f>+'فرع الرواد'!Y32</f>
        <v>0</v>
      </c>
      <c r="Z116" s="46">
        <f>+'فرع الرواد'!Z32</f>
        <v>0</v>
      </c>
      <c r="AA116" s="46">
        <f>+'فرع الرواد'!AA32</f>
        <v>0</v>
      </c>
      <c r="AB116" s="46">
        <f>+'فرع الرواد'!AB32</f>
        <v>0</v>
      </c>
      <c r="AC116" s="46">
        <f>+'فرع الرواد'!AC32</f>
        <v>0</v>
      </c>
      <c r="AD116" s="46">
        <f>+'فرع الرواد'!AD32</f>
        <v>0</v>
      </c>
      <c r="AE116" s="46">
        <f>+'فرع الرواد'!AE32</f>
        <v>0</v>
      </c>
      <c r="AF116" s="46">
        <f>+'فرع الرواد'!AF32</f>
        <v>0</v>
      </c>
      <c r="AG116" s="46">
        <f>+'فرع الرواد'!AG32</f>
        <v>0</v>
      </c>
      <c r="AH116" s="46">
        <f>+'فرع الرواد'!AH32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+'فرع الرواد'!A33</f>
        <v>0</v>
      </c>
      <c r="B120" s="44">
        <f>+'فرع الرواد'!B33</f>
        <v>0</v>
      </c>
      <c r="C120" s="45">
        <f>+'فرع الرواد'!C33</f>
        <v>0</v>
      </c>
      <c r="D120" s="45">
        <f>+'فرع الرواد'!D33</f>
        <v>0</v>
      </c>
      <c r="E120" s="45">
        <f>+'فرع الرواد'!E33</f>
        <v>0</v>
      </c>
      <c r="F120" s="46">
        <f>+'فرع الرواد'!F33</f>
        <v>0</v>
      </c>
      <c r="G120" s="46">
        <f>+'فرع الرواد'!G33</f>
        <v>0</v>
      </c>
      <c r="H120" s="46">
        <f>+'فرع الرواد'!H33</f>
        <v>0</v>
      </c>
      <c r="I120" s="46">
        <f>+'فرع الرواد'!I33</f>
        <v>0</v>
      </c>
      <c r="J120" s="46">
        <f>+'فرع الرواد'!J33</f>
        <v>0</v>
      </c>
      <c r="K120" s="46">
        <f>+'فرع الرواد'!K33</f>
        <v>0</v>
      </c>
      <c r="L120" s="46">
        <f>+'فرع الرواد'!L33</f>
        <v>0</v>
      </c>
      <c r="M120" s="46">
        <f>+'فرع الرواد'!M33</f>
        <v>0</v>
      </c>
      <c r="N120" s="46">
        <f>+'فرع الرواد'!N33</f>
        <v>0</v>
      </c>
      <c r="O120" s="46">
        <f>+'فرع الرواد'!O33</f>
        <v>0</v>
      </c>
      <c r="P120" s="46">
        <f>+'فرع الرواد'!P33</f>
        <v>0</v>
      </c>
      <c r="Q120" s="46">
        <f>+'فرع الرواد'!Q33</f>
        <v>0</v>
      </c>
      <c r="R120" s="47">
        <f>+'فرع الرواد'!R33</f>
        <v>0</v>
      </c>
      <c r="S120" s="47">
        <f>+'فرع الرواد'!S33</f>
        <v>0</v>
      </c>
      <c r="T120" s="46">
        <f>+'فرع الرواد'!T33</f>
        <v>0</v>
      </c>
      <c r="U120" s="46">
        <f>+'فرع الرواد'!U33</f>
        <v>0</v>
      </c>
      <c r="V120" s="46">
        <f>+'فرع الرواد'!V33</f>
        <v>0</v>
      </c>
      <c r="W120" s="46">
        <f>+'فرع الرواد'!W33</f>
        <v>0</v>
      </c>
      <c r="X120" s="46">
        <f>+'فرع الرواد'!X33</f>
        <v>0</v>
      </c>
      <c r="Y120" s="46">
        <f>+'فرع الرواد'!Y33</f>
        <v>0</v>
      </c>
      <c r="Z120" s="46">
        <f>+'فرع الرواد'!Z33</f>
        <v>0</v>
      </c>
      <c r="AA120" s="46">
        <f>+'فرع الرواد'!AA33</f>
        <v>0</v>
      </c>
      <c r="AB120" s="46">
        <f>+'فرع الرواد'!AB33</f>
        <v>0</v>
      </c>
      <c r="AC120" s="46">
        <f>+'فرع الرواد'!AC33</f>
        <v>0</v>
      </c>
      <c r="AD120" s="46">
        <f>+'فرع الرواد'!AD33</f>
        <v>0</v>
      </c>
      <c r="AE120" s="46">
        <f>+'فرع الرواد'!AE33</f>
        <v>0</v>
      </c>
      <c r="AF120" s="46">
        <f>+'فرع الرواد'!AF33</f>
        <v>0</v>
      </c>
      <c r="AG120" s="46">
        <f>+'فرع الرواد'!AG33</f>
        <v>0</v>
      </c>
      <c r="AH120" s="46">
        <f>+'فرع الرواد'!AH33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+'فرع الرواد'!A34</f>
        <v>0</v>
      </c>
      <c r="B124" s="44">
        <f>+'فرع الرواد'!B34</f>
        <v>0</v>
      </c>
      <c r="C124" s="45">
        <f>+'فرع الرواد'!C34</f>
        <v>0</v>
      </c>
      <c r="D124" s="45">
        <f>+'فرع الرواد'!D34</f>
        <v>0</v>
      </c>
      <c r="E124" s="45">
        <f>+'فرع الرواد'!E34</f>
        <v>0</v>
      </c>
      <c r="F124" s="46">
        <f>+'فرع الرواد'!F34</f>
        <v>0</v>
      </c>
      <c r="G124" s="46">
        <f>+'فرع الرواد'!G34</f>
        <v>0</v>
      </c>
      <c r="H124" s="46">
        <f>+'فرع الرواد'!H34</f>
        <v>0</v>
      </c>
      <c r="I124" s="46">
        <f>+'فرع الرواد'!I34</f>
        <v>0</v>
      </c>
      <c r="J124" s="46">
        <f>+'فرع الرواد'!J34</f>
        <v>0</v>
      </c>
      <c r="K124" s="46">
        <f>+'فرع الرواد'!K34</f>
        <v>0</v>
      </c>
      <c r="L124" s="46">
        <f>+'فرع الرواد'!L34</f>
        <v>0</v>
      </c>
      <c r="M124" s="46">
        <f>+'فرع الرواد'!M34</f>
        <v>0</v>
      </c>
      <c r="N124" s="46">
        <f>+'فرع الرواد'!N34</f>
        <v>0</v>
      </c>
      <c r="O124" s="46">
        <f>+'فرع الرواد'!O34</f>
        <v>0</v>
      </c>
      <c r="P124" s="46">
        <f>+'فرع الرواد'!P34</f>
        <v>0</v>
      </c>
      <c r="Q124" s="46">
        <f>+'فرع الرواد'!Q34</f>
        <v>0</v>
      </c>
      <c r="R124" s="47">
        <f>+'فرع الرواد'!R34</f>
        <v>0</v>
      </c>
      <c r="S124" s="47">
        <f>+'فرع الرواد'!S34</f>
        <v>0</v>
      </c>
      <c r="T124" s="46">
        <f>+'فرع الرواد'!T34</f>
        <v>0</v>
      </c>
      <c r="U124" s="46">
        <f>+'فرع الرواد'!U34</f>
        <v>0</v>
      </c>
      <c r="V124" s="46">
        <f>+'فرع الرواد'!V34</f>
        <v>0</v>
      </c>
      <c r="W124" s="46">
        <f>+'فرع الرواد'!W34</f>
        <v>0</v>
      </c>
      <c r="X124" s="46">
        <f>+'فرع الرواد'!X34</f>
        <v>0</v>
      </c>
      <c r="Y124" s="46">
        <f>+'فرع الرواد'!Y34</f>
        <v>0</v>
      </c>
      <c r="Z124" s="46">
        <f>+'فرع الرواد'!Z34</f>
        <v>0</v>
      </c>
      <c r="AA124" s="46">
        <f>+'فرع الرواد'!AA34</f>
        <v>0</v>
      </c>
      <c r="AB124" s="46">
        <f>+'فرع الرواد'!AB34</f>
        <v>0</v>
      </c>
      <c r="AC124" s="46">
        <f>+'فرع الرواد'!AC34</f>
        <v>0</v>
      </c>
      <c r="AD124" s="46">
        <f>+'فرع الرواد'!AD34</f>
        <v>0</v>
      </c>
      <c r="AE124" s="46">
        <f>+'فرع الرواد'!AE34</f>
        <v>0</v>
      </c>
      <c r="AF124" s="46">
        <f>+'فرع الرواد'!AF34</f>
        <v>0</v>
      </c>
      <c r="AG124" s="46">
        <f>+'فرع الرواد'!AG34</f>
        <v>0</v>
      </c>
      <c r="AH124" s="46">
        <f>+'فرع الرواد'!AH34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+'فرع الرواد'!A35</f>
        <v>0</v>
      </c>
      <c r="B128" s="44">
        <f>+'فرع الرواد'!B35</f>
        <v>0</v>
      </c>
      <c r="C128" s="45">
        <f>+'فرع الرواد'!C35</f>
        <v>0</v>
      </c>
      <c r="D128" s="45">
        <f>+'فرع الرواد'!D35</f>
        <v>0</v>
      </c>
      <c r="E128" s="45">
        <f>+'فرع الرواد'!E35</f>
        <v>0</v>
      </c>
      <c r="F128" s="46">
        <f>+'فرع الرواد'!F35</f>
        <v>0</v>
      </c>
      <c r="G128" s="46">
        <f>+'فرع الرواد'!G35</f>
        <v>0</v>
      </c>
      <c r="H128" s="46">
        <f>+'فرع الرواد'!H35</f>
        <v>0</v>
      </c>
      <c r="I128" s="46">
        <f>+'فرع الرواد'!I35</f>
        <v>0</v>
      </c>
      <c r="J128" s="46">
        <f>+'فرع الرواد'!J35</f>
        <v>0</v>
      </c>
      <c r="K128" s="46">
        <f>+'فرع الرواد'!K35</f>
        <v>0</v>
      </c>
      <c r="L128" s="46">
        <f>+'فرع الرواد'!L35</f>
        <v>0</v>
      </c>
      <c r="M128" s="46">
        <f>+'فرع الرواد'!M35</f>
        <v>0</v>
      </c>
      <c r="N128" s="46">
        <f>+'فرع الرواد'!N35</f>
        <v>0</v>
      </c>
      <c r="O128" s="46">
        <f>+'فرع الرواد'!O35</f>
        <v>0</v>
      </c>
      <c r="P128" s="46">
        <f>+'فرع الرواد'!P35</f>
        <v>0</v>
      </c>
      <c r="Q128" s="46">
        <f>+'فرع الرواد'!Q35</f>
        <v>0</v>
      </c>
      <c r="R128" s="47">
        <f>+'فرع الرواد'!R35</f>
        <v>0</v>
      </c>
      <c r="S128" s="47">
        <f>+'فرع الرواد'!S35</f>
        <v>0</v>
      </c>
      <c r="T128" s="46">
        <f>+'فرع الرواد'!T35</f>
        <v>0</v>
      </c>
      <c r="U128" s="46">
        <f>+'فرع الرواد'!U35</f>
        <v>0</v>
      </c>
      <c r="V128" s="46">
        <f>+'فرع الرواد'!V35</f>
        <v>0</v>
      </c>
      <c r="W128" s="46">
        <f>+'فرع الرواد'!W35</f>
        <v>0</v>
      </c>
      <c r="X128" s="46">
        <f>+'فرع الرواد'!X35</f>
        <v>0</v>
      </c>
      <c r="Y128" s="46">
        <f>+'فرع الرواد'!Y35</f>
        <v>0</v>
      </c>
      <c r="Z128" s="46">
        <f>+'فرع الرواد'!Z35</f>
        <v>0</v>
      </c>
      <c r="AA128" s="46">
        <f>+'فرع الرواد'!AA35</f>
        <v>0</v>
      </c>
      <c r="AB128" s="46">
        <f>+'فرع الرواد'!AB35</f>
        <v>0</v>
      </c>
      <c r="AC128" s="46">
        <f>+'فرع الرواد'!AC35</f>
        <v>0</v>
      </c>
      <c r="AD128" s="46">
        <f>+'فرع الرواد'!AD35</f>
        <v>0</v>
      </c>
      <c r="AE128" s="46">
        <f>+'فرع الرواد'!AE35</f>
        <v>0</v>
      </c>
      <c r="AF128" s="46">
        <f>+'فرع الرواد'!AF35</f>
        <v>0</v>
      </c>
      <c r="AG128" s="46">
        <f>+'فرع الرواد'!AG35</f>
        <v>0</v>
      </c>
      <c r="AH128" s="46">
        <f>+'فرع الرواد'!AH35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+'فرع الرواد'!A36</f>
        <v>0</v>
      </c>
      <c r="B132" s="44">
        <f>+'فرع الرواد'!B36</f>
        <v>0</v>
      </c>
      <c r="C132" s="45">
        <f>+'فرع الرواد'!C36</f>
        <v>0</v>
      </c>
      <c r="D132" s="45">
        <f>+'فرع الرواد'!D36</f>
        <v>0</v>
      </c>
      <c r="E132" s="45">
        <f>+'فرع الرواد'!E36</f>
        <v>0</v>
      </c>
      <c r="F132" s="46">
        <f>+'فرع الرواد'!F36</f>
        <v>0</v>
      </c>
      <c r="G132" s="46">
        <f>+'فرع الرواد'!G36</f>
        <v>0</v>
      </c>
      <c r="H132" s="46">
        <f>+'فرع الرواد'!H36</f>
        <v>0</v>
      </c>
      <c r="I132" s="46">
        <f>+'فرع الرواد'!I36</f>
        <v>0</v>
      </c>
      <c r="J132" s="46">
        <f>+'فرع الرواد'!J36</f>
        <v>0</v>
      </c>
      <c r="K132" s="46">
        <f>+'فرع الرواد'!K36</f>
        <v>0</v>
      </c>
      <c r="L132" s="46">
        <f>+'فرع الرواد'!L36</f>
        <v>0</v>
      </c>
      <c r="M132" s="46">
        <f>+'فرع الرواد'!M36</f>
        <v>0</v>
      </c>
      <c r="N132" s="46">
        <f>+'فرع الرواد'!N36</f>
        <v>0</v>
      </c>
      <c r="O132" s="46">
        <f>+'فرع الرواد'!O36</f>
        <v>0</v>
      </c>
      <c r="P132" s="46">
        <f>+'فرع الرواد'!P36</f>
        <v>0</v>
      </c>
      <c r="Q132" s="46">
        <f>+'فرع الرواد'!Q36</f>
        <v>0</v>
      </c>
      <c r="R132" s="47">
        <f>+'فرع الرواد'!R36</f>
        <v>0</v>
      </c>
      <c r="S132" s="47">
        <f>+'فرع الرواد'!S36</f>
        <v>0</v>
      </c>
      <c r="T132" s="46">
        <f>+'فرع الرواد'!T36</f>
        <v>0</v>
      </c>
      <c r="U132" s="46">
        <f>+'فرع الرواد'!U36</f>
        <v>0</v>
      </c>
      <c r="V132" s="46">
        <f>+'فرع الرواد'!V36</f>
        <v>0</v>
      </c>
      <c r="W132" s="46">
        <f>+'فرع الرواد'!W36</f>
        <v>0</v>
      </c>
      <c r="X132" s="46">
        <f>+'فرع الرواد'!X36</f>
        <v>0</v>
      </c>
      <c r="Y132" s="46">
        <f>+'فرع الرواد'!Y36</f>
        <v>0</v>
      </c>
      <c r="Z132" s="46">
        <f>+'فرع الرواد'!Z36</f>
        <v>0</v>
      </c>
      <c r="AA132" s="46">
        <f>+'فرع الرواد'!AA36</f>
        <v>0</v>
      </c>
      <c r="AB132" s="46">
        <f>+'فرع الرواد'!AB36</f>
        <v>0</v>
      </c>
      <c r="AC132" s="46">
        <f>+'فرع الرواد'!AC36</f>
        <v>0</v>
      </c>
      <c r="AD132" s="46">
        <f>+'فرع الرواد'!AD36</f>
        <v>0</v>
      </c>
      <c r="AE132" s="46">
        <f>+'فرع الرواد'!AE36</f>
        <v>0</v>
      </c>
      <c r="AF132" s="46">
        <f>+'فرع الرواد'!AF36</f>
        <v>0</v>
      </c>
      <c r="AG132" s="46">
        <f>+'فرع الرواد'!AG36</f>
        <v>0</v>
      </c>
      <c r="AH132" s="46">
        <f>+'فرع الرواد'!AH36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+'فرع الرواد'!A37</f>
        <v>0</v>
      </c>
      <c r="B136" s="44">
        <f>+'فرع الرواد'!B37</f>
        <v>0</v>
      </c>
      <c r="C136" s="45">
        <f>+'فرع الرواد'!C37</f>
        <v>0</v>
      </c>
      <c r="D136" s="45">
        <f>+'فرع الرواد'!D37</f>
        <v>0</v>
      </c>
      <c r="E136" s="45">
        <f>+'فرع الرواد'!E37</f>
        <v>0</v>
      </c>
      <c r="F136" s="46">
        <f>+'فرع الرواد'!F37</f>
        <v>0</v>
      </c>
      <c r="G136" s="46">
        <f>+'فرع الرواد'!G37</f>
        <v>0</v>
      </c>
      <c r="H136" s="46">
        <f>+'فرع الرواد'!H37</f>
        <v>0</v>
      </c>
      <c r="I136" s="46">
        <f>+'فرع الرواد'!I37</f>
        <v>0</v>
      </c>
      <c r="J136" s="46">
        <f>+'فرع الرواد'!J37</f>
        <v>0</v>
      </c>
      <c r="K136" s="46">
        <f>+'فرع الرواد'!K37</f>
        <v>0</v>
      </c>
      <c r="L136" s="46">
        <f>+'فرع الرواد'!L37</f>
        <v>0</v>
      </c>
      <c r="M136" s="46">
        <f>+'فرع الرواد'!M37</f>
        <v>0</v>
      </c>
      <c r="N136" s="46">
        <f>+'فرع الرواد'!N37</f>
        <v>0</v>
      </c>
      <c r="O136" s="46">
        <f>+'فرع الرواد'!O37</f>
        <v>0</v>
      </c>
      <c r="P136" s="46">
        <f>+'فرع الرواد'!P37</f>
        <v>0</v>
      </c>
      <c r="Q136" s="46">
        <f>+'فرع الرواد'!Q37</f>
        <v>0</v>
      </c>
      <c r="R136" s="47">
        <f>+'فرع الرواد'!R37</f>
        <v>0</v>
      </c>
      <c r="S136" s="47">
        <f>+'فرع الرواد'!S37</f>
        <v>0</v>
      </c>
      <c r="T136" s="46">
        <f>+'فرع الرواد'!T37</f>
        <v>0</v>
      </c>
      <c r="U136" s="46">
        <f>+'فرع الرواد'!U37</f>
        <v>0</v>
      </c>
      <c r="V136" s="46">
        <f>+'فرع الرواد'!V37</f>
        <v>0</v>
      </c>
      <c r="W136" s="46">
        <f>+'فرع الرواد'!W37</f>
        <v>0</v>
      </c>
      <c r="X136" s="46">
        <f>+'فرع الرواد'!X37</f>
        <v>0</v>
      </c>
      <c r="Y136" s="46">
        <f>+'فرع الرواد'!Y37</f>
        <v>0</v>
      </c>
      <c r="Z136" s="46">
        <f>+'فرع الرواد'!Z37</f>
        <v>0</v>
      </c>
      <c r="AA136" s="46">
        <f>+'فرع الرواد'!AA37</f>
        <v>0</v>
      </c>
      <c r="AB136" s="46">
        <f>+'فرع الرواد'!AB37</f>
        <v>0</v>
      </c>
      <c r="AC136" s="46">
        <f>+'فرع الرواد'!AC37</f>
        <v>0</v>
      </c>
      <c r="AD136" s="46">
        <f>+'فرع الرواد'!AD37</f>
        <v>0</v>
      </c>
      <c r="AE136" s="46">
        <f>+'فرع الرواد'!AE37</f>
        <v>0</v>
      </c>
      <c r="AF136" s="46">
        <f>+'فرع الرواد'!AF37</f>
        <v>0</v>
      </c>
      <c r="AG136" s="46">
        <f>+'فرع الرواد'!AG37</f>
        <v>0</v>
      </c>
      <c r="AH136" s="46">
        <f>+'فرع الرواد'!AH37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+'فرع الرواد'!A38</f>
        <v>0</v>
      </c>
      <c r="B140" s="44">
        <f>+'فرع الرواد'!B38</f>
        <v>0</v>
      </c>
      <c r="C140" s="45">
        <f>+'فرع الرواد'!C38</f>
        <v>0</v>
      </c>
      <c r="D140" s="45">
        <f>+'فرع الرواد'!D38</f>
        <v>0</v>
      </c>
      <c r="E140" s="45">
        <f>+'فرع الرواد'!E38</f>
        <v>0</v>
      </c>
      <c r="F140" s="46">
        <f>+'فرع الرواد'!F38</f>
        <v>0</v>
      </c>
      <c r="G140" s="46">
        <f>+'فرع الرواد'!G38</f>
        <v>0</v>
      </c>
      <c r="H140" s="46">
        <f>+'فرع الرواد'!H38</f>
        <v>0</v>
      </c>
      <c r="I140" s="46">
        <f>+'فرع الرواد'!I38</f>
        <v>0</v>
      </c>
      <c r="J140" s="46">
        <f>+'فرع الرواد'!J38</f>
        <v>0</v>
      </c>
      <c r="K140" s="46">
        <f>+'فرع الرواد'!K38</f>
        <v>0</v>
      </c>
      <c r="L140" s="46">
        <f>+'فرع الرواد'!L38</f>
        <v>0</v>
      </c>
      <c r="M140" s="46">
        <f>+'فرع الرواد'!M38</f>
        <v>0</v>
      </c>
      <c r="N140" s="46">
        <f>+'فرع الرواد'!N38</f>
        <v>0</v>
      </c>
      <c r="O140" s="46">
        <f>+'فرع الرواد'!O38</f>
        <v>0</v>
      </c>
      <c r="P140" s="46">
        <f>+'فرع الرواد'!P38</f>
        <v>0</v>
      </c>
      <c r="Q140" s="46">
        <f>+'فرع الرواد'!Q38</f>
        <v>0</v>
      </c>
      <c r="R140" s="47">
        <f>+'فرع الرواد'!R38</f>
        <v>0</v>
      </c>
      <c r="S140" s="47">
        <f>+'فرع الرواد'!S38</f>
        <v>0</v>
      </c>
      <c r="T140" s="46">
        <f>+'فرع الرواد'!T38</f>
        <v>0</v>
      </c>
      <c r="U140" s="46">
        <f>+'فرع الرواد'!U38</f>
        <v>0</v>
      </c>
      <c r="V140" s="46">
        <f>+'فرع الرواد'!V38</f>
        <v>0</v>
      </c>
      <c r="W140" s="46">
        <f>+'فرع الرواد'!W38</f>
        <v>0</v>
      </c>
      <c r="X140" s="46">
        <f>+'فرع الرواد'!X38</f>
        <v>0</v>
      </c>
      <c r="Y140" s="46">
        <f>+'فرع الرواد'!Y38</f>
        <v>0</v>
      </c>
      <c r="Z140" s="46">
        <f>+'فرع الرواد'!Z38</f>
        <v>0</v>
      </c>
      <c r="AA140" s="46">
        <f>+'فرع الرواد'!AA38</f>
        <v>0</v>
      </c>
      <c r="AB140" s="46">
        <f>+'فرع الرواد'!AB38</f>
        <v>0</v>
      </c>
      <c r="AC140" s="46">
        <f>+'فرع الرواد'!AC38</f>
        <v>0</v>
      </c>
      <c r="AD140" s="46">
        <f>+'فرع الرواد'!AD38</f>
        <v>0</v>
      </c>
      <c r="AE140" s="46">
        <f>+'فرع الرواد'!AE38</f>
        <v>0</v>
      </c>
      <c r="AF140" s="46">
        <f>+'فرع الرواد'!AF38</f>
        <v>0</v>
      </c>
      <c r="AG140" s="46">
        <f>+'فرع الرواد'!AG38</f>
        <v>0</v>
      </c>
      <c r="AH140" s="46">
        <f>+'فرع الرواد'!AH38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+'فرع الرواد'!A39</f>
        <v>0</v>
      </c>
      <c r="B144" s="44">
        <f>+'فرع الرواد'!B39</f>
        <v>0</v>
      </c>
      <c r="C144" s="45">
        <f>+'فرع الرواد'!C39</f>
        <v>0</v>
      </c>
      <c r="D144" s="45">
        <f>+'فرع الرواد'!D39</f>
        <v>0</v>
      </c>
      <c r="E144" s="45">
        <f>+'فرع الرواد'!E39</f>
        <v>0</v>
      </c>
      <c r="F144" s="46">
        <f>+'فرع الرواد'!F39</f>
        <v>0</v>
      </c>
      <c r="G144" s="46">
        <f>+'فرع الرواد'!G39</f>
        <v>0</v>
      </c>
      <c r="H144" s="46">
        <f>+'فرع الرواد'!H39</f>
        <v>0</v>
      </c>
      <c r="I144" s="46">
        <f>+'فرع الرواد'!I39</f>
        <v>0</v>
      </c>
      <c r="J144" s="46">
        <f>+'فرع الرواد'!J39</f>
        <v>0</v>
      </c>
      <c r="K144" s="46">
        <f>+'فرع الرواد'!K39</f>
        <v>0</v>
      </c>
      <c r="L144" s="46">
        <f>+'فرع الرواد'!L39</f>
        <v>0</v>
      </c>
      <c r="M144" s="46">
        <f>+'فرع الرواد'!M39</f>
        <v>0</v>
      </c>
      <c r="N144" s="46">
        <f>+'فرع الرواد'!N39</f>
        <v>0</v>
      </c>
      <c r="O144" s="46">
        <f>+'فرع الرواد'!O39</f>
        <v>0</v>
      </c>
      <c r="P144" s="46">
        <f>+'فرع الرواد'!P39</f>
        <v>0</v>
      </c>
      <c r="Q144" s="46">
        <f>+'فرع الرواد'!Q39</f>
        <v>0</v>
      </c>
      <c r="R144" s="47">
        <f>+'فرع الرواد'!R39</f>
        <v>0</v>
      </c>
      <c r="S144" s="47">
        <f>+'فرع الرواد'!S39</f>
        <v>0</v>
      </c>
      <c r="T144" s="46">
        <f>+'فرع الرواد'!T39</f>
        <v>0</v>
      </c>
      <c r="U144" s="46">
        <f>+'فرع الرواد'!U39</f>
        <v>0</v>
      </c>
      <c r="V144" s="46">
        <f>+'فرع الرواد'!V39</f>
        <v>0</v>
      </c>
      <c r="W144" s="46">
        <f>+'فرع الرواد'!W39</f>
        <v>0</v>
      </c>
      <c r="X144" s="46">
        <f>+'فرع الرواد'!X39</f>
        <v>0</v>
      </c>
      <c r="Y144" s="46">
        <f>+'فرع الرواد'!Y39</f>
        <v>0</v>
      </c>
      <c r="Z144" s="46">
        <f>+'فرع الرواد'!Z39</f>
        <v>0</v>
      </c>
      <c r="AA144" s="46">
        <f>+'فرع الرواد'!AA39</f>
        <v>0</v>
      </c>
      <c r="AB144" s="46">
        <f>+'فرع الرواد'!AB39</f>
        <v>0</v>
      </c>
      <c r="AC144" s="46">
        <f>+'فرع الرواد'!AC39</f>
        <v>0</v>
      </c>
      <c r="AD144" s="46">
        <f>+'فرع الرواد'!AD39</f>
        <v>0</v>
      </c>
      <c r="AE144" s="46">
        <f>+'فرع الرواد'!AE39</f>
        <v>0</v>
      </c>
      <c r="AF144" s="46">
        <f>+'فرع الرواد'!AF39</f>
        <v>0</v>
      </c>
      <c r="AG144" s="46">
        <f>+'فرع الرواد'!AG39</f>
        <v>0</v>
      </c>
      <c r="AH144" s="46">
        <f>+'فرع الرواد'!AH39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+'فرع الرواد'!A40</f>
        <v>0</v>
      </c>
      <c r="B148" s="44">
        <f>+'فرع الرواد'!B40</f>
        <v>0</v>
      </c>
      <c r="C148" s="45">
        <f>+'فرع الرواد'!C40</f>
        <v>0</v>
      </c>
      <c r="D148" s="45">
        <f>+'فرع الرواد'!D40</f>
        <v>0</v>
      </c>
      <c r="E148" s="45">
        <f>+'فرع الرواد'!E40</f>
        <v>0</v>
      </c>
      <c r="F148" s="46">
        <f>+'فرع الرواد'!F40</f>
        <v>0</v>
      </c>
      <c r="G148" s="46">
        <f>+'فرع الرواد'!G40</f>
        <v>0</v>
      </c>
      <c r="H148" s="46">
        <f>+'فرع الرواد'!H40</f>
        <v>0</v>
      </c>
      <c r="I148" s="46">
        <f>+'فرع الرواد'!I40</f>
        <v>0</v>
      </c>
      <c r="J148" s="46">
        <f>+'فرع الرواد'!J40</f>
        <v>0</v>
      </c>
      <c r="K148" s="46">
        <f>+'فرع الرواد'!K40</f>
        <v>0</v>
      </c>
      <c r="L148" s="46">
        <f>+'فرع الرواد'!L40</f>
        <v>0</v>
      </c>
      <c r="M148" s="46">
        <f>+'فرع الرواد'!M40</f>
        <v>0</v>
      </c>
      <c r="N148" s="46">
        <f>+'فرع الرواد'!N40</f>
        <v>0</v>
      </c>
      <c r="O148" s="46">
        <f>+'فرع الرواد'!O40</f>
        <v>0</v>
      </c>
      <c r="P148" s="46">
        <f>+'فرع الرواد'!P40</f>
        <v>0</v>
      </c>
      <c r="Q148" s="46">
        <f>+'فرع الرواد'!Q40</f>
        <v>0</v>
      </c>
      <c r="R148" s="47">
        <f>+'فرع الرواد'!R40</f>
        <v>0</v>
      </c>
      <c r="S148" s="47">
        <f>+'فرع الرواد'!S40</f>
        <v>0</v>
      </c>
      <c r="T148" s="46">
        <f>+'فرع الرواد'!T40</f>
        <v>0</v>
      </c>
      <c r="U148" s="46">
        <f>+'فرع الرواد'!U40</f>
        <v>0</v>
      </c>
      <c r="V148" s="46">
        <f>+'فرع الرواد'!V40</f>
        <v>0</v>
      </c>
      <c r="W148" s="46">
        <f>+'فرع الرواد'!W40</f>
        <v>0</v>
      </c>
      <c r="X148" s="46">
        <f>+'فرع الرواد'!X40</f>
        <v>0</v>
      </c>
      <c r="Y148" s="46">
        <f>+'فرع الرواد'!Y40</f>
        <v>0</v>
      </c>
      <c r="Z148" s="46">
        <f>+'فرع الرواد'!Z40</f>
        <v>0</v>
      </c>
      <c r="AA148" s="46">
        <f>+'فرع الرواد'!AA40</f>
        <v>0</v>
      </c>
      <c r="AB148" s="46">
        <f>+'فرع الرواد'!AB40</f>
        <v>0</v>
      </c>
      <c r="AC148" s="46">
        <f>+'فرع الرواد'!AC40</f>
        <v>0</v>
      </c>
      <c r="AD148" s="46">
        <f>+'فرع الرواد'!AD40</f>
        <v>0</v>
      </c>
      <c r="AE148" s="46">
        <f>+'فرع الرواد'!AE40</f>
        <v>0</v>
      </c>
      <c r="AF148" s="46">
        <f>+'فرع الرواد'!AF40</f>
        <v>0</v>
      </c>
      <c r="AG148" s="46">
        <f>+'فرع الرواد'!AG40</f>
        <v>0</v>
      </c>
      <c r="AH148" s="46">
        <f>+'فرع الرواد'!AH40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+'فرع الرواد'!A41</f>
        <v>0</v>
      </c>
      <c r="B152" s="44">
        <f>+'فرع الرواد'!B41</f>
        <v>0</v>
      </c>
      <c r="C152" s="45">
        <f>+'فرع الرواد'!C41</f>
        <v>0</v>
      </c>
      <c r="D152" s="45">
        <f>+'فرع الرواد'!D41</f>
        <v>0</v>
      </c>
      <c r="E152" s="45">
        <f>+'فرع الرواد'!E41</f>
        <v>0</v>
      </c>
      <c r="F152" s="46">
        <f>+'فرع الرواد'!F41</f>
        <v>0</v>
      </c>
      <c r="G152" s="46">
        <f>+'فرع الرواد'!G41</f>
        <v>0</v>
      </c>
      <c r="H152" s="46">
        <f>+'فرع الرواد'!H41</f>
        <v>0</v>
      </c>
      <c r="I152" s="46">
        <f>+'فرع الرواد'!I41</f>
        <v>0</v>
      </c>
      <c r="J152" s="46">
        <f>+'فرع الرواد'!J41</f>
        <v>0</v>
      </c>
      <c r="K152" s="46">
        <f>+'فرع الرواد'!K41</f>
        <v>0</v>
      </c>
      <c r="L152" s="46">
        <f>+'فرع الرواد'!L41</f>
        <v>0</v>
      </c>
      <c r="M152" s="46">
        <f>+'فرع الرواد'!M41</f>
        <v>0</v>
      </c>
      <c r="N152" s="46">
        <f>+'فرع الرواد'!N41</f>
        <v>0</v>
      </c>
      <c r="O152" s="46">
        <f>+'فرع الرواد'!O41</f>
        <v>0</v>
      </c>
      <c r="P152" s="46">
        <f>+'فرع الرواد'!P41</f>
        <v>0</v>
      </c>
      <c r="Q152" s="46">
        <f>+'فرع الرواد'!Q41</f>
        <v>0</v>
      </c>
      <c r="R152" s="47">
        <f>+'فرع الرواد'!R41</f>
        <v>0</v>
      </c>
      <c r="S152" s="47">
        <f>+'فرع الرواد'!S41</f>
        <v>0</v>
      </c>
      <c r="T152" s="46">
        <f>+'فرع الرواد'!T41</f>
        <v>0</v>
      </c>
      <c r="U152" s="46">
        <f>+'فرع الرواد'!U41</f>
        <v>0</v>
      </c>
      <c r="V152" s="46">
        <f>+'فرع الرواد'!V41</f>
        <v>0</v>
      </c>
      <c r="W152" s="46">
        <f>+'فرع الرواد'!W41</f>
        <v>0</v>
      </c>
      <c r="X152" s="46">
        <f>+'فرع الرواد'!X41</f>
        <v>0</v>
      </c>
      <c r="Y152" s="46">
        <f>+'فرع الرواد'!Y41</f>
        <v>0</v>
      </c>
      <c r="Z152" s="46">
        <f>+'فرع الرواد'!Z41</f>
        <v>0</v>
      </c>
      <c r="AA152" s="46">
        <f>+'فرع الرواد'!AA41</f>
        <v>0</v>
      </c>
      <c r="AB152" s="46">
        <f>+'فرع الرواد'!AB41</f>
        <v>0</v>
      </c>
      <c r="AC152" s="46">
        <f>+'فرع الرواد'!AC41</f>
        <v>0</v>
      </c>
      <c r="AD152" s="46">
        <f>+'فرع الرواد'!AD41</f>
        <v>0</v>
      </c>
      <c r="AE152" s="46">
        <f>+'فرع الرواد'!AE41</f>
        <v>0</v>
      </c>
      <c r="AF152" s="46">
        <f>+'فرع الرواد'!AF41</f>
        <v>0</v>
      </c>
      <c r="AG152" s="46">
        <f>+'فرع الرواد'!AG41</f>
        <v>0</v>
      </c>
      <c r="AH152" s="46">
        <f>+'فرع الرواد'!AH41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+'فرع الرواد'!A42</f>
        <v>0</v>
      </c>
      <c r="B156" s="44">
        <f>+'فرع الرواد'!B42</f>
        <v>0</v>
      </c>
      <c r="C156" s="45">
        <f>+'فرع الرواد'!C42</f>
        <v>0</v>
      </c>
      <c r="D156" s="45">
        <f>+'فرع الرواد'!D42</f>
        <v>0</v>
      </c>
      <c r="E156" s="45">
        <f>+'فرع الرواد'!E42</f>
        <v>0</v>
      </c>
      <c r="F156" s="46">
        <f>'فرع الرواد'!F42</f>
        <v>0</v>
      </c>
      <c r="G156" s="46">
        <f>'فرع الرواد'!G42</f>
        <v>0</v>
      </c>
      <c r="H156" s="46">
        <f>'فرع الرواد'!H42</f>
        <v>0</v>
      </c>
      <c r="I156" s="46">
        <f>'فرع الرواد'!I42</f>
        <v>0</v>
      </c>
      <c r="J156" s="46">
        <f>'فرع الرواد'!J42</f>
        <v>0</v>
      </c>
      <c r="K156" s="46">
        <f>'فرع الرواد'!K42</f>
        <v>0</v>
      </c>
      <c r="L156" s="46">
        <f>'فرع الرواد'!L42</f>
        <v>0</v>
      </c>
      <c r="M156" s="46">
        <f>'فرع الرواد'!M42</f>
        <v>0</v>
      </c>
      <c r="N156" s="46">
        <f>'فرع الرواد'!N42</f>
        <v>0</v>
      </c>
      <c r="O156" s="46">
        <f>'فرع الرواد'!O42</f>
        <v>0</v>
      </c>
      <c r="P156" s="46">
        <f>'فرع الرواد'!P42</f>
        <v>0</v>
      </c>
      <c r="Q156" s="46">
        <f>'فرع الرواد'!Q42</f>
        <v>0</v>
      </c>
      <c r="R156" s="47">
        <f>'فرع الرواد'!R42</f>
        <v>0</v>
      </c>
      <c r="S156" s="47">
        <f>'فرع الرواد'!S42</f>
        <v>0</v>
      </c>
      <c r="T156" s="46">
        <f>'فرع الرواد'!T42</f>
        <v>0</v>
      </c>
      <c r="U156" s="46">
        <f>'فرع الرواد'!U42</f>
        <v>0</v>
      </c>
      <c r="V156" s="46">
        <f>'فرع الرواد'!V42</f>
        <v>0</v>
      </c>
      <c r="W156" s="46">
        <f>'فرع الرواد'!W42</f>
        <v>0</v>
      </c>
      <c r="X156" s="46">
        <f>'فرع الرواد'!X42</f>
        <v>0</v>
      </c>
      <c r="Y156" s="46">
        <f>'فرع الرواد'!Y42</f>
        <v>0</v>
      </c>
      <c r="Z156" s="46">
        <f>'فرع الرواد'!Z42</f>
        <v>0</v>
      </c>
      <c r="AA156" s="46">
        <f>'فرع الرواد'!AA42</f>
        <v>0</v>
      </c>
      <c r="AB156" s="46">
        <f>'فرع الرواد'!AB42</f>
        <v>0</v>
      </c>
      <c r="AC156" s="46">
        <f>'فرع الرواد'!AC42</f>
        <v>0</v>
      </c>
      <c r="AD156" s="46">
        <f>'فرع الرواد'!AD42</f>
        <v>0</v>
      </c>
      <c r="AE156" s="46">
        <f>'فرع الرواد'!AE42</f>
        <v>0</v>
      </c>
      <c r="AF156" s="46">
        <f>'فرع الرواد'!AF42</f>
        <v>0</v>
      </c>
      <c r="AG156" s="46">
        <f>'فرع الرواد'!AG42</f>
        <v>0</v>
      </c>
      <c r="AH156" s="46">
        <f>'فرع الرواد'!AH42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+'فرع الرواد'!A43</f>
        <v>0</v>
      </c>
      <c r="B160" s="44">
        <f>+'فرع الرواد'!B43</f>
        <v>0</v>
      </c>
      <c r="C160" s="45">
        <f>+'فرع الرواد'!C43</f>
        <v>0</v>
      </c>
      <c r="D160" s="45">
        <f>+'فرع الرواد'!D43</f>
        <v>0</v>
      </c>
      <c r="E160" s="45">
        <f>+'فرع الرواد'!E43</f>
        <v>0</v>
      </c>
      <c r="F160" s="46">
        <f>'فرع الرواد'!F43</f>
        <v>0</v>
      </c>
      <c r="G160" s="46">
        <f>'فرع الرواد'!G43</f>
        <v>0</v>
      </c>
      <c r="H160" s="46">
        <f>'فرع الرواد'!H43</f>
        <v>0</v>
      </c>
      <c r="I160" s="46">
        <f>'فرع الرواد'!I43</f>
        <v>0</v>
      </c>
      <c r="J160" s="46">
        <f>'فرع الرواد'!J43</f>
        <v>0</v>
      </c>
      <c r="K160" s="46">
        <f>'فرع الرواد'!K43</f>
        <v>0</v>
      </c>
      <c r="L160" s="46">
        <f>'فرع الرواد'!L43</f>
        <v>0</v>
      </c>
      <c r="M160" s="46">
        <f>'فرع الرواد'!M43</f>
        <v>0</v>
      </c>
      <c r="N160" s="46">
        <f>'فرع الرواد'!N43</f>
        <v>0</v>
      </c>
      <c r="O160" s="46">
        <f>'فرع الرواد'!O43</f>
        <v>0</v>
      </c>
      <c r="P160" s="46">
        <f>'فرع الرواد'!P43</f>
        <v>0</v>
      </c>
      <c r="Q160" s="46">
        <f>'فرع الرواد'!Q43</f>
        <v>0</v>
      </c>
      <c r="R160" s="47">
        <f>'فرع الرواد'!R43</f>
        <v>0</v>
      </c>
      <c r="S160" s="47">
        <f>'فرع الرواد'!S43</f>
        <v>0</v>
      </c>
      <c r="T160" s="46">
        <f>'فرع الرواد'!T43</f>
        <v>0</v>
      </c>
      <c r="U160" s="46">
        <f>'فرع الرواد'!U43</f>
        <v>0</v>
      </c>
      <c r="V160" s="46">
        <f>'فرع الرواد'!V43</f>
        <v>0</v>
      </c>
      <c r="W160" s="46">
        <f>'فرع الرواد'!W43</f>
        <v>0</v>
      </c>
      <c r="X160" s="46">
        <f>'فرع الرواد'!X43</f>
        <v>0</v>
      </c>
      <c r="Y160" s="46">
        <f>'فرع الرواد'!Y43</f>
        <v>0</v>
      </c>
      <c r="Z160" s="46">
        <f>'فرع الرواد'!Z43</f>
        <v>0</v>
      </c>
      <c r="AA160" s="46">
        <f>'فرع الرواد'!AA43</f>
        <v>0</v>
      </c>
      <c r="AB160" s="46">
        <f>'فرع الرواد'!AB43</f>
        <v>0</v>
      </c>
      <c r="AC160" s="46">
        <f>'فرع الرواد'!AC43</f>
        <v>0</v>
      </c>
      <c r="AD160" s="46">
        <f>'فرع الرواد'!AD43</f>
        <v>0</v>
      </c>
      <c r="AE160" s="46">
        <f>'فرع الرواد'!AE43</f>
        <v>0</v>
      </c>
      <c r="AF160" s="46">
        <f>'فرع الرواد'!AF43</f>
        <v>0</v>
      </c>
      <c r="AG160" s="46">
        <f>'فرع الرواد'!AG43</f>
        <v>0</v>
      </c>
      <c r="AH160" s="46">
        <f>'فرع الرواد'!AH43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+'فرع الرواد'!A44</f>
        <v>0</v>
      </c>
      <c r="B164" s="44">
        <f>+'فرع الرواد'!B44</f>
        <v>0</v>
      </c>
      <c r="C164" s="45">
        <f>+'فرع الرواد'!C44</f>
        <v>0</v>
      </c>
      <c r="D164" s="45">
        <f>+'فرع الرواد'!D44</f>
        <v>0</v>
      </c>
      <c r="E164" s="45">
        <f>+'فرع الرواد'!E44</f>
        <v>0</v>
      </c>
      <c r="F164" s="46">
        <f>'فرع الرواد'!F44</f>
        <v>0</v>
      </c>
      <c r="G164" s="46">
        <f>'فرع الرواد'!G44</f>
        <v>0</v>
      </c>
      <c r="H164" s="46">
        <f>'فرع الرواد'!H44</f>
        <v>0</v>
      </c>
      <c r="I164" s="46">
        <f>'فرع الرواد'!I44</f>
        <v>0</v>
      </c>
      <c r="J164" s="46">
        <f>'فرع الرواد'!J44</f>
        <v>0</v>
      </c>
      <c r="K164" s="46">
        <f>'فرع الرواد'!K44</f>
        <v>0</v>
      </c>
      <c r="L164" s="46">
        <f>'فرع الرواد'!L44</f>
        <v>0</v>
      </c>
      <c r="M164" s="46">
        <f>'فرع الرواد'!M44</f>
        <v>0</v>
      </c>
      <c r="N164" s="46">
        <f>'فرع الرواد'!N44</f>
        <v>0</v>
      </c>
      <c r="O164" s="46">
        <f>'فرع الرواد'!O44</f>
        <v>0</v>
      </c>
      <c r="P164" s="46">
        <f>'فرع الرواد'!P44</f>
        <v>0</v>
      </c>
      <c r="Q164" s="46">
        <f>'فرع الرواد'!Q44</f>
        <v>0</v>
      </c>
      <c r="R164" s="47">
        <f>'فرع الرواد'!R44</f>
        <v>0</v>
      </c>
      <c r="S164" s="47">
        <f>'فرع الرواد'!S44</f>
        <v>0</v>
      </c>
      <c r="T164" s="46">
        <f>'فرع الرواد'!T44</f>
        <v>0</v>
      </c>
      <c r="U164" s="46">
        <f>'فرع الرواد'!U44</f>
        <v>0</v>
      </c>
      <c r="V164" s="46">
        <f>'فرع الرواد'!V44</f>
        <v>0</v>
      </c>
      <c r="W164" s="46">
        <f>'فرع الرواد'!W44</f>
        <v>0</v>
      </c>
      <c r="X164" s="46">
        <f>'فرع الرواد'!X44</f>
        <v>0</v>
      </c>
      <c r="Y164" s="46">
        <f>'فرع الرواد'!Y44</f>
        <v>0</v>
      </c>
      <c r="Z164" s="46">
        <f>'فرع الرواد'!Z44</f>
        <v>0</v>
      </c>
      <c r="AA164" s="46">
        <f>'فرع الرواد'!AA44</f>
        <v>0</v>
      </c>
      <c r="AB164" s="46">
        <f>'فرع الرواد'!AB44</f>
        <v>0</v>
      </c>
      <c r="AC164" s="46">
        <f>'فرع الرواد'!AC44</f>
        <v>0</v>
      </c>
      <c r="AD164" s="46">
        <f>'فرع الرواد'!AD44</f>
        <v>0</v>
      </c>
      <c r="AE164" s="46">
        <f>'فرع الرواد'!AE44</f>
        <v>0</v>
      </c>
      <c r="AF164" s="46">
        <f>'فرع الرواد'!AF44</f>
        <v>0</v>
      </c>
      <c r="AG164" s="46">
        <f>'فرع الرواد'!AG44</f>
        <v>0</v>
      </c>
      <c r="AH164" s="46">
        <f>'فرع الرواد'!AH44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+'فرع الرواد'!A45</f>
        <v>0</v>
      </c>
      <c r="B168" s="44">
        <f>+'فرع الرواد'!B45</f>
        <v>0</v>
      </c>
      <c r="C168" s="45">
        <f>+'فرع الرواد'!C45</f>
        <v>0</v>
      </c>
      <c r="D168" s="45">
        <f>+'فرع الرواد'!D45</f>
        <v>0</v>
      </c>
      <c r="E168" s="45">
        <f>+'فرع الرواد'!E45</f>
        <v>0</v>
      </c>
      <c r="F168" s="46">
        <f>'فرع الرواد'!F45</f>
        <v>0</v>
      </c>
      <c r="G168" s="46">
        <f>'فرع الرواد'!G45</f>
        <v>0</v>
      </c>
      <c r="H168" s="46">
        <f>'فرع الرواد'!H45</f>
        <v>0</v>
      </c>
      <c r="I168" s="46">
        <f>'فرع الرواد'!I45</f>
        <v>0</v>
      </c>
      <c r="J168" s="46">
        <f>'فرع الرواد'!J45</f>
        <v>0</v>
      </c>
      <c r="K168" s="46">
        <f>'فرع الرواد'!K45</f>
        <v>0</v>
      </c>
      <c r="L168" s="46">
        <f>'فرع الرواد'!L45</f>
        <v>0</v>
      </c>
      <c r="M168" s="46">
        <f>'فرع الرواد'!M45</f>
        <v>0</v>
      </c>
      <c r="N168" s="46">
        <f>'فرع الرواد'!N45</f>
        <v>0</v>
      </c>
      <c r="O168" s="46">
        <f>'فرع الرواد'!O45</f>
        <v>0</v>
      </c>
      <c r="P168" s="46">
        <f>'فرع الرواد'!P45</f>
        <v>0</v>
      </c>
      <c r="Q168" s="46">
        <f>'فرع الرواد'!Q45</f>
        <v>0</v>
      </c>
      <c r="R168" s="47">
        <f>'فرع الرواد'!R45</f>
        <v>0</v>
      </c>
      <c r="S168" s="47">
        <f>'فرع الرواد'!S45</f>
        <v>0</v>
      </c>
      <c r="T168" s="46">
        <f>'فرع الرواد'!T45</f>
        <v>0</v>
      </c>
      <c r="U168" s="46">
        <f>'فرع الرواد'!U45</f>
        <v>0</v>
      </c>
      <c r="V168" s="46">
        <f>'فرع الرواد'!V45</f>
        <v>0</v>
      </c>
      <c r="W168" s="46">
        <f>'فرع الرواد'!W45</f>
        <v>0</v>
      </c>
      <c r="X168" s="46">
        <f>'فرع الرواد'!X45</f>
        <v>0</v>
      </c>
      <c r="Y168" s="46">
        <f>'فرع الرواد'!Y45</f>
        <v>0</v>
      </c>
      <c r="Z168" s="46">
        <f>'فرع الرواد'!Z45</f>
        <v>0</v>
      </c>
      <c r="AA168" s="46">
        <f>'فرع الرواد'!AA45</f>
        <v>0</v>
      </c>
      <c r="AB168" s="46">
        <f>'فرع الرواد'!AB45</f>
        <v>0</v>
      </c>
      <c r="AC168" s="46">
        <f>'فرع الرواد'!AC45</f>
        <v>0</v>
      </c>
      <c r="AD168" s="46">
        <f>'فرع الرواد'!AD45</f>
        <v>0</v>
      </c>
      <c r="AE168" s="46">
        <f>'فرع الرواد'!AE45</f>
        <v>0</v>
      </c>
      <c r="AF168" s="46">
        <f>'فرع الرواد'!AF45</f>
        <v>0</v>
      </c>
      <c r="AG168" s="46">
        <f>'فرع الرواد'!AG45</f>
        <v>0</v>
      </c>
      <c r="AH168" s="46">
        <f>'فرع الرواد'!AH45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+'فرع الرواد'!A46</f>
        <v>0</v>
      </c>
      <c r="B172" s="44">
        <f>+'فرع الرواد'!B46</f>
        <v>0</v>
      </c>
      <c r="C172" s="45">
        <f>+'فرع الرواد'!C46</f>
        <v>0</v>
      </c>
      <c r="D172" s="45">
        <f>+'فرع الرواد'!D46</f>
        <v>0</v>
      </c>
      <c r="E172" s="45">
        <f>+'فرع الرواد'!E46</f>
        <v>0</v>
      </c>
      <c r="F172" s="46">
        <f>'فرع الرواد'!F46</f>
        <v>0</v>
      </c>
      <c r="G172" s="46">
        <f>'فرع الرواد'!G46</f>
        <v>0</v>
      </c>
      <c r="H172" s="46">
        <f>'فرع الرواد'!H46</f>
        <v>0</v>
      </c>
      <c r="I172" s="46">
        <f>'فرع الرواد'!I46</f>
        <v>0</v>
      </c>
      <c r="J172" s="46">
        <f>'فرع الرواد'!J46</f>
        <v>0</v>
      </c>
      <c r="K172" s="46">
        <f>'فرع الرواد'!K46</f>
        <v>0</v>
      </c>
      <c r="L172" s="46">
        <f>'فرع الرواد'!L46</f>
        <v>0</v>
      </c>
      <c r="M172" s="46">
        <f>'فرع الرواد'!M46</f>
        <v>0</v>
      </c>
      <c r="N172" s="46">
        <f>'فرع الرواد'!N46</f>
        <v>0</v>
      </c>
      <c r="O172" s="46">
        <f>'فرع الرواد'!O46</f>
        <v>0</v>
      </c>
      <c r="P172" s="46">
        <f>'فرع الرواد'!P46</f>
        <v>0</v>
      </c>
      <c r="Q172" s="46">
        <f>'فرع الرواد'!Q46</f>
        <v>0</v>
      </c>
      <c r="R172" s="47">
        <f>'فرع الرواد'!R46</f>
        <v>0</v>
      </c>
      <c r="S172" s="47"/>
      <c r="T172" s="46">
        <f>'فرع الرواد'!T46</f>
        <v>0</v>
      </c>
      <c r="U172" s="46">
        <f>'فرع الرواد'!U46</f>
        <v>0</v>
      </c>
      <c r="V172" s="46">
        <f>'فرع الرواد'!V46</f>
        <v>0</v>
      </c>
      <c r="W172" s="46">
        <f>'فرع الرواد'!W46</f>
        <v>0</v>
      </c>
      <c r="X172" s="46">
        <f>'فرع الرواد'!X46</f>
        <v>0</v>
      </c>
      <c r="Y172" s="46">
        <f>'فرع الرواد'!Y46</f>
        <v>0</v>
      </c>
      <c r="Z172" s="46">
        <f>'فرع الرواد'!Z46</f>
        <v>0</v>
      </c>
      <c r="AA172" s="46">
        <f>'فرع الرواد'!AA46</f>
        <v>0</v>
      </c>
      <c r="AB172" s="46">
        <f>'فرع الرواد'!AB46</f>
        <v>0</v>
      </c>
      <c r="AC172" s="46">
        <f>'فرع الرواد'!AC46</f>
        <v>0</v>
      </c>
      <c r="AD172" s="46">
        <f>'فرع الرواد'!AD46</f>
        <v>0</v>
      </c>
      <c r="AE172" s="46">
        <f>'فرع الرواد'!AE46</f>
        <v>0</v>
      </c>
      <c r="AF172" s="46">
        <f>'فرع الرواد'!AF46</f>
        <v>0</v>
      </c>
      <c r="AG172" s="46">
        <f>'فرع الرواد'!AG46</f>
        <v>0</v>
      </c>
      <c r="AH172" s="46">
        <f>'فرع الرواد'!AH46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+'فرع الرواد'!A47</f>
        <v>0</v>
      </c>
      <c r="B176" s="44">
        <f>+'فرع الرواد'!B47</f>
        <v>0</v>
      </c>
      <c r="C176" s="45">
        <f>+'فرع الرواد'!C47</f>
        <v>0</v>
      </c>
      <c r="D176" s="45">
        <f>+'فرع الرواد'!D47</f>
        <v>0</v>
      </c>
      <c r="E176" s="45">
        <f>+'فرع الرواد'!E47</f>
        <v>0</v>
      </c>
      <c r="F176" s="46">
        <f>'فرع الرواد'!F47</f>
        <v>0</v>
      </c>
      <c r="G176" s="46">
        <f>'فرع الرواد'!G47</f>
        <v>0</v>
      </c>
      <c r="H176" s="46">
        <f>'فرع الرواد'!H47</f>
        <v>0</v>
      </c>
      <c r="I176" s="46">
        <f>'فرع الرواد'!I47</f>
        <v>0</v>
      </c>
      <c r="J176" s="46">
        <f>'فرع الرواد'!J47</f>
        <v>0</v>
      </c>
      <c r="K176" s="46">
        <f>'فرع الرواد'!K47</f>
        <v>0</v>
      </c>
      <c r="L176" s="46">
        <f>'فرع الرواد'!L47</f>
        <v>0</v>
      </c>
      <c r="M176" s="46">
        <f>'فرع الرواد'!M47</f>
        <v>0</v>
      </c>
      <c r="N176" s="46">
        <f>'فرع الرواد'!N47</f>
        <v>0</v>
      </c>
      <c r="O176" s="46">
        <f>'فرع الرواد'!O47</f>
        <v>0</v>
      </c>
      <c r="P176" s="46">
        <f>'فرع الرواد'!P47</f>
        <v>0</v>
      </c>
      <c r="Q176" s="46">
        <f>'فرع الرواد'!Q47</f>
        <v>0</v>
      </c>
      <c r="R176" s="47">
        <f>'فرع الرواد'!R47</f>
        <v>0</v>
      </c>
      <c r="S176" s="47">
        <f>'فرع الرواد'!S47</f>
        <v>0</v>
      </c>
      <c r="T176" s="46">
        <f>'فرع الرواد'!T47</f>
        <v>0</v>
      </c>
      <c r="U176" s="46">
        <f>'فرع الرواد'!U47</f>
        <v>0</v>
      </c>
      <c r="V176" s="46">
        <f>'فرع الرواد'!V47</f>
        <v>0</v>
      </c>
      <c r="W176" s="46">
        <f>'فرع الرواد'!W47</f>
        <v>0</v>
      </c>
      <c r="X176" s="46">
        <f>'فرع الرواد'!X47</f>
        <v>0</v>
      </c>
      <c r="Y176" s="46">
        <f>'فرع الرواد'!Y47</f>
        <v>0</v>
      </c>
      <c r="Z176" s="46">
        <f>'فرع الرواد'!Z47</f>
        <v>0</v>
      </c>
      <c r="AA176" s="46">
        <f>'فرع الرواد'!AA47</f>
        <v>0</v>
      </c>
      <c r="AB176" s="46">
        <f>'فرع الرواد'!AB47</f>
        <v>0</v>
      </c>
      <c r="AC176" s="46">
        <f>'فرع الرواد'!AC47</f>
        <v>0</v>
      </c>
      <c r="AD176" s="46">
        <f>'فرع الرواد'!AD47</f>
        <v>0</v>
      </c>
      <c r="AE176" s="46">
        <f>'فرع الرواد'!AE47</f>
        <v>0</v>
      </c>
      <c r="AF176" s="46">
        <f>'فرع الرواد'!AF47</f>
        <v>0</v>
      </c>
      <c r="AG176" s="46">
        <f>'فرع الرواد'!AG47</f>
        <v>0</v>
      </c>
      <c r="AH176" s="46">
        <f>'فرع الرواد'!AH47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+'فرع الرواد'!A48</f>
        <v>0</v>
      </c>
      <c r="B180" s="44">
        <f>+'فرع الرواد'!B48</f>
        <v>0</v>
      </c>
      <c r="C180" s="45">
        <f>+'فرع الرواد'!C48</f>
        <v>0</v>
      </c>
      <c r="D180" s="45">
        <f>+'فرع الرواد'!D48</f>
        <v>0</v>
      </c>
      <c r="E180" s="45">
        <f>+'فرع الرواد'!E48</f>
        <v>0</v>
      </c>
      <c r="F180" s="46">
        <f>'فرع الرواد'!F48</f>
        <v>0</v>
      </c>
      <c r="G180" s="46">
        <f>'فرع الرواد'!G48</f>
        <v>0</v>
      </c>
      <c r="H180" s="46">
        <f>'فرع الرواد'!H48</f>
        <v>0</v>
      </c>
      <c r="I180" s="46">
        <f>'فرع الرواد'!I48</f>
        <v>0</v>
      </c>
      <c r="J180" s="46">
        <f>'فرع الرواد'!J48</f>
        <v>0</v>
      </c>
      <c r="K180" s="46">
        <f>'فرع الرواد'!K48</f>
        <v>0</v>
      </c>
      <c r="L180" s="46">
        <f>'فرع الرواد'!L48</f>
        <v>0</v>
      </c>
      <c r="M180" s="46">
        <f>'فرع الرواد'!M48</f>
        <v>0</v>
      </c>
      <c r="N180" s="46">
        <f>'فرع الرواد'!N48</f>
        <v>0</v>
      </c>
      <c r="O180" s="46">
        <f>'فرع الرواد'!O48</f>
        <v>0</v>
      </c>
      <c r="P180" s="46">
        <f>'فرع الرواد'!P48</f>
        <v>0</v>
      </c>
      <c r="Q180" s="46">
        <f>'فرع الرواد'!Q48</f>
        <v>0</v>
      </c>
      <c r="R180" s="47">
        <f>'فرع الرواد'!R48</f>
        <v>0</v>
      </c>
      <c r="S180" s="47">
        <f>'فرع الرواد'!S48</f>
        <v>0</v>
      </c>
      <c r="T180" s="46">
        <f>'فرع الرواد'!T48</f>
        <v>0</v>
      </c>
      <c r="U180" s="46">
        <f>'فرع الرواد'!U48</f>
        <v>0</v>
      </c>
      <c r="V180" s="46">
        <f>'فرع الرواد'!V48</f>
        <v>0</v>
      </c>
      <c r="W180" s="46">
        <f>'فرع الرواد'!W48</f>
        <v>0</v>
      </c>
      <c r="X180" s="46">
        <f>'فرع الرواد'!X48</f>
        <v>0</v>
      </c>
      <c r="Y180" s="46">
        <f>'فرع الرواد'!Y48</f>
        <v>0</v>
      </c>
      <c r="Z180" s="46">
        <f>'فرع الرواد'!Z48</f>
        <v>0</v>
      </c>
      <c r="AA180" s="46">
        <f>'فرع الرواد'!AA48</f>
        <v>0</v>
      </c>
      <c r="AB180" s="46">
        <f>'فرع الرواد'!AB48</f>
        <v>0</v>
      </c>
      <c r="AC180" s="46">
        <f>'فرع الرواد'!AC48</f>
        <v>0</v>
      </c>
      <c r="AD180" s="46">
        <f>'فرع الرواد'!AD48</f>
        <v>0</v>
      </c>
      <c r="AE180" s="46">
        <f>'فرع الرواد'!AE48</f>
        <v>0</v>
      </c>
      <c r="AF180" s="46">
        <f>'فرع الرواد'!AF48</f>
        <v>0</v>
      </c>
      <c r="AG180" s="46">
        <f>'فرع الرواد'!AG48</f>
        <v>0</v>
      </c>
      <c r="AH180" s="46">
        <f>'فرع الرواد'!AH48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+'فرع الرواد'!A49</f>
        <v>0</v>
      </c>
      <c r="B184" s="44">
        <f>+'فرع الرواد'!B49</f>
        <v>0</v>
      </c>
      <c r="C184" s="45">
        <f>+'فرع الرواد'!C49</f>
        <v>0</v>
      </c>
      <c r="D184" s="45">
        <f>+'فرع الرواد'!D49</f>
        <v>0</v>
      </c>
      <c r="E184" s="45">
        <f>+'فرع الرواد'!E49</f>
        <v>0</v>
      </c>
      <c r="F184" s="46">
        <f>'فرع الرواد'!F49</f>
        <v>0</v>
      </c>
      <c r="G184" s="46">
        <f>'فرع الرواد'!G49</f>
        <v>0</v>
      </c>
      <c r="H184" s="46">
        <f>'فرع الرواد'!H49</f>
        <v>0</v>
      </c>
      <c r="I184" s="46">
        <f>'فرع الرواد'!I49</f>
        <v>0</v>
      </c>
      <c r="J184" s="46">
        <f>'فرع الرواد'!J49</f>
        <v>0</v>
      </c>
      <c r="K184" s="46">
        <f>'فرع الرواد'!K49</f>
        <v>0</v>
      </c>
      <c r="L184" s="46">
        <f>'فرع الرواد'!L49</f>
        <v>0</v>
      </c>
      <c r="M184" s="46">
        <f>'فرع الرواد'!M49</f>
        <v>0</v>
      </c>
      <c r="N184" s="46">
        <f>'فرع الرواد'!N49</f>
        <v>0</v>
      </c>
      <c r="O184" s="46">
        <f>'فرع الرواد'!O49</f>
        <v>0</v>
      </c>
      <c r="P184" s="46">
        <f>'فرع الرواد'!P49</f>
        <v>0</v>
      </c>
      <c r="Q184" s="46">
        <f>'فرع الرواد'!Q49</f>
        <v>0</v>
      </c>
      <c r="R184" s="47">
        <f>'فرع الرواد'!R49</f>
        <v>0</v>
      </c>
      <c r="S184" s="47">
        <f>'فرع الرواد'!S49</f>
        <v>0</v>
      </c>
      <c r="T184" s="46">
        <f>'فرع الرواد'!T49</f>
        <v>0</v>
      </c>
      <c r="U184" s="46">
        <f>'فرع الرواد'!U49</f>
        <v>0</v>
      </c>
      <c r="V184" s="46">
        <f>'فرع الرواد'!V49</f>
        <v>0</v>
      </c>
      <c r="W184" s="46">
        <f>'فرع الرواد'!W49</f>
        <v>0</v>
      </c>
      <c r="X184" s="46">
        <f>'فرع الرواد'!X49</f>
        <v>0</v>
      </c>
      <c r="Y184" s="46">
        <f>'فرع الرواد'!Y49</f>
        <v>0</v>
      </c>
      <c r="Z184" s="46">
        <f>'فرع الرواد'!Z49</f>
        <v>0</v>
      </c>
      <c r="AA184" s="46">
        <f>'فرع الرواد'!AA49</f>
        <v>0</v>
      </c>
      <c r="AB184" s="46">
        <f>'فرع الرواد'!AB49</f>
        <v>0</v>
      </c>
      <c r="AC184" s="46">
        <f>'فرع الرواد'!AC49</f>
        <v>0</v>
      </c>
      <c r="AD184" s="46">
        <f>'فرع الرواد'!AD49</f>
        <v>0</v>
      </c>
      <c r="AE184" s="46">
        <f>'فرع الرواد'!AE49</f>
        <v>0</v>
      </c>
      <c r="AF184" s="46">
        <f>'فرع الرواد'!AF49</f>
        <v>0</v>
      </c>
      <c r="AG184" s="46">
        <f>'فرع الرواد'!AG49</f>
        <v>0</v>
      </c>
      <c r="AH184" s="46">
        <f>'فرع الرواد'!AH49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+'فرع الرواد'!A50</f>
        <v>0</v>
      </c>
      <c r="B188" s="44">
        <f>+'فرع الرواد'!B50</f>
        <v>0</v>
      </c>
      <c r="C188" s="45">
        <f>+'فرع الرواد'!C50</f>
        <v>0</v>
      </c>
      <c r="D188" s="45">
        <f>+'فرع الرواد'!D50</f>
        <v>0</v>
      </c>
      <c r="E188" s="45">
        <f>+'فرع الرواد'!E50</f>
        <v>0</v>
      </c>
      <c r="F188" s="46">
        <f>'فرع الرواد'!F50</f>
        <v>0</v>
      </c>
      <c r="G188" s="46">
        <f>'فرع الرواد'!G50</f>
        <v>0</v>
      </c>
      <c r="H188" s="46">
        <f>'فرع الرواد'!H50</f>
        <v>0</v>
      </c>
      <c r="I188" s="46">
        <f>'فرع الرواد'!I50</f>
        <v>0</v>
      </c>
      <c r="J188" s="46">
        <f>'فرع الرواد'!J50</f>
        <v>0</v>
      </c>
      <c r="K188" s="46">
        <f>'فرع الرواد'!K50</f>
        <v>0</v>
      </c>
      <c r="L188" s="46">
        <f>'فرع الرواد'!L50</f>
        <v>0</v>
      </c>
      <c r="M188" s="46">
        <f>'فرع الرواد'!M50</f>
        <v>0</v>
      </c>
      <c r="N188" s="46">
        <f>'فرع الرواد'!N50</f>
        <v>0</v>
      </c>
      <c r="O188" s="46">
        <f>'فرع الرواد'!O50</f>
        <v>0</v>
      </c>
      <c r="P188" s="46">
        <f>'فرع الرواد'!P50</f>
        <v>0</v>
      </c>
      <c r="Q188" s="46">
        <f>'فرع الرواد'!Q50</f>
        <v>0</v>
      </c>
      <c r="R188" s="47">
        <f>'فرع الرواد'!R50</f>
        <v>0</v>
      </c>
      <c r="S188" s="47">
        <f>'فرع الرواد'!S50</f>
        <v>0</v>
      </c>
      <c r="T188" s="46">
        <f>'فرع الرواد'!T50</f>
        <v>0</v>
      </c>
      <c r="U188" s="46">
        <f>'فرع الرواد'!U50</f>
        <v>0</v>
      </c>
      <c r="V188" s="46">
        <f>'فرع الرواد'!V50</f>
        <v>0</v>
      </c>
      <c r="W188" s="46">
        <f>'فرع الرواد'!W50</f>
        <v>0</v>
      </c>
      <c r="X188" s="46">
        <f>'فرع الرواد'!X50</f>
        <v>0</v>
      </c>
      <c r="Y188" s="46">
        <f>'فرع الرواد'!Y50</f>
        <v>0</v>
      </c>
      <c r="Z188" s="46">
        <f>'فرع الرواد'!Z50</f>
        <v>0</v>
      </c>
      <c r="AA188" s="46">
        <f>'فرع الرواد'!AA50</f>
        <v>0</v>
      </c>
      <c r="AB188" s="46">
        <f>'فرع الرواد'!AB50</f>
        <v>0</v>
      </c>
      <c r="AC188" s="46">
        <f>'فرع الرواد'!AC50</f>
        <v>0</v>
      </c>
      <c r="AD188" s="46">
        <f>'فرع الرواد'!AD50</f>
        <v>0</v>
      </c>
      <c r="AE188" s="46">
        <f>'فرع الرواد'!AE50</f>
        <v>0</v>
      </c>
      <c r="AF188" s="46">
        <f>'فرع الرواد'!AF50</f>
        <v>0</v>
      </c>
      <c r="AG188" s="46">
        <f>'فرع الرواد'!AG50</f>
        <v>0</v>
      </c>
      <c r="AH188" s="46">
        <f>'فرع الرواد'!AH50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+'فرع الرواد'!A51</f>
        <v>0</v>
      </c>
      <c r="B192" s="44">
        <f>+'فرع الرواد'!B51</f>
        <v>0</v>
      </c>
      <c r="C192" s="45">
        <f>+'فرع الرواد'!C51</f>
        <v>0</v>
      </c>
      <c r="D192" s="45">
        <f>+'فرع الرواد'!D51</f>
        <v>0</v>
      </c>
      <c r="E192" s="45">
        <f>+'فرع الرواد'!E51</f>
        <v>0</v>
      </c>
      <c r="F192" s="46">
        <f>'فرع الرواد'!F51</f>
        <v>0</v>
      </c>
      <c r="G192" s="46">
        <f>'فرع الرواد'!G51</f>
        <v>0</v>
      </c>
      <c r="H192" s="46">
        <f>'فرع الرواد'!H51</f>
        <v>0</v>
      </c>
      <c r="I192" s="46">
        <f>'فرع الرواد'!I51</f>
        <v>0</v>
      </c>
      <c r="J192" s="46">
        <f>'فرع الرواد'!J51</f>
        <v>0</v>
      </c>
      <c r="K192" s="46">
        <f>'فرع الرواد'!K51</f>
        <v>0</v>
      </c>
      <c r="L192" s="46">
        <f>'فرع الرواد'!L51</f>
        <v>0</v>
      </c>
      <c r="M192" s="46">
        <f>'فرع الرواد'!M51</f>
        <v>0</v>
      </c>
      <c r="N192" s="46">
        <f>'فرع الرواد'!N51</f>
        <v>0</v>
      </c>
      <c r="O192" s="46">
        <f>'فرع الرواد'!O51</f>
        <v>0</v>
      </c>
      <c r="P192" s="46">
        <f>'فرع الرواد'!P51</f>
        <v>0</v>
      </c>
      <c r="Q192" s="46">
        <f>'فرع الرواد'!Q51</f>
        <v>0</v>
      </c>
      <c r="R192" s="47">
        <f>'فرع الرواد'!R51</f>
        <v>0</v>
      </c>
      <c r="S192" s="47">
        <f>'فرع الرواد'!S51</f>
        <v>0</v>
      </c>
      <c r="T192" s="46">
        <f>'فرع الرواد'!T51</f>
        <v>0</v>
      </c>
      <c r="U192" s="46">
        <f>'فرع الرواد'!U51</f>
        <v>0</v>
      </c>
      <c r="V192" s="46">
        <f>'فرع الرواد'!V51</f>
        <v>0</v>
      </c>
      <c r="W192" s="46">
        <f>'فرع الرواد'!W51</f>
        <v>0</v>
      </c>
      <c r="X192" s="46">
        <f>'فرع الرواد'!X51</f>
        <v>0</v>
      </c>
      <c r="Y192" s="46">
        <f>'فرع الرواد'!Y51</f>
        <v>0</v>
      </c>
      <c r="Z192" s="46">
        <f>'فرع الرواد'!Z51</f>
        <v>0</v>
      </c>
      <c r="AA192" s="46">
        <f>'فرع الرواد'!AA51</f>
        <v>0</v>
      </c>
      <c r="AB192" s="46">
        <f>'فرع الرواد'!AB51</f>
        <v>0</v>
      </c>
      <c r="AC192" s="46">
        <f>'فرع الرواد'!AC51</f>
        <v>0</v>
      </c>
      <c r="AD192" s="46">
        <f>'فرع الرواد'!AD51</f>
        <v>0</v>
      </c>
      <c r="AE192" s="46">
        <f>'فرع الرواد'!AE51</f>
        <v>0</v>
      </c>
      <c r="AF192" s="46">
        <f>'فرع الرواد'!AF51</f>
        <v>0</v>
      </c>
      <c r="AG192" s="46">
        <f>'فرع الرواد'!AG51</f>
        <v>0</v>
      </c>
      <c r="AH192" s="46">
        <f>'فرع الرواد'!AH51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+'فرع الرواد'!A52</f>
        <v>0</v>
      </c>
      <c r="B196" s="44">
        <f>+'فرع الرواد'!B52</f>
        <v>0</v>
      </c>
      <c r="C196" s="45">
        <f>+'فرع الرواد'!C52</f>
        <v>0</v>
      </c>
      <c r="D196" s="45">
        <f>+'فرع الرواد'!D52</f>
        <v>0</v>
      </c>
      <c r="E196" s="45">
        <f>+'فرع الرواد'!E52</f>
        <v>0</v>
      </c>
      <c r="F196" s="46">
        <f>'فرع الرواد'!F52</f>
        <v>0</v>
      </c>
      <c r="G196" s="46">
        <f>'فرع الرواد'!G52</f>
        <v>0</v>
      </c>
      <c r="H196" s="46">
        <f>'فرع الرواد'!H52</f>
        <v>0</v>
      </c>
      <c r="I196" s="46">
        <f>'فرع الرواد'!I52</f>
        <v>0</v>
      </c>
      <c r="J196" s="46">
        <f>'فرع الرواد'!J52</f>
        <v>0</v>
      </c>
      <c r="K196" s="46">
        <f>'فرع الرواد'!K52</f>
        <v>0</v>
      </c>
      <c r="L196" s="46">
        <f>'فرع الرواد'!L52</f>
        <v>0</v>
      </c>
      <c r="M196" s="46">
        <f>'فرع الرواد'!M52</f>
        <v>0</v>
      </c>
      <c r="N196" s="46">
        <f>'فرع الرواد'!N52</f>
        <v>0</v>
      </c>
      <c r="O196" s="46">
        <f>'فرع الرواد'!O52</f>
        <v>0</v>
      </c>
      <c r="P196" s="46">
        <f>'فرع الرواد'!P52</f>
        <v>0</v>
      </c>
      <c r="Q196" s="46">
        <f>'فرع الرواد'!Q52</f>
        <v>0</v>
      </c>
      <c r="R196" s="47">
        <f>'فرع الرواد'!R52</f>
        <v>0</v>
      </c>
      <c r="S196" s="47">
        <f>'فرع الرواد'!S52</f>
        <v>0</v>
      </c>
      <c r="T196" s="46">
        <f>'فرع الرواد'!T52</f>
        <v>0</v>
      </c>
      <c r="U196" s="46">
        <f>'فرع الرواد'!U52</f>
        <v>0</v>
      </c>
      <c r="V196" s="46">
        <f>'فرع الرواد'!V52</f>
        <v>0</v>
      </c>
      <c r="W196" s="46">
        <f>'فرع الرواد'!W52</f>
        <v>0</v>
      </c>
      <c r="X196" s="46">
        <f>'فرع الرواد'!X52</f>
        <v>0</v>
      </c>
      <c r="Y196" s="46">
        <f>'فرع الرواد'!Y52</f>
        <v>0</v>
      </c>
      <c r="Z196" s="46">
        <f>'فرع الرواد'!Z52</f>
        <v>0</v>
      </c>
      <c r="AA196" s="46">
        <f>'فرع الرواد'!AA52</f>
        <v>0</v>
      </c>
      <c r="AB196" s="46">
        <f>'فرع الرواد'!AB52</f>
        <v>0</v>
      </c>
      <c r="AC196" s="46">
        <f>'فرع الرواد'!AC52</f>
        <v>0</v>
      </c>
      <c r="AD196" s="46">
        <f>'فرع الرواد'!AD52</f>
        <v>0</v>
      </c>
      <c r="AE196" s="46">
        <f>'فرع الرواد'!AE52</f>
        <v>0</v>
      </c>
      <c r="AF196" s="46">
        <f>'فرع الرواد'!AF52</f>
        <v>0</v>
      </c>
      <c r="AG196" s="46">
        <f>'فرع الرواد'!AG52</f>
        <v>0</v>
      </c>
      <c r="AH196" s="46">
        <f>'فرع الرواد'!AH52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+'فرع الرواد'!A53</f>
        <v>0</v>
      </c>
      <c r="B200" s="44">
        <f>+'فرع الرواد'!B53</f>
        <v>0</v>
      </c>
      <c r="C200" s="45">
        <f>+'فرع الرواد'!C53</f>
        <v>0</v>
      </c>
      <c r="D200" s="45">
        <f>+'فرع الرواد'!D53</f>
        <v>0</v>
      </c>
      <c r="E200" s="45">
        <f>+'فرع الرواد'!E53</f>
        <v>0</v>
      </c>
      <c r="F200" s="46">
        <f>'فرع الرواد'!F53</f>
        <v>0</v>
      </c>
      <c r="G200" s="46">
        <f>'فرع الرواد'!G53</f>
        <v>0</v>
      </c>
      <c r="H200" s="46">
        <f>'فرع الرواد'!H53</f>
        <v>0</v>
      </c>
      <c r="I200" s="46">
        <f>'فرع الرواد'!I53</f>
        <v>0</v>
      </c>
      <c r="J200" s="46">
        <f>'فرع الرواد'!J53</f>
        <v>0</v>
      </c>
      <c r="K200" s="46">
        <f>'فرع الرواد'!K53</f>
        <v>0</v>
      </c>
      <c r="L200" s="46">
        <f>'فرع الرواد'!L53</f>
        <v>0</v>
      </c>
      <c r="M200" s="46">
        <f>'فرع الرواد'!M53</f>
        <v>0</v>
      </c>
      <c r="N200" s="46">
        <f>'فرع الرواد'!N53</f>
        <v>0</v>
      </c>
      <c r="O200" s="46">
        <f>'فرع الرواد'!O53</f>
        <v>0</v>
      </c>
      <c r="P200" s="46">
        <f>'فرع الرواد'!P53</f>
        <v>0</v>
      </c>
      <c r="Q200" s="46">
        <f>'فرع الرواد'!Q53</f>
        <v>0</v>
      </c>
      <c r="R200" s="47">
        <f>'فرع الرواد'!R53</f>
        <v>0</v>
      </c>
      <c r="S200" s="47">
        <f>'فرع الرواد'!S53</f>
        <v>0</v>
      </c>
      <c r="T200" s="46">
        <f>'فرع الرواد'!T53</f>
        <v>0</v>
      </c>
      <c r="U200" s="46">
        <f>'فرع الرواد'!U53</f>
        <v>0</v>
      </c>
      <c r="V200" s="46">
        <f>'فرع الرواد'!V53</f>
        <v>0</v>
      </c>
      <c r="W200" s="46">
        <f>'فرع الرواد'!W53</f>
        <v>0</v>
      </c>
      <c r="X200" s="46">
        <f>'فرع الرواد'!X53</f>
        <v>0</v>
      </c>
      <c r="Y200" s="46">
        <f>'فرع الرواد'!Y53</f>
        <v>0</v>
      </c>
      <c r="Z200" s="46">
        <f>'فرع الرواد'!Z53</f>
        <v>0</v>
      </c>
      <c r="AA200" s="46">
        <f>'فرع الرواد'!AA53</f>
        <v>0</v>
      </c>
      <c r="AB200" s="46">
        <f>'فرع الرواد'!AB53</f>
        <v>0</v>
      </c>
      <c r="AC200" s="46">
        <f>'فرع الرواد'!AC53</f>
        <v>0</v>
      </c>
      <c r="AD200" s="46">
        <f>'فرع الرواد'!AD53</f>
        <v>0</v>
      </c>
      <c r="AE200" s="46">
        <f>'فرع الرواد'!AE53</f>
        <v>0</v>
      </c>
      <c r="AF200" s="46">
        <f>'فرع الرواد'!AF53</f>
        <v>0</v>
      </c>
      <c r="AG200" s="46">
        <f>'فرع الرواد'!AG53</f>
        <v>0</v>
      </c>
      <c r="AH200" s="46">
        <f>'فرع الرواد'!AH53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+'فرع الرواد'!A54</f>
        <v>0</v>
      </c>
      <c r="B204" s="44">
        <f>+'فرع الرواد'!B54</f>
        <v>0</v>
      </c>
      <c r="C204" s="45">
        <f>+'فرع الرواد'!C54</f>
        <v>0</v>
      </c>
      <c r="D204" s="45">
        <f>+'فرع الرواد'!D54</f>
        <v>0</v>
      </c>
      <c r="E204" s="45">
        <f>+'فرع الرواد'!E54</f>
        <v>0</v>
      </c>
      <c r="F204" s="46">
        <f>'فرع الرواد'!F54</f>
        <v>0</v>
      </c>
      <c r="G204" s="46">
        <f>'فرع الرواد'!G54</f>
        <v>0</v>
      </c>
      <c r="H204" s="46">
        <f>'فرع الرواد'!H54</f>
        <v>0</v>
      </c>
      <c r="I204" s="46">
        <f>'فرع الرواد'!I54</f>
        <v>0</v>
      </c>
      <c r="J204" s="46">
        <f>'فرع الرواد'!J54</f>
        <v>0</v>
      </c>
      <c r="K204" s="46">
        <f>'فرع الرواد'!K54</f>
        <v>0</v>
      </c>
      <c r="L204" s="46">
        <f>'فرع الرواد'!L54</f>
        <v>0</v>
      </c>
      <c r="M204" s="46">
        <f>'فرع الرواد'!M54</f>
        <v>0</v>
      </c>
      <c r="N204" s="46">
        <f>'فرع الرواد'!N54</f>
        <v>0</v>
      </c>
      <c r="O204" s="46">
        <f>'فرع الرواد'!O54</f>
        <v>0</v>
      </c>
      <c r="P204" s="46">
        <f>'فرع الرواد'!P54</f>
        <v>0</v>
      </c>
      <c r="Q204" s="46">
        <f>'فرع الرواد'!Q54</f>
        <v>0</v>
      </c>
      <c r="R204" s="47">
        <f>'فرع الرواد'!R54</f>
        <v>0</v>
      </c>
      <c r="S204" s="47">
        <f>'فرع الرواد'!S54</f>
        <v>0</v>
      </c>
      <c r="T204" s="46">
        <f>'فرع الرواد'!T54</f>
        <v>0</v>
      </c>
      <c r="U204" s="46">
        <f>'فرع الرواد'!U54</f>
        <v>0</v>
      </c>
      <c r="V204" s="46">
        <f>'فرع الرواد'!V54</f>
        <v>0</v>
      </c>
      <c r="W204" s="46">
        <f>'فرع الرواد'!W54</f>
        <v>0</v>
      </c>
      <c r="X204" s="46">
        <f>'فرع الرواد'!X54</f>
        <v>0</v>
      </c>
      <c r="Y204" s="46">
        <f>'فرع الرواد'!Y54</f>
        <v>0</v>
      </c>
      <c r="Z204" s="46">
        <f>'فرع الرواد'!Z54</f>
        <v>0</v>
      </c>
      <c r="AA204" s="46">
        <f>'فرع الرواد'!AA54</f>
        <v>0</v>
      </c>
      <c r="AB204" s="46">
        <f>'فرع الرواد'!AB54</f>
        <v>0</v>
      </c>
      <c r="AC204" s="46">
        <f>'فرع الرواد'!AC54</f>
        <v>0</v>
      </c>
      <c r="AD204" s="46">
        <f>'فرع الرواد'!AD54</f>
        <v>0</v>
      </c>
      <c r="AE204" s="46">
        <f>'فرع الرواد'!AE54</f>
        <v>0</v>
      </c>
      <c r="AF204" s="46">
        <f>'فرع الرواد'!AF54</f>
        <v>0</v>
      </c>
      <c r="AG204" s="46">
        <f>'فرع الرواد'!AG54</f>
        <v>0</v>
      </c>
      <c r="AH204" s="46">
        <f>'فرع الرواد'!AH54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+'فرع الرواد'!A55</f>
        <v>0</v>
      </c>
      <c r="B208" s="44">
        <f>+'فرع الرواد'!B55</f>
        <v>0</v>
      </c>
      <c r="C208" s="45">
        <f>+'فرع الرواد'!C55</f>
        <v>0</v>
      </c>
      <c r="D208" s="45">
        <f>+'فرع الرواد'!D55</f>
        <v>0</v>
      </c>
      <c r="E208" s="45">
        <f>+'فرع الرواد'!E55</f>
        <v>0</v>
      </c>
      <c r="F208" s="46">
        <f>'فرع الرواد'!F55</f>
        <v>0</v>
      </c>
      <c r="G208" s="46">
        <f>'فرع الرواد'!G55</f>
        <v>0</v>
      </c>
      <c r="H208" s="46">
        <f>'فرع الرواد'!H55</f>
        <v>0</v>
      </c>
      <c r="I208" s="46">
        <f>'فرع الرواد'!I55</f>
        <v>0</v>
      </c>
      <c r="J208" s="46">
        <f>'فرع الرواد'!J55</f>
        <v>0</v>
      </c>
      <c r="K208" s="46">
        <f>'فرع الرواد'!K55</f>
        <v>0</v>
      </c>
      <c r="L208" s="46">
        <f>'فرع الرواد'!L55</f>
        <v>0</v>
      </c>
      <c r="M208" s="46">
        <f>'فرع الرواد'!M55</f>
        <v>0</v>
      </c>
      <c r="N208" s="46">
        <f>'فرع الرواد'!N55</f>
        <v>0</v>
      </c>
      <c r="O208" s="46">
        <f>'فرع الرواد'!O55</f>
        <v>0</v>
      </c>
      <c r="P208" s="46">
        <f>'فرع الرواد'!P55</f>
        <v>0</v>
      </c>
      <c r="Q208" s="46">
        <f>'فرع الرواد'!Q55</f>
        <v>0</v>
      </c>
      <c r="R208" s="47">
        <f>'فرع الرواد'!R55</f>
        <v>0</v>
      </c>
      <c r="S208" s="47">
        <f>'فرع الرواد'!S55</f>
        <v>0</v>
      </c>
      <c r="T208" s="46">
        <f>'فرع الرواد'!T55</f>
        <v>0</v>
      </c>
      <c r="U208" s="46">
        <f>'فرع الرواد'!U55</f>
        <v>0</v>
      </c>
      <c r="V208" s="46">
        <f>'فرع الرواد'!V55</f>
        <v>0</v>
      </c>
      <c r="W208" s="46">
        <f>'فرع الرواد'!W55</f>
        <v>0</v>
      </c>
      <c r="X208" s="46">
        <f>'فرع الرواد'!X55</f>
        <v>0</v>
      </c>
      <c r="Y208" s="46">
        <f>'فرع الرواد'!Y55</f>
        <v>0</v>
      </c>
      <c r="Z208" s="46">
        <f>'فرع الرواد'!Z55</f>
        <v>0</v>
      </c>
      <c r="AA208" s="46">
        <f>'فرع الرواد'!AA55</f>
        <v>0</v>
      </c>
      <c r="AB208" s="46">
        <f>'فرع الرواد'!AB55</f>
        <v>0</v>
      </c>
      <c r="AC208" s="46">
        <f>'فرع الرواد'!AC55</f>
        <v>0</v>
      </c>
      <c r="AD208" s="46">
        <f>'فرع الرواد'!AD55</f>
        <v>0</v>
      </c>
      <c r="AE208" s="46">
        <f>'فرع الرواد'!AE55</f>
        <v>0</v>
      </c>
      <c r="AF208" s="46">
        <f>'فرع الرواد'!AF55</f>
        <v>0</v>
      </c>
      <c r="AG208" s="46">
        <f>'فرع الرواد'!AG55</f>
        <v>0</v>
      </c>
      <c r="AH208" s="46">
        <f>'فرع الرواد'!AH55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+'فرع الرواد'!A56</f>
        <v>0</v>
      </c>
      <c r="B212" s="44">
        <f>+'فرع الرواد'!B56</f>
        <v>0</v>
      </c>
      <c r="C212" s="45">
        <f>+'فرع الرواد'!C56</f>
        <v>0</v>
      </c>
      <c r="D212" s="45">
        <f>+'فرع الرواد'!D56</f>
        <v>0</v>
      </c>
      <c r="E212" s="45">
        <f>+'فرع الرواد'!E56</f>
        <v>0</v>
      </c>
      <c r="F212" s="46">
        <f>'فرع الرواد'!F56</f>
        <v>0</v>
      </c>
      <c r="G212" s="46">
        <f>'فرع الرواد'!G56</f>
        <v>0</v>
      </c>
      <c r="H212" s="46">
        <f>'فرع الرواد'!H56</f>
        <v>0</v>
      </c>
      <c r="I212" s="46">
        <f>'فرع الرواد'!I56</f>
        <v>0</v>
      </c>
      <c r="J212" s="46">
        <f>'فرع الرواد'!J56</f>
        <v>0</v>
      </c>
      <c r="K212" s="46">
        <f>'فرع الرواد'!K56</f>
        <v>0</v>
      </c>
      <c r="L212" s="46">
        <f>'فرع الرواد'!L56</f>
        <v>0</v>
      </c>
      <c r="M212" s="46">
        <f>'فرع الرواد'!M56</f>
        <v>0</v>
      </c>
      <c r="N212" s="46">
        <f>'فرع الرواد'!N56</f>
        <v>0</v>
      </c>
      <c r="O212" s="46">
        <f>'فرع الرواد'!O56</f>
        <v>0</v>
      </c>
      <c r="P212" s="46">
        <f>'فرع الرواد'!P56</f>
        <v>0</v>
      </c>
      <c r="Q212" s="46">
        <f>'فرع الرواد'!Q56</f>
        <v>0</v>
      </c>
      <c r="R212" s="47">
        <f>'فرع الرواد'!R56</f>
        <v>0</v>
      </c>
      <c r="S212" s="47"/>
      <c r="T212" s="46">
        <f>'فرع الرواد'!T56</f>
        <v>0</v>
      </c>
      <c r="U212" s="46">
        <f>'فرع الرواد'!U56</f>
        <v>0</v>
      </c>
      <c r="V212" s="46">
        <f>'فرع الرواد'!V56</f>
        <v>0</v>
      </c>
      <c r="W212" s="46">
        <f>'فرع الرواد'!W56</f>
        <v>0</v>
      </c>
      <c r="X212" s="46">
        <f>'فرع الرواد'!X56</f>
        <v>0</v>
      </c>
      <c r="Y212" s="46">
        <f>'فرع الرواد'!Y56</f>
        <v>0</v>
      </c>
      <c r="Z212" s="46">
        <f>'فرع الرواد'!Z56</f>
        <v>0</v>
      </c>
      <c r="AA212" s="46">
        <f>'فرع الرواد'!AA56</f>
        <v>0</v>
      </c>
      <c r="AB212" s="46">
        <f>'فرع الرواد'!AB56</f>
        <v>0</v>
      </c>
      <c r="AC212" s="46">
        <f>'فرع الرواد'!AC56</f>
        <v>0</v>
      </c>
      <c r="AD212" s="46">
        <f>'فرع الرواد'!AD56</f>
        <v>0</v>
      </c>
      <c r="AE212" s="46">
        <f>'فرع الرواد'!AE56</f>
        <v>0</v>
      </c>
      <c r="AF212" s="46">
        <f>'فرع الرواد'!AF56</f>
        <v>0</v>
      </c>
      <c r="AG212" s="46">
        <f>'فرع الرواد'!AG56</f>
        <v>0</v>
      </c>
      <c r="AH212" s="46">
        <f>'فرع الرواد'!AH56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+'فرع الرواد'!A57</f>
        <v>0</v>
      </c>
      <c r="B216" s="44">
        <f>+'فرع الرواد'!B57</f>
        <v>0</v>
      </c>
      <c r="C216" s="45">
        <f>+'فرع الرواد'!C57</f>
        <v>0</v>
      </c>
      <c r="D216" s="45">
        <f>+'فرع الرواد'!D57</f>
        <v>0</v>
      </c>
      <c r="E216" s="45">
        <f>+'فرع الرواد'!E57</f>
        <v>0</v>
      </c>
      <c r="F216" s="46">
        <f>'فرع الرواد'!F57</f>
        <v>0</v>
      </c>
      <c r="G216" s="46">
        <f>'فرع الرواد'!G57</f>
        <v>0</v>
      </c>
      <c r="H216" s="46">
        <f>'فرع الرواد'!H57</f>
        <v>0</v>
      </c>
      <c r="I216" s="46">
        <f>'فرع الرواد'!I57</f>
        <v>0</v>
      </c>
      <c r="J216" s="46">
        <f>'فرع الرواد'!J57</f>
        <v>0</v>
      </c>
      <c r="K216" s="46">
        <f>'فرع الرواد'!K57</f>
        <v>0</v>
      </c>
      <c r="L216" s="46">
        <f>'فرع الرواد'!L57</f>
        <v>0</v>
      </c>
      <c r="M216" s="46">
        <f>'فرع الرواد'!M57</f>
        <v>0</v>
      </c>
      <c r="N216" s="46">
        <f>'فرع الرواد'!N57</f>
        <v>0</v>
      </c>
      <c r="O216" s="46">
        <f>'فرع الرواد'!O57</f>
        <v>0</v>
      </c>
      <c r="P216" s="46">
        <f>'فرع الرواد'!P57</f>
        <v>0</v>
      </c>
      <c r="Q216" s="46">
        <f>'فرع الرواد'!Q57</f>
        <v>0</v>
      </c>
      <c r="R216" s="47">
        <f>'فرع الرواد'!R57</f>
        <v>0</v>
      </c>
      <c r="S216" s="47">
        <f>'فرع الرواد'!S57</f>
        <v>0</v>
      </c>
      <c r="T216" s="46">
        <f>'فرع الرواد'!T57</f>
        <v>0</v>
      </c>
      <c r="U216" s="46">
        <f>'فرع الرواد'!U57</f>
        <v>0</v>
      </c>
      <c r="V216" s="46">
        <f>'فرع الرواد'!V57</f>
        <v>0</v>
      </c>
      <c r="W216" s="46">
        <f>'فرع الرواد'!W57</f>
        <v>0</v>
      </c>
      <c r="X216" s="46">
        <f>'فرع الرواد'!X57</f>
        <v>0</v>
      </c>
      <c r="Y216" s="46">
        <f>'فرع الرواد'!Y57</f>
        <v>0</v>
      </c>
      <c r="Z216" s="46">
        <f>'فرع الرواد'!Z57</f>
        <v>0</v>
      </c>
      <c r="AA216" s="46">
        <f>'فرع الرواد'!AA57</f>
        <v>0</v>
      </c>
      <c r="AB216" s="46">
        <f>'فرع الرواد'!AB57</f>
        <v>0</v>
      </c>
      <c r="AC216" s="46">
        <f>'فرع الرواد'!AC57</f>
        <v>0</v>
      </c>
      <c r="AD216" s="46">
        <f>'فرع الرواد'!AD57</f>
        <v>0</v>
      </c>
      <c r="AE216" s="46">
        <f>'فرع الرواد'!AE57</f>
        <v>0</v>
      </c>
      <c r="AF216" s="46">
        <f>'فرع الرواد'!AF57</f>
        <v>0</v>
      </c>
      <c r="AG216" s="46">
        <f>'فرع الرواد'!AG57</f>
        <v>0</v>
      </c>
      <c r="AH216" s="46">
        <f>'فرع الرواد'!AH57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+'فرع الرواد'!A58</f>
        <v>0</v>
      </c>
      <c r="B220" s="44">
        <f>+'فرع الرواد'!B58</f>
        <v>0</v>
      </c>
      <c r="C220" s="45">
        <f>+'فرع الرواد'!C58</f>
        <v>0</v>
      </c>
      <c r="D220" s="45">
        <f>+'فرع الرواد'!D58</f>
        <v>0</v>
      </c>
      <c r="E220" s="45">
        <f>+'فرع الرواد'!E58</f>
        <v>0</v>
      </c>
      <c r="F220" s="46">
        <f>'فرع الرواد'!F58</f>
        <v>0</v>
      </c>
      <c r="G220" s="46">
        <f>'فرع الرواد'!G58</f>
        <v>0</v>
      </c>
      <c r="H220" s="46">
        <f>'فرع الرواد'!H58</f>
        <v>0</v>
      </c>
      <c r="I220" s="46">
        <f>'فرع الرواد'!I58</f>
        <v>0</v>
      </c>
      <c r="J220" s="46">
        <f>'فرع الرواد'!J58</f>
        <v>0</v>
      </c>
      <c r="K220" s="46">
        <f>'فرع الرواد'!K58</f>
        <v>0</v>
      </c>
      <c r="L220" s="46">
        <f>'فرع الرواد'!L58</f>
        <v>0</v>
      </c>
      <c r="M220" s="46">
        <f>'فرع الرواد'!M58</f>
        <v>0</v>
      </c>
      <c r="N220" s="46">
        <f>'فرع الرواد'!N58</f>
        <v>0</v>
      </c>
      <c r="O220" s="46">
        <f>'فرع الرواد'!O58</f>
        <v>0</v>
      </c>
      <c r="P220" s="46">
        <f>'فرع الرواد'!P58</f>
        <v>0</v>
      </c>
      <c r="Q220" s="46">
        <f>'فرع الرواد'!Q58</f>
        <v>0</v>
      </c>
      <c r="R220" s="47">
        <f>'فرع الرواد'!R58</f>
        <v>0</v>
      </c>
      <c r="S220" s="47">
        <f>'فرع الرواد'!S58</f>
        <v>0</v>
      </c>
      <c r="T220" s="46">
        <f>'فرع الرواد'!T58</f>
        <v>0</v>
      </c>
      <c r="U220" s="46">
        <f>'فرع الرواد'!U58</f>
        <v>0</v>
      </c>
      <c r="V220" s="46">
        <f>'فرع الرواد'!V58</f>
        <v>0</v>
      </c>
      <c r="W220" s="46">
        <f>'فرع الرواد'!W58</f>
        <v>0</v>
      </c>
      <c r="X220" s="46">
        <f>'فرع الرواد'!X58</f>
        <v>0</v>
      </c>
      <c r="Y220" s="46">
        <f>'فرع الرواد'!Y58</f>
        <v>0</v>
      </c>
      <c r="Z220" s="46">
        <f>'فرع الرواد'!Z58</f>
        <v>0</v>
      </c>
      <c r="AA220" s="46">
        <f>'فرع الرواد'!AA58</f>
        <v>0</v>
      </c>
      <c r="AB220" s="46">
        <f>'فرع الرواد'!AB58</f>
        <v>0</v>
      </c>
      <c r="AC220" s="46">
        <f>'فرع الرواد'!AC58</f>
        <v>0</v>
      </c>
      <c r="AD220" s="46">
        <f>'فرع الرواد'!AD58</f>
        <v>0</v>
      </c>
      <c r="AE220" s="46">
        <f>'فرع الرواد'!AE58</f>
        <v>0</v>
      </c>
      <c r="AF220" s="46">
        <f>'فرع الرواد'!AF58</f>
        <v>0</v>
      </c>
      <c r="AG220" s="46">
        <f>'فرع الرواد'!AG58</f>
        <v>0</v>
      </c>
      <c r="AH220" s="46">
        <f>'فرع الرواد'!AH58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+'فرع الرواد'!A59</f>
        <v>0</v>
      </c>
      <c r="B224" s="44">
        <f>+'فرع الرواد'!B59</f>
        <v>0</v>
      </c>
      <c r="C224" s="45">
        <f>+'فرع الرواد'!C59</f>
        <v>0</v>
      </c>
      <c r="D224" s="45">
        <f>+'فرع الرواد'!D59</f>
        <v>0</v>
      </c>
      <c r="E224" s="45">
        <f>+'فرع الرواد'!E59</f>
        <v>0</v>
      </c>
      <c r="F224" s="46">
        <f>'فرع الرواد'!F59</f>
        <v>0</v>
      </c>
      <c r="G224" s="46">
        <f>'فرع الرواد'!G59</f>
        <v>0</v>
      </c>
      <c r="H224" s="46">
        <f>'فرع الرواد'!H59</f>
        <v>0</v>
      </c>
      <c r="I224" s="46">
        <f>'فرع الرواد'!I59</f>
        <v>0</v>
      </c>
      <c r="J224" s="46">
        <f>'فرع الرواد'!J59</f>
        <v>0</v>
      </c>
      <c r="K224" s="46">
        <f>'فرع الرواد'!K59</f>
        <v>0</v>
      </c>
      <c r="L224" s="46">
        <f>'فرع الرواد'!L59</f>
        <v>0</v>
      </c>
      <c r="M224" s="46">
        <f>'فرع الرواد'!M59</f>
        <v>0</v>
      </c>
      <c r="N224" s="46">
        <f>'فرع الرواد'!N59</f>
        <v>0</v>
      </c>
      <c r="O224" s="46">
        <f>'فرع الرواد'!O59</f>
        <v>0</v>
      </c>
      <c r="P224" s="46">
        <f>'فرع الرواد'!P59</f>
        <v>0</v>
      </c>
      <c r="Q224" s="46">
        <f>'فرع الرواد'!Q59</f>
        <v>0</v>
      </c>
      <c r="R224" s="47">
        <f>'فرع الرواد'!R59</f>
        <v>0</v>
      </c>
      <c r="S224" s="47"/>
      <c r="T224" s="46">
        <f>'فرع الرواد'!T59</f>
        <v>0</v>
      </c>
      <c r="U224" s="46">
        <f>'فرع الرواد'!U59</f>
        <v>0</v>
      </c>
      <c r="V224" s="46">
        <f>'فرع الرواد'!V59</f>
        <v>0</v>
      </c>
      <c r="W224" s="46">
        <f>'فرع الرواد'!W59</f>
        <v>0</v>
      </c>
      <c r="X224" s="46">
        <f>'فرع الرواد'!X59</f>
        <v>0</v>
      </c>
      <c r="Y224" s="46">
        <f>'فرع الرواد'!Y59</f>
        <v>0</v>
      </c>
      <c r="Z224" s="46">
        <f>'فرع الرواد'!Z59</f>
        <v>0</v>
      </c>
      <c r="AA224" s="46">
        <f>'فرع الرواد'!AA59</f>
        <v>0</v>
      </c>
      <c r="AB224" s="46">
        <f>'فرع الرواد'!AB59</f>
        <v>0</v>
      </c>
      <c r="AC224" s="46">
        <f>'فرع الرواد'!AC59</f>
        <v>0</v>
      </c>
      <c r="AD224" s="46">
        <f>'فرع الرواد'!AD59</f>
        <v>0</v>
      </c>
      <c r="AE224" s="46">
        <f>'فرع الرواد'!AE59</f>
        <v>0</v>
      </c>
      <c r="AF224" s="46">
        <f>'فرع الرواد'!AF59</f>
        <v>0</v>
      </c>
      <c r="AG224" s="46">
        <f>'فرع الرواد'!AG59</f>
        <v>0</v>
      </c>
      <c r="AH224" s="46">
        <f>'فرع الرواد'!AH59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+'فرع الرواد'!A60</f>
        <v>0</v>
      </c>
      <c r="B228" s="44">
        <f>+'فرع الرواد'!B60</f>
        <v>0</v>
      </c>
      <c r="C228" s="45">
        <f>+'فرع الرواد'!C60</f>
        <v>0</v>
      </c>
      <c r="D228" s="45">
        <f>+'فرع الرواد'!D60</f>
        <v>0</v>
      </c>
      <c r="E228" s="45">
        <f>+'فرع الرواد'!E60</f>
        <v>0</v>
      </c>
      <c r="F228" s="46">
        <f>'فرع الرواد'!F60</f>
        <v>0</v>
      </c>
      <c r="G228" s="46">
        <f>'فرع الرواد'!G60</f>
        <v>0</v>
      </c>
      <c r="H228" s="46">
        <f>'فرع الرواد'!H60</f>
        <v>0</v>
      </c>
      <c r="I228" s="46">
        <f>'فرع الرواد'!I60</f>
        <v>0</v>
      </c>
      <c r="J228" s="46">
        <f>'فرع الرواد'!J60</f>
        <v>0</v>
      </c>
      <c r="K228" s="46">
        <f>'فرع الرواد'!K60</f>
        <v>0</v>
      </c>
      <c r="L228" s="46">
        <f>'فرع الرواد'!L60</f>
        <v>0</v>
      </c>
      <c r="M228" s="46">
        <f>'فرع الرواد'!M60</f>
        <v>0</v>
      </c>
      <c r="N228" s="46">
        <f>'فرع الرواد'!N60</f>
        <v>0</v>
      </c>
      <c r="O228" s="46">
        <f>'فرع الرواد'!O60</f>
        <v>0</v>
      </c>
      <c r="P228" s="46">
        <f>'فرع الرواد'!P60</f>
        <v>0</v>
      </c>
      <c r="Q228" s="46">
        <f>'فرع الرواد'!Q60</f>
        <v>0</v>
      </c>
      <c r="R228" s="47">
        <f>'فرع الرواد'!R60</f>
        <v>0</v>
      </c>
      <c r="S228" s="47">
        <f>'فرع الرواد'!S60</f>
        <v>0</v>
      </c>
      <c r="T228" s="46">
        <f>'فرع الرواد'!T60</f>
        <v>0</v>
      </c>
      <c r="U228" s="46">
        <f>'فرع الرواد'!U60</f>
        <v>0</v>
      </c>
      <c r="V228" s="46">
        <f>'فرع الرواد'!V60</f>
        <v>0</v>
      </c>
      <c r="W228" s="46">
        <f>'فرع الرواد'!W60</f>
        <v>0</v>
      </c>
      <c r="X228" s="46">
        <f>'فرع الرواد'!X60</f>
        <v>0</v>
      </c>
      <c r="Y228" s="46">
        <f>'فرع الرواد'!Y60</f>
        <v>0</v>
      </c>
      <c r="Z228" s="46">
        <f>'فرع الرواد'!Z60</f>
        <v>0</v>
      </c>
      <c r="AA228" s="46">
        <f>'فرع الرواد'!AA60</f>
        <v>0</v>
      </c>
      <c r="AB228" s="46">
        <f>'فرع الرواد'!AB60</f>
        <v>0</v>
      </c>
      <c r="AC228" s="46">
        <f>'فرع الرواد'!AC60</f>
        <v>0</v>
      </c>
      <c r="AD228" s="46">
        <f>'فرع الرواد'!AD60</f>
        <v>0</v>
      </c>
      <c r="AE228" s="46">
        <f>'فرع الرواد'!AE60</f>
        <v>0</v>
      </c>
      <c r="AF228" s="46">
        <f>'فرع الرواد'!AF60</f>
        <v>0</v>
      </c>
      <c r="AG228" s="46">
        <f>'فرع الرواد'!AG60</f>
        <v>0</v>
      </c>
      <c r="AH228" s="46">
        <f>'فرع الرواد'!AH60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+'فرع الرواد'!A61</f>
        <v>0</v>
      </c>
      <c r="B232" s="44">
        <f>+'فرع الرواد'!B61</f>
        <v>0</v>
      </c>
      <c r="C232" s="45">
        <f>+'فرع الرواد'!C61</f>
        <v>0</v>
      </c>
      <c r="D232" s="45">
        <f>+'فرع الرواد'!D61</f>
        <v>0</v>
      </c>
      <c r="E232" s="45">
        <f>+'فرع الرواد'!E61</f>
        <v>0</v>
      </c>
      <c r="F232" s="46">
        <f>'فرع الرواد'!F61</f>
        <v>0</v>
      </c>
      <c r="G232" s="46">
        <f>'فرع الرواد'!G61</f>
        <v>0</v>
      </c>
      <c r="H232" s="46">
        <f>'فرع الرواد'!H61</f>
        <v>0</v>
      </c>
      <c r="I232" s="46">
        <f>'فرع الرواد'!I61</f>
        <v>0</v>
      </c>
      <c r="J232" s="46">
        <f>'فرع الرواد'!J61</f>
        <v>0</v>
      </c>
      <c r="K232" s="46">
        <f>'فرع الرواد'!K61</f>
        <v>0</v>
      </c>
      <c r="L232" s="46">
        <f>'فرع الرواد'!L61</f>
        <v>0</v>
      </c>
      <c r="M232" s="46">
        <f>'فرع الرواد'!M61</f>
        <v>0</v>
      </c>
      <c r="N232" s="46">
        <f>'فرع الرواد'!N61</f>
        <v>0</v>
      </c>
      <c r="O232" s="46">
        <f>'فرع الرواد'!O61</f>
        <v>0</v>
      </c>
      <c r="P232" s="46">
        <f>'فرع الرواد'!P61</f>
        <v>0</v>
      </c>
      <c r="Q232" s="46">
        <f>'فرع الرواد'!Q61</f>
        <v>0</v>
      </c>
      <c r="R232" s="47">
        <f>'فرع الرواد'!R61</f>
        <v>0</v>
      </c>
      <c r="S232" s="47">
        <f>'فرع الرواد'!S61</f>
        <v>0</v>
      </c>
      <c r="T232" s="46">
        <f>'فرع الرواد'!T61</f>
        <v>0</v>
      </c>
      <c r="U232" s="46">
        <f>'فرع الرواد'!U61</f>
        <v>0</v>
      </c>
      <c r="V232" s="46">
        <f>'فرع الرواد'!V61</f>
        <v>0</v>
      </c>
      <c r="W232" s="46">
        <f>'فرع الرواد'!W61</f>
        <v>0</v>
      </c>
      <c r="X232" s="46">
        <f>'فرع الرواد'!X61</f>
        <v>0</v>
      </c>
      <c r="Y232" s="46">
        <f>'فرع الرواد'!Y61</f>
        <v>0</v>
      </c>
      <c r="Z232" s="46">
        <f>'فرع الرواد'!Z61</f>
        <v>0</v>
      </c>
      <c r="AA232" s="46">
        <f>'فرع الرواد'!AA61</f>
        <v>0</v>
      </c>
      <c r="AB232" s="46">
        <f>'فرع الرواد'!AB61</f>
        <v>0</v>
      </c>
      <c r="AC232" s="46">
        <f>'فرع الرواد'!AC61</f>
        <v>0</v>
      </c>
      <c r="AD232" s="46">
        <f>'فرع الرواد'!AD61</f>
        <v>0</v>
      </c>
      <c r="AE232" s="46">
        <f>'فرع الرواد'!AE61</f>
        <v>0</v>
      </c>
      <c r="AF232" s="46">
        <f>'فرع الرواد'!AF61</f>
        <v>0</v>
      </c>
      <c r="AG232" s="46">
        <f>'فرع الرواد'!AG61</f>
        <v>0</v>
      </c>
      <c r="AH232" s="46">
        <f>'فرع الرواد'!AH61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+'فرع الرواد'!A62</f>
        <v>0</v>
      </c>
      <c r="B236" s="44">
        <f>+'فرع الرواد'!B62</f>
        <v>0</v>
      </c>
      <c r="C236" s="45">
        <f>+'فرع الرواد'!C62</f>
        <v>0</v>
      </c>
      <c r="D236" s="45">
        <f>+'فرع الرواد'!D62</f>
        <v>0</v>
      </c>
      <c r="E236" s="45">
        <f>+'فرع الرواد'!E62</f>
        <v>0</v>
      </c>
      <c r="F236" s="46">
        <f>'فرع الرواد'!F62</f>
        <v>0</v>
      </c>
      <c r="G236" s="46">
        <f>'فرع الرواد'!G62</f>
        <v>0</v>
      </c>
      <c r="H236" s="46">
        <f>'فرع الرواد'!H62</f>
        <v>0</v>
      </c>
      <c r="I236" s="46">
        <f>'فرع الرواد'!I62</f>
        <v>0</v>
      </c>
      <c r="J236" s="46">
        <f>'فرع الرواد'!J62</f>
        <v>0</v>
      </c>
      <c r="K236" s="46">
        <f>'فرع الرواد'!K62</f>
        <v>0</v>
      </c>
      <c r="L236" s="46">
        <f>'فرع الرواد'!L62</f>
        <v>0</v>
      </c>
      <c r="M236" s="46">
        <f>'فرع الرواد'!M62</f>
        <v>0</v>
      </c>
      <c r="N236" s="46">
        <f>'فرع الرواد'!N62</f>
        <v>0</v>
      </c>
      <c r="O236" s="46">
        <f>'فرع الرواد'!O62</f>
        <v>0</v>
      </c>
      <c r="P236" s="46">
        <f>'فرع الرواد'!P62</f>
        <v>0</v>
      </c>
      <c r="Q236" s="46">
        <f>'فرع الرواد'!Q62</f>
        <v>0</v>
      </c>
      <c r="R236" s="47">
        <f>'فرع الرواد'!R62</f>
        <v>0</v>
      </c>
      <c r="S236" s="47">
        <f>'فرع الرواد'!S62</f>
        <v>0</v>
      </c>
      <c r="T236" s="46">
        <f>'فرع الرواد'!T62</f>
        <v>0</v>
      </c>
      <c r="U236" s="46">
        <f>'فرع الرواد'!U62</f>
        <v>0</v>
      </c>
      <c r="V236" s="46">
        <f>'فرع الرواد'!V62</f>
        <v>0</v>
      </c>
      <c r="W236" s="46">
        <f>'فرع الرواد'!W62</f>
        <v>0</v>
      </c>
      <c r="X236" s="46">
        <f>'فرع الرواد'!X62</f>
        <v>0</v>
      </c>
      <c r="Y236" s="46">
        <f>'فرع الرواد'!Y62</f>
        <v>0</v>
      </c>
      <c r="Z236" s="46">
        <f>'فرع الرواد'!Z62</f>
        <v>0</v>
      </c>
      <c r="AA236" s="46">
        <f>'فرع الرواد'!AA62</f>
        <v>0</v>
      </c>
      <c r="AB236" s="46">
        <f>'فرع الرواد'!AB62</f>
        <v>0</v>
      </c>
      <c r="AC236" s="46">
        <f>'فرع الرواد'!AC62</f>
        <v>0</v>
      </c>
      <c r="AD236" s="46">
        <f>'فرع الرواد'!AD62</f>
        <v>0</v>
      </c>
      <c r="AE236" s="46">
        <f>'فرع الرواد'!AE62</f>
        <v>0</v>
      </c>
      <c r="AF236" s="46">
        <f>'فرع الرواد'!AF62</f>
        <v>0</v>
      </c>
      <c r="AG236" s="46">
        <f>'فرع الرواد'!AG62</f>
        <v>0</v>
      </c>
      <c r="AH236" s="46">
        <f>'فرع الرواد'!AH62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+'فرع الرواد'!A63</f>
        <v>0</v>
      </c>
      <c r="B240" s="44">
        <f>+'فرع الرواد'!B63</f>
        <v>0</v>
      </c>
      <c r="C240" s="45">
        <f>+'فرع الرواد'!C63</f>
        <v>0</v>
      </c>
      <c r="D240" s="45">
        <f>+'فرع الرواد'!D63</f>
        <v>0</v>
      </c>
      <c r="E240" s="45">
        <f>+'فرع الرواد'!E63</f>
        <v>0</v>
      </c>
      <c r="F240" s="46">
        <f>'فرع الرواد'!F63</f>
        <v>0</v>
      </c>
      <c r="G240" s="46">
        <f>'فرع الرواد'!G63</f>
        <v>0</v>
      </c>
      <c r="H240" s="46">
        <f>'فرع الرواد'!H63</f>
        <v>0</v>
      </c>
      <c r="I240" s="46">
        <f>'فرع الرواد'!I63</f>
        <v>0</v>
      </c>
      <c r="J240" s="46">
        <f>'فرع الرواد'!J63</f>
        <v>0</v>
      </c>
      <c r="K240" s="46">
        <f>'فرع الرواد'!K63</f>
        <v>0</v>
      </c>
      <c r="L240" s="46">
        <f>'فرع الرواد'!L63</f>
        <v>0</v>
      </c>
      <c r="M240" s="46">
        <f>'فرع الرواد'!M63</f>
        <v>0</v>
      </c>
      <c r="N240" s="46">
        <f>'فرع الرواد'!N63</f>
        <v>0</v>
      </c>
      <c r="O240" s="46">
        <f>'فرع الرواد'!O63</f>
        <v>0</v>
      </c>
      <c r="P240" s="46">
        <f>'فرع الرواد'!P63</f>
        <v>0</v>
      </c>
      <c r="Q240" s="46">
        <f>'فرع الرواد'!Q63</f>
        <v>0</v>
      </c>
      <c r="R240" s="47">
        <f>'فرع الرواد'!R63</f>
        <v>0</v>
      </c>
      <c r="S240" s="47">
        <f>'فرع الرواد'!S63</f>
        <v>0</v>
      </c>
      <c r="T240" s="46">
        <f>'فرع الرواد'!T63</f>
        <v>0</v>
      </c>
      <c r="U240" s="46">
        <f>'فرع الرواد'!U63</f>
        <v>0</v>
      </c>
      <c r="V240" s="46">
        <f>'فرع الرواد'!V63</f>
        <v>0</v>
      </c>
      <c r="W240" s="46">
        <f>'فرع الرواد'!W63</f>
        <v>0</v>
      </c>
      <c r="X240" s="46">
        <f>'فرع الرواد'!X63</f>
        <v>0</v>
      </c>
      <c r="Y240" s="46">
        <f>'فرع الرواد'!Y63</f>
        <v>0</v>
      </c>
      <c r="Z240" s="46">
        <f>'فرع الرواد'!Z63</f>
        <v>0</v>
      </c>
      <c r="AA240" s="46">
        <f>'فرع الرواد'!AA63</f>
        <v>0</v>
      </c>
      <c r="AB240" s="46">
        <f>'فرع الرواد'!AB63</f>
        <v>0</v>
      </c>
      <c r="AC240" s="46">
        <f>'فرع الرواد'!AC63</f>
        <v>0</v>
      </c>
      <c r="AD240" s="46">
        <f>'فرع الرواد'!AD63</f>
        <v>0</v>
      </c>
      <c r="AE240" s="46">
        <f>'فرع الرواد'!AE63</f>
        <v>0</v>
      </c>
      <c r="AF240" s="46">
        <f>'فرع الرواد'!AF63</f>
        <v>0</v>
      </c>
      <c r="AG240" s="46">
        <f>'فرع الرواد'!AG63</f>
        <v>0</v>
      </c>
      <c r="AH240" s="46">
        <f>'فرع الرواد'!AH63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+'فرع الرواد'!A64</f>
        <v>0</v>
      </c>
      <c r="B244" s="44">
        <f>+'فرع الرواد'!B64</f>
        <v>0</v>
      </c>
      <c r="C244" s="45">
        <f>+'فرع الرواد'!C64</f>
        <v>0</v>
      </c>
      <c r="D244" s="45">
        <f>+'فرع الرواد'!D64</f>
        <v>0</v>
      </c>
      <c r="E244" s="45">
        <f>+'فرع الرواد'!E64</f>
        <v>0</v>
      </c>
      <c r="F244" s="46">
        <f>'فرع الرواد'!F64</f>
        <v>0</v>
      </c>
      <c r="G244" s="46">
        <f>'فرع الرواد'!G64</f>
        <v>0</v>
      </c>
      <c r="H244" s="46">
        <f>'فرع الرواد'!H64</f>
        <v>0</v>
      </c>
      <c r="I244" s="46">
        <f>'فرع الرواد'!I64</f>
        <v>0</v>
      </c>
      <c r="J244" s="46">
        <f>'فرع الرواد'!J64</f>
        <v>0</v>
      </c>
      <c r="K244" s="46">
        <f>'فرع الرواد'!K64</f>
        <v>0</v>
      </c>
      <c r="L244" s="46">
        <f>'فرع الرواد'!L64</f>
        <v>0</v>
      </c>
      <c r="M244" s="46">
        <f>'فرع الرواد'!M64</f>
        <v>0</v>
      </c>
      <c r="N244" s="46">
        <f>'فرع الرواد'!N64</f>
        <v>0</v>
      </c>
      <c r="O244" s="46">
        <f>'فرع الرواد'!O64</f>
        <v>0</v>
      </c>
      <c r="P244" s="46">
        <f>'فرع الرواد'!P64</f>
        <v>0</v>
      </c>
      <c r="Q244" s="46">
        <f>'فرع الرواد'!Q64</f>
        <v>0</v>
      </c>
      <c r="R244" s="47">
        <f>'فرع الرواد'!R64</f>
        <v>0</v>
      </c>
      <c r="S244" s="47">
        <f>'فرع الرواد'!S64</f>
        <v>0</v>
      </c>
      <c r="T244" s="46">
        <f>'فرع الرواد'!T64</f>
        <v>0</v>
      </c>
      <c r="U244" s="46">
        <f>'فرع الرواد'!U64</f>
        <v>0</v>
      </c>
      <c r="V244" s="46">
        <f>'فرع الرواد'!V64</f>
        <v>0</v>
      </c>
      <c r="W244" s="46">
        <f>'فرع الرواد'!W64</f>
        <v>0</v>
      </c>
      <c r="X244" s="46">
        <f>'فرع الرواد'!X64</f>
        <v>0</v>
      </c>
      <c r="Y244" s="46">
        <f>'فرع الرواد'!Y64</f>
        <v>0</v>
      </c>
      <c r="Z244" s="46">
        <f>'فرع الرواد'!Z64</f>
        <v>0</v>
      </c>
      <c r="AA244" s="46">
        <f>'فرع الرواد'!AA64</f>
        <v>0</v>
      </c>
      <c r="AB244" s="46">
        <f>'فرع الرواد'!AB64</f>
        <v>0</v>
      </c>
      <c r="AC244" s="46">
        <f>'فرع الرواد'!AC64</f>
        <v>0</v>
      </c>
      <c r="AD244" s="46">
        <f>'فرع الرواد'!AD64</f>
        <v>0</v>
      </c>
      <c r="AE244" s="46">
        <f>'فرع الرواد'!AE64</f>
        <v>0</v>
      </c>
      <c r="AF244" s="46">
        <f>'فرع الرواد'!AF64</f>
        <v>0</v>
      </c>
      <c r="AG244" s="46">
        <f>'فرع الرواد'!AG64</f>
        <v>0</v>
      </c>
      <c r="AH244" s="46">
        <f>'فرع الرواد'!AH64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+'فرع الرواد'!A65</f>
        <v>0</v>
      </c>
      <c r="B248" s="44">
        <f>+'فرع الرواد'!B65</f>
        <v>0</v>
      </c>
      <c r="C248" s="45">
        <f>+'فرع الرواد'!C65</f>
        <v>0</v>
      </c>
      <c r="D248" s="45">
        <f>+'فرع الرواد'!D65</f>
        <v>0</v>
      </c>
      <c r="E248" s="45">
        <f>+'فرع الرواد'!E65</f>
        <v>0</v>
      </c>
      <c r="F248" s="46">
        <f>'فرع الرواد'!F65</f>
        <v>0</v>
      </c>
      <c r="G248" s="46">
        <f>'فرع الرواد'!G65</f>
        <v>0</v>
      </c>
      <c r="H248" s="46">
        <f>'فرع الرواد'!H65</f>
        <v>0</v>
      </c>
      <c r="I248" s="46">
        <f>'فرع الرواد'!I65</f>
        <v>0</v>
      </c>
      <c r="J248" s="46">
        <f>'فرع الرواد'!J65</f>
        <v>0</v>
      </c>
      <c r="K248" s="46">
        <f>'فرع الرواد'!K65</f>
        <v>0</v>
      </c>
      <c r="L248" s="46">
        <f>'فرع الرواد'!L65</f>
        <v>0</v>
      </c>
      <c r="M248" s="46">
        <f>'فرع الرواد'!M65</f>
        <v>0</v>
      </c>
      <c r="N248" s="46">
        <f>'فرع الرواد'!N65</f>
        <v>0</v>
      </c>
      <c r="O248" s="46">
        <f>'فرع الرواد'!O65</f>
        <v>0</v>
      </c>
      <c r="P248" s="46">
        <f>'فرع الرواد'!P65</f>
        <v>0</v>
      </c>
      <c r="Q248" s="46">
        <f>'فرع الرواد'!Q65</f>
        <v>0</v>
      </c>
      <c r="R248" s="47">
        <f>'فرع الرواد'!R65</f>
        <v>0</v>
      </c>
      <c r="S248" s="47">
        <f>'فرع الرواد'!S65</f>
        <v>0</v>
      </c>
      <c r="T248" s="46">
        <f>'فرع الرواد'!T65</f>
        <v>0</v>
      </c>
      <c r="U248" s="46">
        <f>'فرع الرواد'!U65</f>
        <v>0</v>
      </c>
      <c r="V248" s="46">
        <f>'فرع الرواد'!V65</f>
        <v>0</v>
      </c>
      <c r="W248" s="46">
        <f>'فرع الرواد'!W65</f>
        <v>0</v>
      </c>
      <c r="X248" s="46">
        <f>'فرع الرواد'!X65</f>
        <v>0</v>
      </c>
      <c r="Y248" s="46">
        <f>'فرع الرواد'!Y65</f>
        <v>0</v>
      </c>
      <c r="Z248" s="46">
        <f>'فرع الرواد'!Z65</f>
        <v>0</v>
      </c>
      <c r="AA248" s="46">
        <f>'فرع الرواد'!AA65</f>
        <v>0</v>
      </c>
      <c r="AB248" s="46">
        <f>'فرع الرواد'!AB65</f>
        <v>0</v>
      </c>
      <c r="AC248" s="46">
        <f>'فرع الرواد'!AC65</f>
        <v>0</v>
      </c>
      <c r="AD248" s="46">
        <f>'فرع الرواد'!AD65</f>
        <v>0</v>
      </c>
      <c r="AE248" s="46">
        <f>'فرع الرواد'!AE65</f>
        <v>0</v>
      </c>
      <c r="AF248" s="46">
        <f>'فرع الرواد'!AF65</f>
        <v>0</v>
      </c>
      <c r="AG248" s="46">
        <f>'فرع الرواد'!AG65</f>
        <v>0</v>
      </c>
      <c r="AH248" s="46">
        <f>'فرع الرواد'!AH65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+'فرع الرواد'!A66</f>
        <v>0</v>
      </c>
      <c r="B252" s="44">
        <f>+'فرع الرواد'!B66</f>
        <v>0</v>
      </c>
      <c r="C252" s="45">
        <f>+'فرع الرواد'!C66</f>
        <v>0</v>
      </c>
      <c r="D252" s="45">
        <f>+'فرع الرواد'!D66</f>
        <v>0</v>
      </c>
      <c r="E252" s="45">
        <f>+'فرع الرواد'!E66</f>
        <v>0</v>
      </c>
      <c r="F252" s="46">
        <f>'فرع الرواد'!F66</f>
        <v>0</v>
      </c>
      <c r="G252" s="46">
        <f>'فرع الرواد'!G66</f>
        <v>0</v>
      </c>
      <c r="H252" s="46">
        <f>'فرع الرواد'!H66</f>
        <v>0</v>
      </c>
      <c r="I252" s="46">
        <f>'فرع الرواد'!I66</f>
        <v>0</v>
      </c>
      <c r="J252" s="46">
        <f>'فرع الرواد'!J66</f>
        <v>0</v>
      </c>
      <c r="K252" s="46">
        <f>'فرع الرواد'!K66</f>
        <v>0</v>
      </c>
      <c r="L252" s="46">
        <f>'فرع الرواد'!L66</f>
        <v>0</v>
      </c>
      <c r="M252" s="46">
        <f>'فرع الرواد'!M66</f>
        <v>0</v>
      </c>
      <c r="N252" s="46">
        <f>'فرع الرواد'!N66</f>
        <v>0</v>
      </c>
      <c r="O252" s="46">
        <f>'فرع الرواد'!O66</f>
        <v>0</v>
      </c>
      <c r="P252" s="46">
        <f>'فرع الرواد'!P66</f>
        <v>0</v>
      </c>
      <c r="Q252" s="46">
        <f>'فرع الرواد'!Q66</f>
        <v>0</v>
      </c>
      <c r="R252" s="47">
        <f>'فرع الرواد'!R66</f>
        <v>0</v>
      </c>
      <c r="S252" s="47">
        <f>'فرع الرواد'!S66</f>
        <v>0</v>
      </c>
      <c r="T252" s="46">
        <f>'فرع الرواد'!T66</f>
        <v>0</v>
      </c>
      <c r="U252" s="46">
        <f>'فرع الرواد'!U66</f>
        <v>0</v>
      </c>
      <c r="V252" s="46">
        <f>'فرع الرواد'!V66</f>
        <v>0</v>
      </c>
      <c r="W252" s="46">
        <f>'فرع الرواد'!W66</f>
        <v>0</v>
      </c>
      <c r="X252" s="46">
        <f>'فرع الرواد'!X66</f>
        <v>0</v>
      </c>
      <c r="Y252" s="46">
        <f>'فرع الرواد'!Y66</f>
        <v>0</v>
      </c>
      <c r="Z252" s="46">
        <f>'فرع الرواد'!Z66</f>
        <v>0</v>
      </c>
      <c r="AA252" s="46">
        <f>'فرع الرواد'!AA66</f>
        <v>0</v>
      </c>
      <c r="AB252" s="46">
        <f>'فرع الرواد'!AB66</f>
        <v>0</v>
      </c>
      <c r="AC252" s="46">
        <f>'فرع الرواد'!AC66</f>
        <v>0</v>
      </c>
      <c r="AD252" s="46">
        <f>'فرع الرواد'!AD66</f>
        <v>0</v>
      </c>
      <c r="AE252" s="46">
        <f>'فرع الرواد'!AE66</f>
        <v>0</v>
      </c>
      <c r="AF252" s="46">
        <f>'فرع الرواد'!AF66</f>
        <v>0</v>
      </c>
      <c r="AG252" s="46">
        <f>'فرع الرواد'!AG66</f>
        <v>0</v>
      </c>
      <c r="AH252" s="46">
        <f>'فرع الرواد'!AH66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+'فرع الرواد'!A67</f>
        <v>0</v>
      </c>
      <c r="B256" s="44">
        <f>+'فرع الرواد'!B67</f>
        <v>0</v>
      </c>
      <c r="C256" s="45">
        <f>+'فرع الرواد'!C67</f>
        <v>0</v>
      </c>
      <c r="D256" s="45">
        <f>+'فرع الرواد'!D67</f>
        <v>0</v>
      </c>
      <c r="E256" s="45">
        <f>+'فرع الرواد'!E67</f>
        <v>0</v>
      </c>
      <c r="F256" s="46">
        <f>'فرع الرواد'!F67</f>
        <v>0</v>
      </c>
      <c r="G256" s="46">
        <f>'فرع الرواد'!G67</f>
        <v>0</v>
      </c>
      <c r="H256" s="46">
        <f>'فرع الرواد'!H67</f>
        <v>0</v>
      </c>
      <c r="I256" s="46">
        <f>'فرع الرواد'!I67</f>
        <v>0</v>
      </c>
      <c r="J256" s="46">
        <f>'فرع الرواد'!J67</f>
        <v>0</v>
      </c>
      <c r="K256" s="46">
        <f>'فرع الرواد'!K67</f>
        <v>0</v>
      </c>
      <c r="L256" s="46">
        <f>'فرع الرواد'!L67</f>
        <v>0</v>
      </c>
      <c r="M256" s="46">
        <f>'فرع الرواد'!M67</f>
        <v>0</v>
      </c>
      <c r="N256" s="46">
        <f>'فرع الرواد'!N67</f>
        <v>0</v>
      </c>
      <c r="O256" s="46">
        <f>'فرع الرواد'!O67</f>
        <v>0</v>
      </c>
      <c r="P256" s="46">
        <f>'فرع الرواد'!P67</f>
        <v>0</v>
      </c>
      <c r="Q256" s="46">
        <f>'فرع الرواد'!Q67</f>
        <v>0</v>
      </c>
      <c r="R256" s="47">
        <f>'فرع الرواد'!R67</f>
        <v>0</v>
      </c>
      <c r="S256" s="47">
        <f>'فرع الرواد'!S67</f>
        <v>0</v>
      </c>
      <c r="T256" s="46">
        <f>'فرع الرواد'!T67</f>
        <v>0</v>
      </c>
      <c r="U256" s="46">
        <f>'فرع الرواد'!U67</f>
        <v>0</v>
      </c>
      <c r="V256" s="46">
        <f>'فرع الرواد'!V67</f>
        <v>0</v>
      </c>
      <c r="W256" s="46">
        <f>'فرع الرواد'!W67</f>
        <v>0</v>
      </c>
      <c r="X256" s="46">
        <f>'فرع الرواد'!X67</f>
        <v>0</v>
      </c>
      <c r="Y256" s="46">
        <f>'فرع الرواد'!Y67</f>
        <v>0</v>
      </c>
      <c r="Z256" s="46">
        <f>'فرع الرواد'!Z67</f>
        <v>0</v>
      </c>
      <c r="AA256" s="46">
        <f>'فرع الرواد'!AA67</f>
        <v>0</v>
      </c>
      <c r="AB256" s="46">
        <f>'فرع الرواد'!AB67</f>
        <v>0</v>
      </c>
      <c r="AC256" s="46">
        <f>'فرع الرواد'!AC67</f>
        <v>0</v>
      </c>
      <c r="AD256" s="46">
        <f>'فرع الرواد'!AD67</f>
        <v>0</v>
      </c>
      <c r="AE256" s="46">
        <f>'فرع الرواد'!AE67</f>
        <v>0</v>
      </c>
      <c r="AF256" s="46">
        <f>'فرع الرواد'!AF67</f>
        <v>0</v>
      </c>
      <c r="AG256" s="46">
        <f>'فرع الرواد'!AG67</f>
        <v>0</v>
      </c>
      <c r="AH256" s="46">
        <f>'فرع الرواد'!AH67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+'فرع الرواد'!A68</f>
        <v>0</v>
      </c>
      <c r="B260" s="44">
        <f>+'فرع الرواد'!B68</f>
        <v>0</v>
      </c>
      <c r="C260" s="45">
        <f>+'فرع الرواد'!C68</f>
        <v>0</v>
      </c>
      <c r="D260" s="45">
        <f>+'فرع الرواد'!D68</f>
        <v>0</v>
      </c>
      <c r="E260" s="45">
        <f>+'فرع الرواد'!E68</f>
        <v>0</v>
      </c>
      <c r="F260" s="46">
        <f>'فرع الرواد'!F68</f>
        <v>0</v>
      </c>
      <c r="G260" s="46">
        <f>'فرع الرواد'!G68</f>
        <v>0</v>
      </c>
      <c r="H260" s="46">
        <f>'فرع الرواد'!H68</f>
        <v>0</v>
      </c>
      <c r="I260" s="46">
        <f>'فرع الرواد'!I68</f>
        <v>0</v>
      </c>
      <c r="J260" s="46">
        <f>'فرع الرواد'!J68</f>
        <v>0</v>
      </c>
      <c r="K260" s="46">
        <f>'فرع الرواد'!K68</f>
        <v>0</v>
      </c>
      <c r="L260" s="46">
        <f>'فرع الرواد'!L68</f>
        <v>0</v>
      </c>
      <c r="M260" s="46">
        <f>'فرع الرواد'!M68</f>
        <v>0</v>
      </c>
      <c r="N260" s="46">
        <f>'فرع الرواد'!N68</f>
        <v>0</v>
      </c>
      <c r="O260" s="46">
        <f>'فرع الرواد'!O68</f>
        <v>0</v>
      </c>
      <c r="P260" s="46">
        <f>'فرع الرواد'!P68</f>
        <v>0</v>
      </c>
      <c r="Q260" s="46">
        <f>'فرع الرواد'!Q68</f>
        <v>0</v>
      </c>
      <c r="R260" s="47">
        <f>'فرع الرواد'!R68</f>
        <v>0</v>
      </c>
      <c r="S260" s="47">
        <f>'فرع الرواد'!S68</f>
        <v>0</v>
      </c>
      <c r="T260" s="46">
        <f>'فرع الرواد'!T68</f>
        <v>0</v>
      </c>
      <c r="U260" s="46">
        <f>'فرع الرواد'!U68</f>
        <v>0</v>
      </c>
      <c r="V260" s="46">
        <f>'فرع الرواد'!V68</f>
        <v>0</v>
      </c>
      <c r="W260" s="46">
        <f>'فرع الرواد'!W68</f>
        <v>0</v>
      </c>
      <c r="X260" s="46">
        <f>'فرع الرواد'!X68</f>
        <v>0</v>
      </c>
      <c r="Y260" s="46">
        <f>'فرع الرواد'!Y68</f>
        <v>0</v>
      </c>
      <c r="Z260" s="46">
        <f>'فرع الرواد'!Z68</f>
        <v>0</v>
      </c>
      <c r="AA260" s="46">
        <f>'فرع الرواد'!AA68</f>
        <v>0</v>
      </c>
      <c r="AB260" s="46">
        <f>'فرع الرواد'!AB68</f>
        <v>0</v>
      </c>
      <c r="AC260" s="46">
        <f>'فرع الرواد'!AC68</f>
        <v>0</v>
      </c>
      <c r="AD260" s="46">
        <f>'فرع الرواد'!AD68</f>
        <v>0</v>
      </c>
      <c r="AE260" s="46">
        <f>'فرع الرواد'!AE68</f>
        <v>0</v>
      </c>
      <c r="AF260" s="46">
        <f>'فرع الرواد'!AF68</f>
        <v>0</v>
      </c>
      <c r="AG260" s="46">
        <f>'فرع الرواد'!AG68</f>
        <v>0</v>
      </c>
      <c r="AH260" s="46">
        <f>'فرع الرواد'!AH68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+'فرع الرواد'!A69</f>
        <v>0</v>
      </c>
      <c r="B264" s="44">
        <f>+'فرع الرواد'!B69</f>
        <v>0</v>
      </c>
      <c r="C264" s="45">
        <f>+'فرع الرواد'!C69</f>
        <v>0</v>
      </c>
      <c r="D264" s="45">
        <f>+'فرع الرواد'!D69</f>
        <v>0</v>
      </c>
      <c r="E264" s="45">
        <f>+'فرع الرواد'!E69</f>
        <v>0</v>
      </c>
      <c r="F264" s="46">
        <f>'فرع الرواد'!F69</f>
        <v>0</v>
      </c>
      <c r="G264" s="46">
        <f>'فرع الرواد'!G69</f>
        <v>0</v>
      </c>
      <c r="H264" s="46">
        <f>'فرع الرواد'!H69</f>
        <v>0</v>
      </c>
      <c r="I264" s="46">
        <f>'فرع الرواد'!I69</f>
        <v>0</v>
      </c>
      <c r="J264" s="46">
        <f>'فرع الرواد'!J69</f>
        <v>0</v>
      </c>
      <c r="K264" s="46">
        <f>'فرع الرواد'!K69</f>
        <v>0</v>
      </c>
      <c r="L264" s="46">
        <f>'فرع الرواد'!L69</f>
        <v>0</v>
      </c>
      <c r="M264" s="46">
        <f>'فرع الرواد'!M69</f>
        <v>0</v>
      </c>
      <c r="N264" s="46">
        <f>'فرع الرواد'!N69</f>
        <v>0</v>
      </c>
      <c r="O264" s="46">
        <f>'فرع الرواد'!O69</f>
        <v>0</v>
      </c>
      <c r="P264" s="46">
        <f>'فرع الرواد'!P69</f>
        <v>0</v>
      </c>
      <c r="Q264" s="46">
        <f>'فرع الرواد'!Q69</f>
        <v>0</v>
      </c>
      <c r="R264" s="47">
        <f>'فرع الرواد'!R69</f>
        <v>0</v>
      </c>
      <c r="S264" s="47">
        <f>'فرع الرواد'!S69</f>
        <v>0</v>
      </c>
      <c r="T264" s="46">
        <f>'فرع الرواد'!T69</f>
        <v>0</v>
      </c>
      <c r="U264" s="46">
        <f>'فرع الرواد'!U69</f>
        <v>0</v>
      </c>
      <c r="V264" s="46">
        <f>'فرع الرواد'!V69</f>
        <v>0</v>
      </c>
      <c r="W264" s="46">
        <f>'فرع الرواد'!W69</f>
        <v>0</v>
      </c>
      <c r="X264" s="46">
        <f>'فرع الرواد'!X69</f>
        <v>0</v>
      </c>
      <c r="Y264" s="46">
        <f>'فرع الرواد'!Y69</f>
        <v>0</v>
      </c>
      <c r="Z264" s="46">
        <f>'فرع الرواد'!Z69</f>
        <v>0</v>
      </c>
      <c r="AA264" s="46">
        <f>'فرع الرواد'!AA69</f>
        <v>0</v>
      </c>
      <c r="AB264" s="46">
        <f>'فرع الرواد'!AB69</f>
        <v>0</v>
      </c>
      <c r="AC264" s="46">
        <f>'فرع الرواد'!AC69</f>
        <v>0</v>
      </c>
      <c r="AD264" s="46">
        <f>'فرع الرواد'!AD69</f>
        <v>0</v>
      </c>
      <c r="AE264" s="46">
        <f>'فرع الرواد'!AE69</f>
        <v>0</v>
      </c>
      <c r="AF264" s="46">
        <f>'فرع الرواد'!AF69</f>
        <v>0</v>
      </c>
      <c r="AG264" s="46">
        <f>'فرع الرواد'!AG69</f>
        <v>0</v>
      </c>
      <c r="AH264" s="46">
        <f>'فرع الرواد'!AH69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+'فرع الرواد'!A70</f>
        <v>0</v>
      </c>
      <c r="B268" s="44">
        <f>+'فرع الرواد'!B70</f>
        <v>0</v>
      </c>
      <c r="C268" s="45">
        <f>+'فرع الرواد'!C70</f>
        <v>0</v>
      </c>
      <c r="D268" s="45">
        <f>+'فرع الرواد'!D70</f>
        <v>0</v>
      </c>
      <c r="E268" s="45">
        <f>+'فرع الرواد'!E70</f>
        <v>0</v>
      </c>
      <c r="F268" s="46">
        <f>'فرع الرواد'!F70</f>
        <v>0</v>
      </c>
      <c r="G268" s="46">
        <f>'فرع الرواد'!G70</f>
        <v>0</v>
      </c>
      <c r="H268" s="46">
        <f>'فرع الرواد'!H70</f>
        <v>0</v>
      </c>
      <c r="I268" s="46">
        <f>'فرع الرواد'!I70</f>
        <v>0</v>
      </c>
      <c r="J268" s="46">
        <f>'فرع الرواد'!J70</f>
        <v>0</v>
      </c>
      <c r="K268" s="46">
        <f>'فرع الرواد'!K70</f>
        <v>0</v>
      </c>
      <c r="L268" s="46">
        <f>'فرع الرواد'!L70</f>
        <v>0</v>
      </c>
      <c r="M268" s="46">
        <f>'فرع الرواد'!M70</f>
        <v>0</v>
      </c>
      <c r="N268" s="46">
        <f>'فرع الرواد'!N70</f>
        <v>0</v>
      </c>
      <c r="O268" s="46">
        <f>'فرع الرواد'!O70</f>
        <v>0</v>
      </c>
      <c r="P268" s="46">
        <f>'فرع الرواد'!P70</f>
        <v>0</v>
      </c>
      <c r="Q268" s="46">
        <f>'فرع الرواد'!Q70</f>
        <v>0</v>
      </c>
      <c r="R268" s="47">
        <f>'فرع الرواد'!R70</f>
        <v>0</v>
      </c>
      <c r="S268" s="47">
        <f>'فرع الرواد'!S70</f>
        <v>0</v>
      </c>
      <c r="T268" s="46">
        <f>'فرع الرواد'!T70</f>
        <v>0</v>
      </c>
      <c r="U268" s="46">
        <f>'فرع الرواد'!U70</f>
        <v>0</v>
      </c>
      <c r="V268" s="46">
        <f>'فرع الرواد'!V70</f>
        <v>0</v>
      </c>
      <c r="W268" s="46">
        <f>'فرع الرواد'!W70</f>
        <v>0</v>
      </c>
      <c r="X268" s="46">
        <f>'فرع الرواد'!X70</f>
        <v>0</v>
      </c>
      <c r="Y268" s="46">
        <f>'فرع الرواد'!Y70</f>
        <v>0</v>
      </c>
      <c r="Z268" s="46">
        <f>'فرع الرواد'!Z70</f>
        <v>0</v>
      </c>
      <c r="AA268" s="46">
        <f>'فرع الرواد'!AA70</f>
        <v>0</v>
      </c>
      <c r="AB268" s="46">
        <f>'فرع الرواد'!AB70</f>
        <v>0</v>
      </c>
      <c r="AC268" s="46">
        <f>'فرع الرواد'!AC70</f>
        <v>0</v>
      </c>
      <c r="AD268" s="46">
        <f>'فرع الرواد'!AD70</f>
        <v>0</v>
      </c>
      <c r="AE268" s="46">
        <f>'فرع الرواد'!AE70</f>
        <v>0</v>
      </c>
      <c r="AF268" s="46">
        <f>'فرع الرواد'!AF70</f>
        <v>0</v>
      </c>
      <c r="AG268" s="46">
        <f>'فرع الرواد'!AG70</f>
        <v>0</v>
      </c>
      <c r="AH268" s="46">
        <f>'فرع الرواد'!AH70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+'فرع الرواد'!A71</f>
        <v>0</v>
      </c>
      <c r="B272" s="44">
        <f>+'فرع الرواد'!B71</f>
        <v>0</v>
      </c>
      <c r="C272" s="45">
        <f>+'فرع الرواد'!C71</f>
        <v>0</v>
      </c>
      <c r="D272" s="45">
        <f>+'فرع الرواد'!D71</f>
        <v>0</v>
      </c>
      <c r="E272" s="45">
        <f>+'فرع الرواد'!E71</f>
        <v>0</v>
      </c>
      <c r="F272" s="46">
        <f>'فرع الرواد'!F71</f>
        <v>0</v>
      </c>
      <c r="G272" s="46">
        <f>'فرع الرواد'!G71</f>
        <v>0</v>
      </c>
      <c r="H272" s="46">
        <f>'فرع الرواد'!H71</f>
        <v>0</v>
      </c>
      <c r="I272" s="46">
        <f>'فرع الرواد'!I71</f>
        <v>0</v>
      </c>
      <c r="J272" s="46">
        <f>'فرع الرواد'!J71</f>
        <v>0</v>
      </c>
      <c r="K272" s="46">
        <f>'فرع الرواد'!K71</f>
        <v>0</v>
      </c>
      <c r="L272" s="46">
        <f>'فرع الرواد'!L71</f>
        <v>0</v>
      </c>
      <c r="M272" s="46">
        <f>'فرع الرواد'!M71</f>
        <v>0</v>
      </c>
      <c r="N272" s="46">
        <f>'فرع الرواد'!N71</f>
        <v>0</v>
      </c>
      <c r="O272" s="46">
        <f>'فرع الرواد'!O71</f>
        <v>0</v>
      </c>
      <c r="P272" s="46">
        <f>'فرع الرواد'!P71</f>
        <v>0</v>
      </c>
      <c r="Q272" s="46">
        <f>'فرع الرواد'!Q71</f>
        <v>0</v>
      </c>
      <c r="R272" s="47">
        <f>'فرع الرواد'!R71</f>
        <v>0</v>
      </c>
      <c r="S272" s="47">
        <f>'فرع الرواد'!S71</f>
        <v>0</v>
      </c>
      <c r="T272" s="46">
        <f>'فرع الرواد'!T71</f>
        <v>0</v>
      </c>
      <c r="U272" s="46">
        <f>'فرع الرواد'!U71</f>
        <v>0</v>
      </c>
      <c r="V272" s="46">
        <f>'فرع الرواد'!V71</f>
        <v>0</v>
      </c>
      <c r="W272" s="46">
        <f>'فرع الرواد'!W71</f>
        <v>0</v>
      </c>
      <c r="X272" s="46">
        <f>'فرع الرواد'!X71</f>
        <v>0</v>
      </c>
      <c r="Y272" s="46">
        <f>'فرع الرواد'!Y71</f>
        <v>0</v>
      </c>
      <c r="Z272" s="46">
        <f>'فرع الرواد'!Z71</f>
        <v>0</v>
      </c>
      <c r="AA272" s="46">
        <f>'فرع الرواد'!AA71</f>
        <v>0</v>
      </c>
      <c r="AB272" s="46">
        <f>'فرع الرواد'!AB71</f>
        <v>0</v>
      </c>
      <c r="AC272" s="46">
        <f>'فرع الرواد'!AC71</f>
        <v>0</v>
      </c>
      <c r="AD272" s="46">
        <f>'فرع الرواد'!AD71</f>
        <v>0</v>
      </c>
      <c r="AE272" s="46">
        <f>'فرع الرواد'!AE71</f>
        <v>0</v>
      </c>
      <c r="AF272" s="46">
        <f>'فرع الرواد'!AF71</f>
        <v>0</v>
      </c>
      <c r="AG272" s="46">
        <f>'فرع الرواد'!AG71</f>
        <v>0</v>
      </c>
      <c r="AH272" s="46">
        <f>'فرع الرواد'!AH71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+'فرع الرواد'!A72</f>
        <v>0</v>
      </c>
      <c r="B276" s="44">
        <f>+'فرع الرواد'!B72</f>
        <v>0</v>
      </c>
      <c r="C276" s="45">
        <f>+'فرع الرواد'!C72</f>
        <v>0</v>
      </c>
      <c r="D276" s="45">
        <f>+'فرع الرواد'!D72</f>
        <v>0</v>
      </c>
      <c r="E276" s="45">
        <f>+'فرع الرواد'!E72</f>
        <v>0</v>
      </c>
      <c r="F276" s="46">
        <f>'فرع الرواد'!F72</f>
        <v>0</v>
      </c>
      <c r="G276" s="46">
        <f>'فرع الرواد'!G72</f>
        <v>0</v>
      </c>
      <c r="H276" s="46">
        <f>'فرع الرواد'!H72</f>
        <v>0</v>
      </c>
      <c r="I276" s="46">
        <f>'فرع الرواد'!I72</f>
        <v>0</v>
      </c>
      <c r="J276" s="46">
        <f>'فرع الرواد'!J72</f>
        <v>0</v>
      </c>
      <c r="K276" s="46">
        <f>'فرع الرواد'!K72</f>
        <v>0</v>
      </c>
      <c r="L276" s="46">
        <f>'فرع الرواد'!L72</f>
        <v>0</v>
      </c>
      <c r="M276" s="46">
        <f>'فرع الرواد'!M72</f>
        <v>0</v>
      </c>
      <c r="N276" s="46">
        <f>'فرع الرواد'!N72</f>
        <v>0</v>
      </c>
      <c r="O276" s="46">
        <f>'فرع الرواد'!O72</f>
        <v>0</v>
      </c>
      <c r="P276" s="46">
        <f>'فرع الرواد'!P72</f>
        <v>0</v>
      </c>
      <c r="Q276" s="46">
        <f>'فرع الرواد'!Q72</f>
        <v>0</v>
      </c>
      <c r="R276" s="47">
        <f>'فرع الرواد'!R72</f>
        <v>0</v>
      </c>
      <c r="S276" s="47">
        <f>'فرع الرواد'!S72</f>
        <v>0</v>
      </c>
      <c r="T276" s="46">
        <f>'فرع الرواد'!T72</f>
        <v>0</v>
      </c>
      <c r="U276" s="46">
        <f>'فرع الرواد'!U72</f>
        <v>0</v>
      </c>
      <c r="V276" s="46">
        <f>'فرع الرواد'!V72</f>
        <v>0</v>
      </c>
      <c r="W276" s="46">
        <f>'فرع الرواد'!W72</f>
        <v>0</v>
      </c>
      <c r="X276" s="46">
        <f>'فرع الرواد'!X72</f>
        <v>0</v>
      </c>
      <c r="Y276" s="46">
        <f>'فرع الرواد'!Y72</f>
        <v>0</v>
      </c>
      <c r="Z276" s="46">
        <f>'فرع الرواد'!Z72</f>
        <v>0</v>
      </c>
      <c r="AA276" s="46">
        <f>'فرع الرواد'!AA72</f>
        <v>0</v>
      </c>
      <c r="AB276" s="46">
        <f>'فرع الرواد'!AB72</f>
        <v>0</v>
      </c>
      <c r="AC276" s="46">
        <f>'فرع الرواد'!AC72</f>
        <v>0</v>
      </c>
      <c r="AD276" s="46">
        <f>'فرع الرواد'!AD72</f>
        <v>0</v>
      </c>
      <c r="AE276" s="46">
        <f>'فرع الرواد'!AE72</f>
        <v>0</v>
      </c>
      <c r="AF276" s="46">
        <f>'فرع الرواد'!AF72</f>
        <v>0</v>
      </c>
      <c r="AG276" s="46">
        <f>'فرع الرواد'!AG72</f>
        <v>0</v>
      </c>
      <c r="AH276" s="46">
        <f>'فرع الرواد'!AH72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+'فرع الرواد'!A73</f>
        <v>0</v>
      </c>
      <c r="B280" s="44">
        <f>+'فرع الرواد'!B73</f>
        <v>0</v>
      </c>
      <c r="C280" s="45">
        <f>+'فرع الرواد'!C73</f>
        <v>0</v>
      </c>
      <c r="D280" s="45">
        <f>+'فرع الرواد'!D73</f>
        <v>0</v>
      </c>
      <c r="E280" s="45">
        <f>+'فرع الرواد'!E73</f>
        <v>0</v>
      </c>
      <c r="F280" s="46">
        <f>'فرع الرواد'!F73</f>
        <v>0</v>
      </c>
      <c r="G280" s="46">
        <f>'فرع الرواد'!G73</f>
        <v>0</v>
      </c>
      <c r="H280" s="46">
        <f>'فرع الرواد'!H73</f>
        <v>0</v>
      </c>
      <c r="I280" s="46">
        <f>'فرع الرواد'!I73</f>
        <v>0</v>
      </c>
      <c r="J280" s="46">
        <f>'فرع الرواد'!J73</f>
        <v>0</v>
      </c>
      <c r="K280" s="46">
        <f>'فرع الرواد'!K73</f>
        <v>0</v>
      </c>
      <c r="L280" s="46">
        <f>'فرع الرواد'!L73</f>
        <v>0</v>
      </c>
      <c r="M280" s="46">
        <f>'فرع الرواد'!M73</f>
        <v>0</v>
      </c>
      <c r="N280" s="46">
        <f>'فرع الرواد'!N73</f>
        <v>0</v>
      </c>
      <c r="O280" s="46">
        <f>'فرع الرواد'!O73</f>
        <v>0</v>
      </c>
      <c r="P280" s="46">
        <f>'فرع الرواد'!P73</f>
        <v>0</v>
      </c>
      <c r="Q280" s="46">
        <f>'فرع الرواد'!Q73</f>
        <v>0</v>
      </c>
      <c r="R280" s="47">
        <f>'فرع الرواد'!R73</f>
        <v>0</v>
      </c>
      <c r="S280" s="47">
        <f>'فرع الرواد'!S73</f>
        <v>0</v>
      </c>
      <c r="T280" s="46">
        <f>'فرع الرواد'!T73</f>
        <v>0</v>
      </c>
      <c r="U280" s="46">
        <f>'فرع الرواد'!U73</f>
        <v>0</v>
      </c>
      <c r="V280" s="46">
        <f>'فرع الرواد'!V73</f>
        <v>0</v>
      </c>
      <c r="W280" s="46">
        <f>'فرع الرواد'!W73</f>
        <v>0</v>
      </c>
      <c r="X280" s="46">
        <f>'فرع الرواد'!X73</f>
        <v>0</v>
      </c>
      <c r="Y280" s="46">
        <f>'فرع الرواد'!Y73</f>
        <v>0</v>
      </c>
      <c r="Z280" s="46">
        <f>'فرع الرواد'!Z73</f>
        <v>0</v>
      </c>
      <c r="AA280" s="46">
        <f>'فرع الرواد'!AA73</f>
        <v>0</v>
      </c>
      <c r="AB280" s="46">
        <f>'فرع الرواد'!AB73</f>
        <v>0</v>
      </c>
      <c r="AC280" s="46">
        <f>'فرع الرواد'!AC73</f>
        <v>0</v>
      </c>
      <c r="AD280" s="46">
        <f>'فرع الرواد'!AD73</f>
        <v>0</v>
      </c>
      <c r="AE280" s="46">
        <f>'فرع الرواد'!AE73</f>
        <v>0</v>
      </c>
      <c r="AF280" s="46">
        <f>'فرع الرواد'!AF73</f>
        <v>0</v>
      </c>
      <c r="AG280" s="46">
        <f>'فرع الرواد'!AG73</f>
        <v>0</v>
      </c>
      <c r="AH280" s="46">
        <f>'فرع الرواد'!AH73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+'فرع الرواد'!A74</f>
        <v>0</v>
      </c>
      <c r="B284" s="44">
        <f>+'فرع الرواد'!B74</f>
        <v>0</v>
      </c>
      <c r="C284" s="45">
        <f>+'فرع الرواد'!C74</f>
        <v>0</v>
      </c>
      <c r="D284" s="45">
        <f>+'فرع الرواد'!D74</f>
        <v>0</v>
      </c>
      <c r="E284" s="45">
        <f>+'فرع الرواد'!E74</f>
        <v>0</v>
      </c>
      <c r="F284" s="46">
        <f>'فرع الرواد'!F74</f>
        <v>0</v>
      </c>
      <c r="G284" s="46">
        <f>'فرع الرواد'!G74</f>
        <v>0</v>
      </c>
      <c r="H284" s="46">
        <f>'فرع الرواد'!H74</f>
        <v>0</v>
      </c>
      <c r="I284" s="46">
        <f>'فرع الرواد'!I74</f>
        <v>0</v>
      </c>
      <c r="J284" s="46">
        <f>'فرع الرواد'!J74</f>
        <v>0</v>
      </c>
      <c r="K284" s="46">
        <f>'فرع الرواد'!K74</f>
        <v>0</v>
      </c>
      <c r="L284" s="46">
        <f>'فرع الرواد'!L74</f>
        <v>0</v>
      </c>
      <c r="M284" s="46">
        <f>'فرع الرواد'!M74</f>
        <v>0</v>
      </c>
      <c r="N284" s="46">
        <f>'فرع الرواد'!N74</f>
        <v>0</v>
      </c>
      <c r="O284" s="46">
        <f>'فرع الرواد'!O74</f>
        <v>0</v>
      </c>
      <c r="P284" s="46">
        <f>'فرع الرواد'!P74</f>
        <v>0</v>
      </c>
      <c r="Q284" s="46">
        <f>'فرع الرواد'!Q74</f>
        <v>0</v>
      </c>
      <c r="R284" s="47">
        <f>'فرع الرواد'!R74</f>
        <v>0</v>
      </c>
      <c r="S284" s="47">
        <f>'فرع الرواد'!S74</f>
        <v>0</v>
      </c>
      <c r="T284" s="46">
        <f>'فرع الرواد'!T74</f>
        <v>0</v>
      </c>
      <c r="U284" s="46">
        <f>'فرع الرواد'!U74</f>
        <v>0</v>
      </c>
      <c r="V284" s="46">
        <f>'فرع الرواد'!V74</f>
        <v>0</v>
      </c>
      <c r="W284" s="46">
        <f>'فرع الرواد'!W74</f>
        <v>0</v>
      </c>
      <c r="X284" s="46">
        <f>'فرع الرواد'!X74</f>
        <v>0</v>
      </c>
      <c r="Y284" s="46">
        <f>'فرع الرواد'!Y74</f>
        <v>0</v>
      </c>
      <c r="Z284" s="46">
        <f>'فرع الرواد'!Z74</f>
        <v>0</v>
      </c>
      <c r="AA284" s="46">
        <f>'فرع الرواد'!AA74</f>
        <v>0</v>
      </c>
      <c r="AB284" s="46">
        <f>'فرع الرواد'!AB74</f>
        <v>0</v>
      </c>
      <c r="AC284" s="46">
        <f>'فرع الرواد'!AC74</f>
        <v>0</v>
      </c>
      <c r="AD284" s="46">
        <f>'فرع الرواد'!AD74</f>
        <v>0</v>
      </c>
      <c r="AE284" s="46">
        <f>'فرع الرواد'!AE74</f>
        <v>0</v>
      </c>
      <c r="AF284" s="46">
        <f>'فرع الرواد'!AF74</f>
        <v>0</v>
      </c>
      <c r="AG284" s="46">
        <f>'فرع الرواد'!AG74</f>
        <v>0</v>
      </c>
      <c r="AH284" s="46">
        <f>'فرع الرواد'!AH74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+'فرع الرواد'!A75</f>
        <v>0</v>
      </c>
      <c r="B288" s="44">
        <f>+'فرع الرواد'!B75</f>
        <v>0</v>
      </c>
      <c r="C288" s="45">
        <f>+'فرع الرواد'!C75</f>
        <v>0</v>
      </c>
      <c r="D288" s="45">
        <f>+'فرع الرواد'!D75</f>
        <v>0</v>
      </c>
      <c r="E288" s="45">
        <f>+'فرع الرواد'!E75</f>
        <v>0</v>
      </c>
      <c r="F288" s="46">
        <f>'فرع الرواد'!F75</f>
        <v>0</v>
      </c>
      <c r="G288" s="46">
        <f>'فرع الرواد'!G75</f>
        <v>0</v>
      </c>
      <c r="H288" s="46">
        <f>'فرع الرواد'!H75</f>
        <v>0</v>
      </c>
      <c r="I288" s="46">
        <f>'فرع الرواد'!I75</f>
        <v>0</v>
      </c>
      <c r="J288" s="46">
        <f>'فرع الرواد'!J75</f>
        <v>0</v>
      </c>
      <c r="K288" s="46">
        <f>'فرع الرواد'!K75</f>
        <v>0</v>
      </c>
      <c r="L288" s="46">
        <f>'فرع الرواد'!L75</f>
        <v>0</v>
      </c>
      <c r="M288" s="46">
        <f>'فرع الرواد'!M75</f>
        <v>0</v>
      </c>
      <c r="N288" s="46">
        <f>'فرع الرواد'!N75</f>
        <v>0</v>
      </c>
      <c r="O288" s="46">
        <f>'فرع الرواد'!O75</f>
        <v>0</v>
      </c>
      <c r="P288" s="46">
        <f>'فرع الرواد'!P75</f>
        <v>0</v>
      </c>
      <c r="Q288" s="46">
        <f>'فرع الرواد'!Q75</f>
        <v>0</v>
      </c>
      <c r="R288" s="47">
        <f>'فرع الرواد'!R75</f>
        <v>0</v>
      </c>
      <c r="S288" s="47">
        <f>'فرع الرواد'!S75</f>
        <v>0</v>
      </c>
      <c r="T288" s="46">
        <f>'فرع الرواد'!T75</f>
        <v>0</v>
      </c>
      <c r="U288" s="46">
        <f>'فرع الرواد'!U75</f>
        <v>0</v>
      </c>
      <c r="V288" s="46">
        <f>'فرع الرواد'!V75</f>
        <v>0</v>
      </c>
      <c r="W288" s="46">
        <f>'فرع الرواد'!W75</f>
        <v>0</v>
      </c>
      <c r="X288" s="46">
        <f>'فرع الرواد'!X75</f>
        <v>0</v>
      </c>
      <c r="Y288" s="46">
        <f>'فرع الرواد'!Y75</f>
        <v>0</v>
      </c>
      <c r="Z288" s="46">
        <f>'فرع الرواد'!Z75</f>
        <v>0</v>
      </c>
      <c r="AA288" s="46">
        <f>'فرع الرواد'!AA75</f>
        <v>0</v>
      </c>
      <c r="AB288" s="46">
        <f>'فرع الرواد'!AB75</f>
        <v>0</v>
      </c>
      <c r="AC288" s="46">
        <f>'فرع الرواد'!AC75</f>
        <v>0</v>
      </c>
      <c r="AD288" s="46">
        <f>'فرع الرواد'!AD75</f>
        <v>0</v>
      </c>
      <c r="AE288" s="46">
        <f>'فرع الرواد'!AE75</f>
        <v>0</v>
      </c>
      <c r="AF288" s="46">
        <f>'فرع الرواد'!AF75</f>
        <v>0</v>
      </c>
      <c r="AG288" s="46">
        <f>'فرع الرواد'!AG75</f>
        <v>0</v>
      </c>
      <c r="AH288" s="46">
        <f>'فرع الرواد'!AH75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+'فرع الرواد'!A76</f>
        <v>0</v>
      </c>
      <c r="B292" s="44">
        <f>+'فرع الرواد'!B76</f>
        <v>0</v>
      </c>
      <c r="C292" s="45">
        <f>+'فرع الرواد'!C76</f>
        <v>0</v>
      </c>
      <c r="D292" s="45">
        <f>+'فرع الرواد'!D76</f>
        <v>0</v>
      </c>
      <c r="E292" s="45">
        <f>+'فرع الرواد'!E76</f>
        <v>0</v>
      </c>
      <c r="F292" s="46">
        <f>'فرع الرواد'!F76</f>
        <v>0</v>
      </c>
      <c r="G292" s="46">
        <f>'فرع الرواد'!G76</f>
        <v>0</v>
      </c>
      <c r="H292" s="46">
        <f>'فرع الرواد'!H76</f>
        <v>0</v>
      </c>
      <c r="I292" s="46">
        <f>'فرع الرواد'!I76</f>
        <v>0</v>
      </c>
      <c r="J292" s="46">
        <f>'فرع الرواد'!J76</f>
        <v>0</v>
      </c>
      <c r="K292" s="46">
        <f>'فرع الرواد'!K76</f>
        <v>0</v>
      </c>
      <c r="L292" s="46">
        <f>'فرع الرواد'!L76</f>
        <v>0</v>
      </c>
      <c r="M292" s="46">
        <f>'فرع الرواد'!M76</f>
        <v>0</v>
      </c>
      <c r="N292" s="46">
        <f>'فرع الرواد'!N76</f>
        <v>0</v>
      </c>
      <c r="O292" s="46">
        <f>'فرع الرواد'!O76</f>
        <v>0</v>
      </c>
      <c r="P292" s="46">
        <f>'فرع الرواد'!P76</f>
        <v>0</v>
      </c>
      <c r="Q292" s="46">
        <f>'فرع الرواد'!Q76</f>
        <v>0</v>
      </c>
      <c r="R292" s="47">
        <f>'فرع الرواد'!R76</f>
        <v>0</v>
      </c>
      <c r="S292" s="47">
        <f>'فرع الرواد'!S76</f>
        <v>0</v>
      </c>
      <c r="T292" s="46">
        <f>'فرع الرواد'!T76</f>
        <v>0</v>
      </c>
      <c r="U292" s="46">
        <f>'فرع الرواد'!U76</f>
        <v>0</v>
      </c>
      <c r="V292" s="46">
        <f>'فرع الرواد'!V76</f>
        <v>0</v>
      </c>
      <c r="W292" s="46">
        <f>'فرع الرواد'!W76</f>
        <v>0</v>
      </c>
      <c r="X292" s="46">
        <f>'فرع الرواد'!X76</f>
        <v>0</v>
      </c>
      <c r="Y292" s="46">
        <f>'فرع الرواد'!Y76</f>
        <v>0</v>
      </c>
      <c r="Z292" s="46">
        <f>'فرع الرواد'!Z76</f>
        <v>0</v>
      </c>
      <c r="AA292" s="46">
        <f>'فرع الرواد'!AA76</f>
        <v>0</v>
      </c>
      <c r="AB292" s="46">
        <f>'فرع الرواد'!AB76</f>
        <v>0</v>
      </c>
      <c r="AC292" s="46">
        <f>'فرع الرواد'!AC76</f>
        <v>0</v>
      </c>
      <c r="AD292" s="46">
        <f>'فرع الرواد'!AD76</f>
        <v>0</v>
      </c>
      <c r="AE292" s="46">
        <f>'فرع الرواد'!AE76</f>
        <v>0</v>
      </c>
      <c r="AF292" s="46">
        <f>'فرع الرواد'!AF76</f>
        <v>0</v>
      </c>
      <c r="AG292" s="46">
        <f>'فرع الرواد'!AG76</f>
        <v>0</v>
      </c>
      <c r="AH292" s="46">
        <f>'فرع الرواد'!AH76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+'فرع الرواد'!A77</f>
        <v>0</v>
      </c>
      <c r="B296" s="44">
        <f>+'فرع الرواد'!B77</f>
        <v>0</v>
      </c>
      <c r="C296" s="45">
        <f>+'فرع الرواد'!C77</f>
        <v>0</v>
      </c>
      <c r="D296" s="45">
        <f>+'فرع الرواد'!D77</f>
        <v>0</v>
      </c>
      <c r="E296" s="45">
        <f>+'فرع الرواد'!E77</f>
        <v>0</v>
      </c>
      <c r="F296" s="46">
        <f>'فرع الرواد'!F77</f>
        <v>0</v>
      </c>
      <c r="G296" s="46">
        <f>'فرع الرواد'!G77</f>
        <v>0</v>
      </c>
      <c r="H296" s="46">
        <f>'فرع الرواد'!H77</f>
        <v>0</v>
      </c>
      <c r="I296" s="46">
        <f>'فرع الرواد'!I77</f>
        <v>0</v>
      </c>
      <c r="J296" s="46">
        <f>'فرع الرواد'!J77</f>
        <v>0</v>
      </c>
      <c r="K296" s="46">
        <f>'فرع الرواد'!K77</f>
        <v>0</v>
      </c>
      <c r="L296" s="46">
        <f>'فرع الرواد'!L77</f>
        <v>0</v>
      </c>
      <c r="M296" s="46">
        <f>'فرع الرواد'!M77</f>
        <v>0</v>
      </c>
      <c r="N296" s="46">
        <f>'فرع الرواد'!N77</f>
        <v>0</v>
      </c>
      <c r="O296" s="46">
        <f>'فرع الرواد'!O77</f>
        <v>0</v>
      </c>
      <c r="P296" s="46">
        <f>'فرع الرواد'!P77</f>
        <v>0</v>
      </c>
      <c r="Q296" s="46">
        <f>'فرع الرواد'!Q77</f>
        <v>0</v>
      </c>
      <c r="R296" s="47">
        <f>'فرع الرواد'!R77</f>
        <v>0</v>
      </c>
      <c r="S296" s="47">
        <f>'فرع الرواد'!S77</f>
        <v>0</v>
      </c>
      <c r="T296" s="46">
        <f>'فرع الرواد'!T77</f>
        <v>0</v>
      </c>
      <c r="U296" s="46">
        <f>'فرع الرواد'!U77</f>
        <v>0</v>
      </c>
      <c r="V296" s="46">
        <f>'فرع الرواد'!V77</f>
        <v>0</v>
      </c>
      <c r="W296" s="46">
        <f>'فرع الرواد'!W77</f>
        <v>0</v>
      </c>
      <c r="X296" s="46">
        <f>'فرع الرواد'!X77</f>
        <v>0</v>
      </c>
      <c r="Y296" s="46">
        <f>'فرع الرواد'!Y77</f>
        <v>0</v>
      </c>
      <c r="Z296" s="46">
        <f>'فرع الرواد'!Z77</f>
        <v>0</v>
      </c>
      <c r="AA296" s="46">
        <f>'فرع الرواد'!AA77</f>
        <v>0</v>
      </c>
      <c r="AB296" s="46">
        <f>'فرع الرواد'!AB77</f>
        <v>0</v>
      </c>
      <c r="AC296" s="46">
        <f>'فرع الرواد'!AC77</f>
        <v>0</v>
      </c>
      <c r="AD296" s="46">
        <f>'فرع الرواد'!AD77</f>
        <v>0</v>
      </c>
      <c r="AE296" s="46">
        <f>'فرع الرواد'!AE77</f>
        <v>0</v>
      </c>
      <c r="AF296" s="46">
        <f>'فرع الرواد'!AF77</f>
        <v>0</v>
      </c>
      <c r="AG296" s="46">
        <f>'فرع الرواد'!AG77</f>
        <v>0</v>
      </c>
      <c r="AH296" s="46">
        <f>'فرع الرواد'!AH77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+'فرع الرواد'!A78</f>
        <v>0</v>
      </c>
      <c r="B300" s="44">
        <f>+'فرع الرواد'!B78</f>
        <v>0</v>
      </c>
      <c r="C300" s="45">
        <f>+'فرع الرواد'!C78</f>
        <v>0</v>
      </c>
      <c r="D300" s="45">
        <f>+'فرع الرواد'!D78</f>
        <v>0</v>
      </c>
      <c r="E300" s="45">
        <f>+'فرع الرواد'!E78</f>
        <v>0</v>
      </c>
      <c r="F300" s="46">
        <f>'فرع الرواد'!F78</f>
        <v>0</v>
      </c>
      <c r="G300" s="46">
        <f>'فرع الرواد'!G78</f>
        <v>0</v>
      </c>
      <c r="H300" s="46">
        <f>'فرع الرواد'!H78</f>
        <v>0</v>
      </c>
      <c r="I300" s="46">
        <f>'فرع الرواد'!I78</f>
        <v>0</v>
      </c>
      <c r="J300" s="46">
        <f>'فرع الرواد'!J78</f>
        <v>0</v>
      </c>
      <c r="K300" s="46">
        <f>'فرع الرواد'!K78</f>
        <v>0</v>
      </c>
      <c r="L300" s="46">
        <f>'فرع الرواد'!L78</f>
        <v>0</v>
      </c>
      <c r="M300" s="46">
        <f>'فرع الرواد'!M78</f>
        <v>0</v>
      </c>
      <c r="N300" s="46">
        <f>'فرع الرواد'!N78</f>
        <v>0</v>
      </c>
      <c r="O300" s="46">
        <f>'فرع الرواد'!O78</f>
        <v>0</v>
      </c>
      <c r="P300" s="46">
        <f>'فرع الرواد'!P78</f>
        <v>0</v>
      </c>
      <c r="Q300" s="46">
        <f>'فرع الرواد'!Q78</f>
        <v>0</v>
      </c>
      <c r="R300" s="47">
        <f>'فرع الرواد'!R78</f>
        <v>0</v>
      </c>
      <c r="S300" s="47">
        <f>'فرع الرواد'!S78</f>
        <v>0</v>
      </c>
      <c r="T300" s="46">
        <f>'فرع الرواد'!T78</f>
        <v>0</v>
      </c>
      <c r="U300" s="46">
        <f>'فرع الرواد'!U78</f>
        <v>0</v>
      </c>
      <c r="V300" s="46">
        <f>'فرع الرواد'!V78</f>
        <v>0</v>
      </c>
      <c r="W300" s="46">
        <f>'فرع الرواد'!W78</f>
        <v>0</v>
      </c>
      <c r="X300" s="46">
        <f>'فرع الرواد'!X78</f>
        <v>0</v>
      </c>
      <c r="Y300" s="46">
        <f>'فرع الرواد'!Y78</f>
        <v>0</v>
      </c>
      <c r="Z300" s="46">
        <f>'فرع الرواد'!Z78</f>
        <v>0</v>
      </c>
      <c r="AA300" s="46">
        <f>'فرع الرواد'!AA78</f>
        <v>0</v>
      </c>
      <c r="AB300" s="46">
        <f>'فرع الرواد'!AB78</f>
        <v>0</v>
      </c>
      <c r="AC300" s="46">
        <f>'فرع الرواد'!AC78</f>
        <v>0</v>
      </c>
      <c r="AD300" s="46">
        <f>'فرع الرواد'!AD78</f>
        <v>0</v>
      </c>
      <c r="AE300" s="46">
        <f>'فرع الرواد'!AE78</f>
        <v>0</v>
      </c>
      <c r="AF300" s="46">
        <f>'فرع الرواد'!AF78</f>
        <v>0</v>
      </c>
      <c r="AG300" s="46">
        <f>'فرع الرواد'!AG78</f>
        <v>0</v>
      </c>
      <c r="AH300" s="46">
        <f>'فرع الرواد'!AH78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+'فرع الرواد'!A79</f>
        <v>0</v>
      </c>
      <c r="B304" s="44">
        <f>+'فرع الرواد'!B79</f>
        <v>0</v>
      </c>
      <c r="C304" s="45">
        <f>+'فرع الرواد'!C79</f>
        <v>0</v>
      </c>
      <c r="D304" s="45">
        <f>+'فرع الرواد'!D79</f>
        <v>0</v>
      </c>
      <c r="E304" s="45">
        <f>+'فرع الرواد'!E79</f>
        <v>0</v>
      </c>
      <c r="F304" s="46">
        <f>'فرع الرواد'!F79</f>
        <v>0</v>
      </c>
      <c r="G304" s="46">
        <f>'فرع الرواد'!G79</f>
        <v>0</v>
      </c>
      <c r="H304" s="46">
        <f>'فرع الرواد'!H79</f>
        <v>0</v>
      </c>
      <c r="I304" s="46">
        <f>'فرع الرواد'!I79</f>
        <v>0</v>
      </c>
      <c r="J304" s="46">
        <f>'فرع الرواد'!J79</f>
        <v>0</v>
      </c>
      <c r="K304" s="46">
        <f>'فرع الرواد'!K79</f>
        <v>0</v>
      </c>
      <c r="L304" s="46">
        <f>'فرع الرواد'!L79</f>
        <v>0</v>
      </c>
      <c r="M304" s="46">
        <f>'فرع الرواد'!M79</f>
        <v>0</v>
      </c>
      <c r="N304" s="46">
        <f>'فرع الرواد'!N79</f>
        <v>0</v>
      </c>
      <c r="O304" s="46">
        <f>'فرع الرواد'!O79</f>
        <v>0</v>
      </c>
      <c r="P304" s="46">
        <f>'فرع الرواد'!P79</f>
        <v>0</v>
      </c>
      <c r="Q304" s="46">
        <f>'فرع الرواد'!Q79</f>
        <v>0</v>
      </c>
      <c r="R304" s="47">
        <f>'فرع الرواد'!R79</f>
        <v>0</v>
      </c>
      <c r="S304" s="47">
        <f>'فرع الرواد'!S79</f>
        <v>0</v>
      </c>
      <c r="T304" s="46">
        <f>'فرع الرواد'!T79</f>
        <v>0</v>
      </c>
      <c r="U304" s="46">
        <f>'فرع الرواد'!U79</f>
        <v>0</v>
      </c>
      <c r="V304" s="46">
        <f>'فرع الرواد'!V79</f>
        <v>0</v>
      </c>
      <c r="W304" s="46">
        <f>'فرع الرواد'!W79</f>
        <v>0</v>
      </c>
      <c r="X304" s="46">
        <f>'فرع الرواد'!X79</f>
        <v>0</v>
      </c>
      <c r="Y304" s="46">
        <f>'فرع الرواد'!Y79</f>
        <v>0</v>
      </c>
      <c r="Z304" s="46">
        <f>'فرع الرواد'!Z79</f>
        <v>0</v>
      </c>
      <c r="AA304" s="46">
        <f>'فرع الرواد'!AA79</f>
        <v>0</v>
      </c>
      <c r="AB304" s="46">
        <f>'فرع الرواد'!AB79</f>
        <v>0</v>
      </c>
      <c r="AC304" s="46">
        <f>'فرع الرواد'!AC79</f>
        <v>0</v>
      </c>
      <c r="AD304" s="46">
        <f>'فرع الرواد'!AD79</f>
        <v>0</v>
      </c>
      <c r="AE304" s="46">
        <f>'فرع الرواد'!AE79</f>
        <v>0</v>
      </c>
      <c r="AF304" s="46">
        <f>'فرع الرواد'!AF79</f>
        <v>0</v>
      </c>
      <c r="AG304" s="46">
        <f>'فرع الرواد'!AG79</f>
        <v>0</v>
      </c>
      <c r="AH304" s="46">
        <f>'فرع الرواد'!AH79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+'فرع الرواد'!A80</f>
        <v>0</v>
      </c>
      <c r="B308" s="44">
        <f>+'فرع الرواد'!B80</f>
        <v>0</v>
      </c>
      <c r="C308" s="45">
        <f>+'فرع الرواد'!C80</f>
        <v>0</v>
      </c>
      <c r="D308" s="45">
        <f>+'فرع الرواد'!D80</f>
        <v>0</v>
      </c>
      <c r="E308" s="45">
        <f>+'فرع الرواد'!E80</f>
        <v>0</v>
      </c>
      <c r="F308" s="46">
        <f>'فرع الرواد'!F80</f>
        <v>0</v>
      </c>
      <c r="G308" s="46">
        <f>'فرع الرواد'!G80</f>
        <v>0</v>
      </c>
      <c r="H308" s="46">
        <f>'فرع الرواد'!H80</f>
        <v>0</v>
      </c>
      <c r="I308" s="46">
        <f>'فرع الرواد'!I80</f>
        <v>0</v>
      </c>
      <c r="J308" s="46">
        <f>'فرع الرواد'!J80</f>
        <v>0</v>
      </c>
      <c r="K308" s="46">
        <f>'فرع الرواد'!K80</f>
        <v>0</v>
      </c>
      <c r="L308" s="46">
        <f>'فرع الرواد'!L80</f>
        <v>0</v>
      </c>
      <c r="M308" s="46">
        <f>'فرع الرواد'!M80</f>
        <v>0</v>
      </c>
      <c r="N308" s="46">
        <f>'فرع الرواد'!N80</f>
        <v>0</v>
      </c>
      <c r="O308" s="46">
        <f>'فرع الرواد'!O80</f>
        <v>0</v>
      </c>
      <c r="P308" s="46">
        <f>'فرع الرواد'!P80</f>
        <v>0</v>
      </c>
      <c r="Q308" s="46">
        <f>'فرع الرواد'!Q80</f>
        <v>0</v>
      </c>
      <c r="R308" s="47">
        <f>'فرع الرواد'!R80</f>
        <v>0</v>
      </c>
      <c r="S308" s="47">
        <f>'فرع الرواد'!S80</f>
        <v>0</v>
      </c>
      <c r="T308" s="46">
        <f>'فرع الرواد'!T80</f>
        <v>0</v>
      </c>
      <c r="U308" s="46">
        <f>'فرع الرواد'!U80</f>
        <v>0</v>
      </c>
      <c r="V308" s="46">
        <f>'فرع الرواد'!V80</f>
        <v>0</v>
      </c>
      <c r="W308" s="46">
        <f>'فرع الرواد'!W80</f>
        <v>0</v>
      </c>
      <c r="X308" s="46">
        <f>'فرع الرواد'!X80</f>
        <v>0</v>
      </c>
      <c r="Y308" s="46">
        <f>'فرع الرواد'!Y80</f>
        <v>0</v>
      </c>
      <c r="Z308" s="46">
        <f>'فرع الرواد'!Z80</f>
        <v>0</v>
      </c>
      <c r="AA308" s="46">
        <f>'فرع الرواد'!AA80</f>
        <v>0</v>
      </c>
      <c r="AB308" s="46">
        <f>'فرع الرواد'!AB80</f>
        <v>0</v>
      </c>
      <c r="AC308" s="46">
        <f>'فرع الرواد'!AC80</f>
        <v>0</v>
      </c>
      <c r="AD308" s="46">
        <f>'فرع الرواد'!AD80</f>
        <v>0</v>
      </c>
      <c r="AE308" s="46">
        <f>'فرع الرواد'!AE80</f>
        <v>0</v>
      </c>
      <c r="AF308" s="46">
        <f>'فرع الرواد'!AF80</f>
        <v>0</v>
      </c>
      <c r="AG308" s="46">
        <f>'فرع الرواد'!AG80</f>
        <v>0</v>
      </c>
      <c r="AH308" s="46">
        <f>'فرع الرواد'!AH80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</mergeCells>
  <pageMargins left="0" right="0.5" top="0" bottom="0" header="0" footer="0"/>
  <pageSetup paperSize="9" scale="3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AH309"/>
  <sheetViews>
    <sheetView rightToLeft="1" topLeftCell="A82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+'فرع الزقازيق'!A4</f>
        <v>0</v>
      </c>
      <c r="B4" s="44">
        <f>+'فرع الزقازيق'!B4</f>
        <v>0</v>
      </c>
      <c r="C4" s="45">
        <f>+'فرع الزقازيق'!C4</f>
        <v>0</v>
      </c>
      <c r="D4" s="45">
        <f>+'فرع الزقازيق'!D4</f>
        <v>0</v>
      </c>
      <c r="E4" s="45">
        <f>+'فرع الزقازيق'!E4</f>
        <v>0</v>
      </c>
      <c r="F4" s="46">
        <f>'فرع الزقازيق'!F4</f>
        <v>0</v>
      </c>
      <c r="G4" s="46">
        <f>'فرع الزقازيق'!G4</f>
        <v>0</v>
      </c>
      <c r="H4" s="46">
        <f>'فرع الزقازيق'!H4</f>
        <v>0</v>
      </c>
      <c r="I4" s="46">
        <f>'فرع الزقازيق'!I4</f>
        <v>0</v>
      </c>
      <c r="J4" s="46">
        <f>'فرع الزقازيق'!J4</f>
        <v>0</v>
      </c>
      <c r="K4" s="46">
        <f>'فرع الزقازيق'!K4</f>
        <v>0</v>
      </c>
      <c r="L4" s="46">
        <f>'فرع الزقازيق'!L4</f>
        <v>0</v>
      </c>
      <c r="M4" s="46">
        <f>'فرع الزقازيق'!M4</f>
        <v>0</v>
      </c>
      <c r="N4" s="46">
        <f>'فرع الزقازيق'!N4</f>
        <v>0</v>
      </c>
      <c r="O4" s="46">
        <f>'فرع الزقازيق'!O4</f>
        <v>0</v>
      </c>
      <c r="P4" s="46">
        <f>'فرع الزقازيق'!P4</f>
        <v>0</v>
      </c>
      <c r="Q4" s="46">
        <f>'فرع الزقازيق'!Q4</f>
        <v>0</v>
      </c>
      <c r="R4" s="47">
        <f>'فرع الزقازيق'!R4</f>
        <v>0</v>
      </c>
      <c r="S4" s="47">
        <f>'فرع الزقازيق'!S4</f>
        <v>0</v>
      </c>
      <c r="T4" s="46">
        <f>'فرع الزقازيق'!T4</f>
        <v>0</v>
      </c>
      <c r="U4" s="46">
        <f>'فرع الزقازيق'!U4</f>
        <v>0</v>
      </c>
      <c r="V4" s="46">
        <f>'فرع الزقازيق'!V4</f>
        <v>0</v>
      </c>
      <c r="W4" s="46">
        <f>'فرع الزقازيق'!W4</f>
        <v>0</v>
      </c>
      <c r="X4" s="46">
        <f>'فرع الزقازيق'!X4</f>
        <v>0</v>
      </c>
      <c r="Y4" s="46">
        <f>'فرع الزقازيق'!Y4</f>
        <v>0</v>
      </c>
      <c r="Z4" s="46">
        <f>'فرع الزقازيق'!Z4</f>
        <v>0</v>
      </c>
      <c r="AA4" s="46">
        <f>'فرع الزقازيق'!AA4</f>
        <v>0</v>
      </c>
      <c r="AB4" s="46">
        <f>'فرع الزقازيق'!AB4</f>
        <v>0</v>
      </c>
      <c r="AC4" s="46">
        <f>'فرع الزقازيق'!AC4</f>
        <v>0</v>
      </c>
      <c r="AD4" s="46">
        <f>'فرع الزقازيق'!AD4</f>
        <v>0</v>
      </c>
      <c r="AE4" s="46">
        <f>'فرع الزقازيق'!AE4</f>
        <v>0</v>
      </c>
      <c r="AF4" s="46">
        <f>'فرع الزقازيق'!AF4</f>
        <v>0</v>
      </c>
      <c r="AG4" s="46">
        <f>'فرع الزقازيق'!AG4</f>
        <v>0</v>
      </c>
      <c r="AH4" s="46">
        <f>'فرع الزقازيق'!AH4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+'فرع الزقازيق'!A5</f>
        <v>0</v>
      </c>
      <c r="B8" s="44">
        <f>+'فرع الزقازيق'!B5</f>
        <v>0</v>
      </c>
      <c r="C8" s="45">
        <f>+'فرع الزقازيق'!C5</f>
        <v>0</v>
      </c>
      <c r="D8" s="45">
        <f>+'فرع الزقازيق'!D5</f>
        <v>0</v>
      </c>
      <c r="E8" s="45">
        <f>+'فرع الزقازيق'!E5</f>
        <v>0</v>
      </c>
      <c r="F8" s="46">
        <f>+'فرع الزقازيق'!F5</f>
        <v>0</v>
      </c>
      <c r="G8" s="46">
        <f>+'فرع الزقازيق'!G5</f>
        <v>0</v>
      </c>
      <c r="H8" s="46">
        <f>+'فرع الزقازيق'!H5</f>
        <v>0</v>
      </c>
      <c r="I8" s="46">
        <f>+'فرع الزقازيق'!I5</f>
        <v>0</v>
      </c>
      <c r="J8" s="46">
        <f>+'فرع الزقازيق'!J5</f>
        <v>0</v>
      </c>
      <c r="K8" s="46">
        <f>+'فرع الزقازيق'!K5</f>
        <v>0</v>
      </c>
      <c r="L8" s="46">
        <f>+'فرع الزقازيق'!L5</f>
        <v>0</v>
      </c>
      <c r="M8" s="46">
        <f>+'فرع الزقازيق'!M5</f>
        <v>0</v>
      </c>
      <c r="N8" s="46">
        <f>+'فرع الزقازيق'!N5</f>
        <v>0</v>
      </c>
      <c r="O8" s="46">
        <f>+'فرع الزقازيق'!O5</f>
        <v>0</v>
      </c>
      <c r="P8" s="46">
        <f>+'فرع الزقازيق'!P5</f>
        <v>0</v>
      </c>
      <c r="Q8" s="46">
        <f>+'فرع الزقازيق'!Q5</f>
        <v>0</v>
      </c>
      <c r="R8" s="47">
        <f>+'فرع الزقازيق'!R5</f>
        <v>0</v>
      </c>
      <c r="S8" s="47">
        <f>+'فرع الزقازيق'!S5</f>
        <v>0</v>
      </c>
      <c r="T8" s="46">
        <f>+'فرع الزقازيق'!T5</f>
        <v>0</v>
      </c>
      <c r="U8" s="46">
        <f>+'فرع الزقازيق'!U5</f>
        <v>0</v>
      </c>
      <c r="V8" s="46">
        <f>+'فرع الزقازيق'!V5</f>
        <v>0</v>
      </c>
      <c r="W8" s="46">
        <f>+'فرع الزقازيق'!W5</f>
        <v>0</v>
      </c>
      <c r="X8" s="46">
        <f>+'فرع الزقازيق'!X5</f>
        <v>0</v>
      </c>
      <c r="Y8" s="46">
        <f>+'فرع الزقازيق'!Y5</f>
        <v>0</v>
      </c>
      <c r="Z8" s="46">
        <f>+'فرع الزقازيق'!Z5</f>
        <v>0</v>
      </c>
      <c r="AA8" s="46">
        <f>+'فرع الزقازيق'!AA5</f>
        <v>0</v>
      </c>
      <c r="AB8" s="46">
        <f>+'فرع الزقازيق'!AB5</f>
        <v>0</v>
      </c>
      <c r="AC8" s="46">
        <f>+'فرع الزقازيق'!AC5</f>
        <v>0</v>
      </c>
      <c r="AD8" s="46">
        <f>+'فرع الزقازيق'!AD5</f>
        <v>0</v>
      </c>
      <c r="AE8" s="46">
        <f>+'فرع الزقازيق'!AE5</f>
        <v>0</v>
      </c>
      <c r="AF8" s="46">
        <f>+'فرع الزقازيق'!AF5</f>
        <v>0</v>
      </c>
      <c r="AG8" s="46">
        <f>+'فرع الزقازيق'!AG5</f>
        <v>0</v>
      </c>
      <c r="AH8" s="46">
        <f>+'فرع الزقازيق'!AH5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+'فرع الزقازيق'!A6</f>
        <v>0</v>
      </c>
      <c r="B12" s="44">
        <f>+'فرع الزقازيق'!B6</f>
        <v>0</v>
      </c>
      <c r="C12" s="45">
        <f>+'فرع الزقازيق'!C6</f>
        <v>0</v>
      </c>
      <c r="D12" s="45">
        <f>+'فرع الزقازيق'!D6</f>
        <v>0</v>
      </c>
      <c r="E12" s="45">
        <f>+'فرع الزقازيق'!E6</f>
        <v>0</v>
      </c>
      <c r="F12" s="46">
        <f>+'فرع الزقازيق'!F6</f>
        <v>0</v>
      </c>
      <c r="G12" s="46">
        <f>+'فرع الزقازيق'!G6</f>
        <v>0</v>
      </c>
      <c r="H12" s="46">
        <f>+'فرع الزقازيق'!H6</f>
        <v>0</v>
      </c>
      <c r="I12" s="46">
        <f>+'فرع الزقازيق'!I6</f>
        <v>0</v>
      </c>
      <c r="J12" s="46">
        <f>+'فرع الزقازيق'!J6</f>
        <v>0</v>
      </c>
      <c r="K12" s="46">
        <f>+'فرع الزقازيق'!K6</f>
        <v>0</v>
      </c>
      <c r="L12" s="46">
        <f>+'فرع الزقازيق'!L6</f>
        <v>0</v>
      </c>
      <c r="M12" s="46">
        <f>+'فرع الزقازيق'!M6</f>
        <v>0</v>
      </c>
      <c r="N12" s="46">
        <f>+'فرع الزقازيق'!N6</f>
        <v>0</v>
      </c>
      <c r="O12" s="46">
        <f>+'فرع الزقازيق'!O6</f>
        <v>0</v>
      </c>
      <c r="P12" s="46">
        <f>+'فرع الزقازيق'!P6</f>
        <v>0</v>
      </c>
      <c r="Q12" s="46">
        <f>+'فرع الزقازيق'!Q6</f>
        <v>0</v>
      </c>
      <c r="R12" s="47">
        <f>+'فرع الزقازيق'!R6</f>
        <v>0</v>
      </c>
      <c r="S12" s="47">
        <f>+'فرع الزقازيق'!S6</f>
        <v>0</v>
      </c>
      <c r="T12" s="46">
        <f>+'فرع الزقازيق'!T6</f>
        <v>0</v>
      </c>
      <c r="U12" s="46">
        <f>+'فرع الزقازيق'!U6</f>
        <v>0</v>
      </c>
      <c r="V12" s="46">
        <f>+'فرع الزقازيق'!V6</f>
        <v>0</v>
      </c>
      <c r="W12" s="46">
        <f>+'فرع الزقازيق'!W6</f>
        <v>0</v>
      </c>
      <c r="X12" s="46">
        <f>+'فرع الزقازيق'!X6</f>
        <v>0</v>
      </c>
      <c r="Y12" s="46">
        <f>+'فرع الزقازيق'!Y6</f>
        <v>0</v>
      </c>
      <c r="Z12" s="46">
        <f>+'فرع الزقازيق'!Z6</f>
        <v>0</v>
      </c>
      <c r="AA12" s="46">
        <f>+'فرع الزقازيق'!AA6</f>
        <v>0</v>
      </c>
      <c r="AB12" s="46">
        <f>+'فرع الزقازيق'!AB6</f>
        <v>0</v>
      </c>
      <c r="AC12" s="46">
        <f>+'فرع الزقازيق'!AC6</f>
        <v>0</v>
      </c>
      <c r="AD12" s="46">
        <f>+'فرع الزقازيق'!AD6</f>
        <v>0</v>
      </c>
      <c r="AE12" s="46">
        <f>+'فرع الزقازيق'!AE6</f>
        <v>0</v>
      </c>
      <c r="AF12" s="46">
        <f>+'فرع الزقازيق'!AF6</f>
        <v>0</v>
      </c>
      <c r="AG12" s="46">
        <f>+'فرع الزقازيق'!AG6</f>
        <v>0</v>
      </c>
      <c r="AH12" s="46">
        <f>+'فرع الزقازيق'!AH6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+'فرع الزقازيق'!A7</f>
        <v>0</v>
      </c>
      <c r="B16" s="44">
        <f>+'فرع الزقازيق'!B7</f>
        <v>0</v>
      </c>
      <c r="C16" s="45">
        <f>+'فرع الزقازيق'!C7</f>
        <v>0</v>
      </c>
      <c r="D16" s="45">
        <f>+'فرع الزقازيق'!D7</f>
        <v>0</v>
      </c>
      <c r="E16" s="45">
        <f>+'فرع الزقازيق'!E7</f>
        <v>0</v>
      </c>
      <c r="F16" s="46">
        <f>+'فرع الزقازيق'!F7</f>
        <v>0</v>
      </c>
      <c r="G16" s="46">
        <f>+'فرع الزقازيق'!G7</f>
        <v>0</v>
      </c>
      <c r="H16" s="46">
        <f>+'فرع الزقازيق'!H7</f>
        <v>0</v>
      </c>
      <c r="I16" s="46">
        <f>+'فرع الزقازيق'!I7</f>
        <v>0</v>
      </c>
      <c r="J16" s="46">
        <f>+'فرع الزقازيق'!J7</f>
        <v>0</v>
      </c>
      <c r="K16" s="46">
        <f>+'فرع الزقازيق'!K7</f>
        <v>0</v>
      </c>
      <c r="L16" s="46">
        <f>+'فرع الزقازيق'!L7</f>
        <v>0</v>
      </c>
      <c r="M16" s="46">
        <f>+'فرع الزقازيق'!M7</f>
        <v>0</v>
      </c>
      <c r="N16" s="46">
        <f>+'فرع الزقازيق'!N7</f>
        <v>0</v>
      </c>
      <c r="O16" s="46">
        <f>+'فرع الزقازيق'!O7</f>
        <v>0</v>
      </c>
      <c r="P16" s="46">
        <f>+'فرع الزقازيق'!P7</f>
        <v>0</v>
      </c>
      <c r="Q16" s="46">
        <f>+'فرع الزقازيق'!Q7</f>
        <v>0</v>
      </c>
      <c r="R16" s="47">
        <f>+'فرع الزقازيق'!R7</f>
        <v>0</v>
      </c>
      <c r="S16" s="47">
        <f>+'فرع الزقازيق'!S7</f>
        <v>0</v>
      </c>
      <c r="T16" s="46">
        <f>+'فرع الزقازيق'!T7</f>
        <v>0</v>
      </c>
      <c r="U16" s="46">
        <f>+'فرع الزقازيق'!U7</f>
        <v>0</v>
      </c>
      <c r="V16" s="46">
        <f>+'فرع الزقازيق'!V7</f>
        <v>0</v>
      </c>
      <c r="W16" s="46">
        <f>+'فرع الزقازيق'!W7</f>
        <v>0</v>
      </c>
      <c r="X16" s="46">
        <f>+'فرع الزقازيق'!X7</f>
        <v>0</v>
      </c>
      <c r="Y16" s="46">
        <f>+'فرع الزقازيق'!Y7</f>
        <v>0</v>
      </c>
      <c r="Z16" s="46">
        <f>+'فرع الزقازيق'!Z7</f>
        <v>0</v>
      </c>
      <c r="AA16" s="46">
        <f>+'فرع الزقازيق'!AA7</f>
        <v>0</v>
      </c>
      <c r="AB16" s="46">
        <f>+'فرع الزقازيق'!AB7</f>
        <v>0</v>
      </c>
      <c r="AC16" s="46">
        <f>+'فرع الزقازيق'!AC7</f>
        <v>0</v>
      </c>
      <c r="AD16" s="46">
        <f>+'فرع الزقازيق'!AD7</f>
        <v>0</v>
      </c>
      <c r="AE16" s="46">
        <f>+'فرع الزقازيق'!AE7</f>
        <v>0</v>
      </c>
      <c r="AF16" s="46">
        <f>+'فرع الزقازيق'!AF7</f>
        <v>0</v>
      </c>
      <c r="AG16" s="46">
        <f>+'فرع الزقازيق'!AG7</f>
        <v>0</v>
      </c>
      <c r="AH16" s="46">
        <f>+'فرع الزقازيق'!AH7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+'فرع الزقازيق'!A8</f>
        <v>0</v>
      </c>
      <c r="B20" s="44">
        <f>+'فرع الزقازيق'!B8</f>
        <v>0</v>
      </c>
      <c r="C20" s="45">
        <f>+'فرع الزقازيق'!C8</f>
        <v>0</v>
      </c>
      <c r="D20" s="45">
        <f>+'فرع الزقازيق'!D8</f>
        <v>0</v>
      </c>
      <c r="E20" s="45">
        <f>+'فرع الزقازيق'!E8</f>
        <v>0</v>
      </c>
      <c r="F20" s="46">
        <f>+'فرع الزقازيق'!F8</f>
        <v>0</v>
      </c>
      <c r="G20" s="46">
        <f>+'فرع الزقازيق'!G8</f>
        <v>0</v>
      </c>
      <c r="H20" s="46">
        <f>+'فرع الزقازيق'!H8</f>
        <v>0</v>
      </c>
      <c r="I20" s="46">
        <f>+'فرع الزقازيق'!I8</f>
        <v>0</v>
      </c>
      <c r="J20" s="46">
        <f>+'فرع الزقازيق'!J8</f>
        <v>0</v>
      </c>
      <c r="K20" s="46">
        <f>+'فرع الزقازيق'!K8</f>
        <v>0</v>
      </c>
      <c r="L20" s="46">
        <f>+'فرع الزقازيق'!L8</f>
        <v>0</v>
      </c>
      <c r="M20" s="46">
        <f>+'فرع الزقازيق'!M8</f>
        <v>0</v>
      </c>
      <c r="N20" s="46">
        <f>+'فرع الزقازيق'!N8</f>
        <v>0</v>
      </c>
      <c r="O20" s="46">
        <f>+'فرع الزقازيق'!O8</f>
        <v>0</v>
      </c>
      <c r="P20" s="46">
        <f>+'فرع الزقازيق'!P8</f>
        <v>0</v>
      </c>
      <c r="Q20" s="46">
        <f>+'فرع الزقازيق'!Q8</f>
        <v>0</v>
      </c>
      <c r="R20" s="47">
        <f>+'فرع الزقازيق'!R8</f>
        <v>0</v>
      </c>
      <c r="S20" s="47">
        <f>+'فرع الزقازيق'!S8</f>
        <v>0</v>
      </c>
      <c r="T20" s="46">
        <f>+'فرع الزقازيق'!T8</f>
        <v>0</v>
      </c>
      <c r="U20" s="46">
        <f>+'فرع الزقازيق'!U8</f>
        <v>0</v>
      </c>
      <c r="V20" s="46">
        <f>+'فرع الزقازيق'!V8</f>
        <v>0</v>
      </c>
      <c r="W20" s="46">
        <f>+'فرع الزقازيق'!W8</f>
        <v>0</v>
      </c>
      <c r="X20" s="46">
        <f>+'فرع الزقازيق'!X8</f>
        <v>0</v>
      </c>
      <c r="Y20" s="46">
        <f>+'فرع الزقازيق'!Y8</f>
        <v>0</v>
      </c>
      <c r="Z20" s="46">
        <f>+'فرع الزقازيق'!Z8</f>
        <v>0</v>
      </c>
      <c r="AA20" s="46">
        <f>+'فرع الزقازيق'!AA8</f>
        <v>0</v>
      </c>
      <c r="AB20" s="46">
        <f>+'فرع الزقازيق'!AB8</f>
        <v>0</v>
      </c>
      <c r="AC20" s="46">
        <f>+'فرع الزقازيق'!AC8</f>
        <v>0</v>
      </c>
      <c r="AD20" s="46">
        <f>+'فرع الزقازيق'!AD8</f>
        <v>0</v>
      </c>
      <c r="AE20" s="46">
        <f>+'فرع الزقازيق'!AE8</f>
        <v>0</v>
      </c>
      <c r="AF20" s="46">
        <f>+'فرع الزقازيق'!AF8</f>
        <v>0</v>
      </c>
      <c r="AG20" s="46">
        <f>+'فرع الزقازيق'!AG8</f>
        <v>0</v>
      </c>
      <c r="AH20" s="46">
        <f>+'فرع الزقازيق'!AH8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+'فرع الزقازيق'!A9</f>
        <v>0</v>
      </c>
      <c r="B24" s="44">
        <f>+'فرع الزقازيق'!B9</f>
        <v>0</v>
      </c>
      <c r="C24" s="45">
        <f>+'فرع الزقازيق'!C9</f>
        <v>0</v>
      </c>
      <c r="D24" s="45">
        <f>+'فرع الزقازيق'!D9</f>
        <v>0</v>
      </c>
      <c r="E24" s="45">
        <f>+'فرع الزقازيق'!E9</f>
        <v>0</v>
      </c>
      <c r="F24" s="46">
        <f>+'فرع الزقازيق'!F9</f>
        <v>0</v>
      </c>
      <c r="G24" s="46">
        <f>+'فرع الزقازيق'!G9</f>
        <v>0</v>
      </c>
      <c r="H24" s="46">
        <f>+'فرع الزقازيق'!H9</f>
        <v>0</v>
      </c>
      <c r="I24" s="46">
        <f>+'فرع الزقازيق'!I9</f>
        <v>0</v>
      </c>
      <c r="J24" s="46">
        <f>+'فرع الزقازيق'!J9</f>
        <v>0</v>
      </c>
      <c r="K24" s="46">
        <f>+'فرع الزقازيق'!K9</f>
        <v>0</v>
      </c>
      <c r="L24" s="46">
        <f>+'فرع الزقازيق'!L9</f>
        <v>0</v>
      </c>
      <c r="M24" s="46">
        <f>+'فرع الزقازيق'!M9</f>
        <v>0</v>
      </c>
      <c r="N24" s="46">
        <f>+'فرع الزقازيق'!N9</f>
        <v>0</v>
      </c>
      <c r="O24" s="46">
        <f>+'فرع الزقازيق'!O9</f>
        <v>0</v>
      </c>
      <c r="P24" s="46">
        <f>+'فرع الزقازيق'!P9</f>
        <v>0</v>
      </c>
      <c r="Q24" s="46">
        <f>+'فرع الزقازيق'!Q9</f>
        <v>0</v>
      </c>
      <c r="R24" s="47">
        <f>+'فرع الزقازيق'!R9</f>
        <v>0</v>
      </c>
      <c r="S24" s="47">
        <f>+'فرع الزقازيق'!S9</f>
        <v>0</v>
      </c>
      <c r="T24" s="46">
        <f>+'فرع الزقازيق'!T9</f>
        <v>0</v>
      </c>
      <c r="U24" s="46">
        <f>+'فرع الزقازيق'!U9</f>
        <v>0</v>
      </c>
      <c r="V24" s="46">
        <f>+'فرع الزقازيق'!V9</f>
        <v>0</v>
      </c>
      <c r="W24" s="46">
        <f>+'فرع الزقازيق'!W9</f>
        <v>0</v>
      </c>
      <c r="X24" s="46">
        <f>+'فرع الزقازيق'!X9</f>
        <v>0</v>
      </c>
      <c r="Y24" s="46">
        <f>+'فرع الزقازيق'!Y9</f>
        <v>0</v>
      </c>
      <c r="Z24" s="46">
        <f>+'فرع الزقازيق'!Z9</f>
        <v>0</v>
      </c>
      <c r="AA24" s="46">
        <f>+'فرع الزقازيق'!AA9</f>
        <v>0</v>
      </c>
      <c r="AB24" s="46">
        <f>+'فرع الزقازيق'!AB9</f>
        <v>0</v>
      </c>
      <c r="AC24" s="46">
        <f>+'فرع الزقازيق'!AC9</f>
        <v>0</v>
      </c>
      <c r="AD24" s="46">
        <f>+'فرع الزقازيق'!AD9</f>
        <v>0</v>
      </c>
      <c r="AE24" s="46">
        <f>+'فرع الزقازيق'!AE9</f>
        <v>0</v>
      </c>
      <c r="AF24" s="46">
        <f>+'فرع الزقازيق'!AF9</f>
        <v>0</v>
      </c>
      <c r="AG24" s="46">
        <f>+'فرع الزقازيق'!AG9</f>
        <v>0</v>
      </c>
      <c r="AH24" s="46">
        <f>+'فرع الزقازيق'!AH9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+'فرع الزقازيق'!A10</f>
        <v>0</v>
      </c>
      <c r="B28" s="44">
        <f>+'فرع الزقازيق'!B10</f>
        <v>0</v>
      </c>
      <c r="C28" s="45">
        <f>+'فرع الزقازيق'!C10</f>
        <v>0</v>
      </c>
      <c r="D28" s="45">
        <f>+'فرع الزقازيق'!D10</f>
        <v>0</v>
      </c>
      <c r="E28" s="45">
        <f>+'فرع الزقازيق'!E10</f>
        <v>0</v>
      </c>
      <c r="F28" s="46">
        <f>+'فرع الزقازيق'!F10</f>
        <v>0</v>
      </c>
      <c r="G28" s="46">
        <f>+'فرع الزقازيق'!G10</f>
        <v>0</v>
      </c>
      <c r="H28" s="46">
        <f>+'فرع الزقازيق'!H10</f>
        <v>0</v>
      </c>
      <c r="I28" s="46">
        <f>+'فرع الزقازيق'!I10</f>
        <v>0</v>
      </c>
      <c r="J28" s="46">
        <f>+'فرع الزقازيق'!J10</f>
        <v>0</v>
      </c>
      <c r="K28" s="46">
        <f>+'فرع الزقازيق'!K10</f>
        <v>0</v>
      </c>
      <c r="L28" s="46">
        <f>+'فرع الزقازيق'!L10</f>
        <v>0</v>
      </c>
      <c r="M28" s="46">
        <f>+'فرع الزقازيق'!M10</f>
        <v>0</v>
      </c>
      <c r="N28" s="46">
        <f>+'فرع الزقازيق'!N10</f>
        <v>0</v>
      </c>
      <c r="O28" s="46">
        <f>+'فرع الزقازيق'!O10</f>
        <v>0</v>
      </c>
      <c r="P28" s="46">
        <f>+'فرع الزقازيق'!P10</f>
        <v>0</v>
      </c>
      <c r="Q28" s="46">
        <f>+'فرع الزقازيق'!Q10</f>
        <v>0</v>
      </c>
      <c r="R28" s="47">
        <f>+'فرع الزقازيق'!R10</f>
        <v>0</v>
      </c>
      <c r="S28" s="47">
        <f>+'فرع الزقازيق'!S10</f>
        <v>0</v>
      </c>
      <c r="T28" s="46">
        <f>+'فرع الزقازيق'!T10</f>
        <v>0</v>
      </c>
      <c r="U28" s="46">
        <f>+'فرع الزقازيق'!U10</f>
        <v>0</v>
      </c>
      <c r="V28" s="46">
        <f>+'فرع الزقازيق'!V10</f>
        <v>0</v>
      </c>
      <c r="W28" s="46">
        <f>+'فرع الزقازيق'!W10</f>
        <v>0</v>
      </c>
      <c r="X28" s="46">
        <f>+'فرع الزقازيق'!X10</f>
        <v>0</v>
      </c>
      <c r="Y28" s="46">
        <f>+'فرع الزقازيق'!Y10</f>
        <v>0</v>
      </c>
      <c r="Z28" s="46">
        <f>+'فرع الزقازيق'!Z10</f>
        <v>0</v>
      </c>
      <c r="AA28" s="46">
        <f>+'فرع الزقازيق'!AA10</f>
        <v>0</v>
      </c>
      <c r="AB28" s="46">
        <f>+'فرع الزقازيق'!AB10</f>
        <v>0</v>
      </c>
      <c r="AC28" s="46">
        <f>+'فرع الزقازيق'!AC10</f>
        <v>0</v>
      </c>
      <c r="AD28" s="46">
        <f>+'فرع الزقازيق'!AD10</f>
        <v>0</v>
      </c>
      <c r="AE28" s="46">
        <f>+'فرع الزقازيق'!AE10</f>
        <v>0</v>
      </c>
      <c r="AF28" s="46">
        <f>+'فرع الزقازيق'!AF10</f>
        <v>0</v>
      </c>
      <c r="AG28" s="46">
        <f>+'فرع الزقازيق'!AG10</f>
        <v>0</v>
      </c>
      <c r="AH28" s="46">
        <f>+'فرع الزقازيق'!AH10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+'فرع الزقازيق'!A11</f>
        <v>0</v>
      </c>
      <c r="B32" s="44">
        <f>+'فرع الزقازيق'!B11</f>
        <v>0</v>
      </c>
      <c r="C32" s="45">
        <f>+'فرع الزقازيق'!C11</f>
        <v>0</v>
      </c>
      <c r="D32" s="45">
        <f>+'فرع الزقازيق'!D11</f>
        <v>0</v>
      </c>
      <c r="E32" s="45">
        <f>+'فرع الزقازيق'!E11</f>
        <v>0</v>
      </c>
      <c r="F32" s="46">
        <f>+'فرع الزقازيق'!F11</f>
        <v>0</v>
      </c>
      <c r="G32" s="46">
        <f>+'فرع الزقازيق'!G11</f>
        <v>0</v>
      </c>
      <c r="H32" s="46">
        <f>+'فرع الزقازيق'!H11</f>
        <v>0</v>
      </c>
      <c r="I32" s="46">
        <f>+'فرع الزقازيق'!I11</f>
        <v>0</v>
      </c>
      <c r="J32" s="46">
        <f>+'فرع الزقازيق'!J11</f>
        <v>0</v>
      </c>
      <c r="K32" s="46">
        <f>+'فرع الزقازيق'!K11</f>
        <v>0</v>
      </c>
      <c r="L32" s="46">
        <f>+'فرع الزقازيق'!L11</f>
        <v>0</v>
      </c>
      <c r="M32" s="46">
        <f>+'فرع الزقازيق'!M11</f>
        <v>0</v>
      </c>
      <c r="N32" s="46">
        <f>+'فرع الزقازيق'!N11</f>
        <v>0</v>
      </c>
      <c r="O32" s="46">
        <f>+'فرع الزقازيق'!O11</f>
        <v>0</v>
      </c>
      <c r="P32" s="46">
        <f>+'فرع الزقازيق'!P11</f>
        <v>0</v>
      </c>
      <c r="Q32" s="46">
        <f>+'فرع الزقازيق'!Q11</f>
        <v>0</v>
      </c>
      <c r="R32" s="47">
        <f>+'فرع الزقازيق'!R11</f>
        <v>0</v>
      </c>
      <c r="S32" s="47">
        <f>+'فرع الزقازيق'!S11</f>
        <v>0</v>
      </c>
      <c r="T32" s="46">
        <f>+'فرع الزقازيق'!T11</f>
        <v>0</v>
      </c>
      <c r="U32" s="46">
        <f>+'فرع الزقازيق'!U11</f>
        <v>0</v>
      </c>
      <c r="V32" s="46">
        <f>+'فرع الزقازيق'!V11</f>
        <v>0</v>
      </c>
      <c r="W32" s="46">
        <f>+'فرع الزقازيق'!W11</f>
        <v>0</v>
      </c>
      <c r="X32" s="46">
        <f>+'فرع الزقازيق'!X11</f>
        <v>0</v>
      </c>
      <c r="Y32" s="46">
        <f>+'فرع الزقازيق'!Y11</f>
        <v>0</v>
      </c>
      <c r="Z32" s="46">
        <f>+'فرع الزقازيق'!Z11</f>
        <v>0</v>
      </c>
      <c r="AA32" s="46">
        <f>+'فرع الزقازيق'!AA11</f>
        <v>0</v>
      </c>
      <c r="AB32" s="46">
        <f>+'فرع الزقازيق'!AB11</f>
        <v>0</v>
      </c>
      <c r="AC32" s="46">
        <f>+'فرع الزقازيق'!AC11</f>
        <v>0</v>
      </c>
      <c r="AD32" s="46">
        <f>+'فرع الزقازيق'!AD11</f>
        <v>0</v>
      </c>
      <c r="AE32" s="46">
        <f>+'فرع الزقازيق'!AE11</f>
        <v>0</v>
      </c>
      <c r="AF32" s="46">
        <f>+'فرع الزقازيق'!AF11</f>
        <v>0</v>
      </c>
      <c r="AG32" s="46">
        <f>+'فرع الزقازيق'!AG11</f>
        <v>0</v>
      </c>
      <c r="AH32" s="46">
        <f>+'فرع الزقازيق'!AH11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+'فرع الزقازيق'!A12</f>
        <v>0</v>
      </c>
      <c r="B36" s="44">
        <f>+'فرع الزقازيق'!B12</f>
        <v>0</v>
      </c>
      <c r="C36" s="45">
        <f>+'فرع الزقازيق'!C12</f>
        <v>0</v>
      </c>
      <c r="D36" s="45">
        <f>+'فرع الزقازيق'!D12</f>
        <v>0</v>
      </c>
      <c r="E36" s="45">
        <f>+'فرع الزقازيق'!E12</f>
        <v>0</v>
      </c>
      <c r="F36" s="46">
        <f>+'فرع الزقازيق'!F12</f>
        <v>0</v>
      </c>
      <c r="G36" s="46">
        <f>+'فرع الزقازيق'!G12</f>
        <v>0</v>
      </c>
      <c r="H36" s="46">
        <f>+'فرع الزقازيق'!H12</f>
        <v>0</v>
      </c>
      <c r="I36" s="46">
        <f>+'فرع الزقازيق'!I12</f>
        <v>0</v>
      </c>
      <c r="J36" s="46">
        <f>+'فرع الزقازيق'!J12</f>
        <v>0</v>
      </c>
      <c r="K36" s="46">
        <f>+'فرع الزقازيق'!K12</f>
        <v>0</v>
      </c>
      <c r="L36" s="46">
        <f>+'فرع الزقازيق'!L12</f>
        <v>0</v>
      </c>
      <c r="M36" s="46">
        <f>+'فرع الزقازيق'!M12</f>
        <v>0</v>
      </c>
      <c r="N36" s="46">
        <f>+'فرع الزقازيق'!N12</f>
        <v>0</v>
      </c>
      <c r="O36" s="46">
        <f>+'فرع الزقازيق'!O12</f>
        <v>0</v>
      </c>
      <c r="P36" s="46">
        <f>+'فرع الزقازيق'!P12</f>
        <v>0</v>
      </c>
      <c r="Q36" s="46">
        <f>+'فرع الزقازيق'!Q12</f>
        <v>0</v>
      </c>
      <c r="R36" s="47">
        <f>+'فرع الزقازيق'!R12</f>
        <v>0</v>
      </c>
      <c r="S36" s="47">
        <f>+'فرع الزقازيق'!S12</f>
        <v>0</v>
      </c>
      <c r="T36" s="46">
        <f>+'فرع الزقازيق'!T12</f>
        <v>0</v>
      </c>
      <c r="U36" s="46">
        <f>+'فرع الزقازيق'!U12</f>
        <v>0</v>
      </c>
      <c r="V36" s="46">
        <f>+'فرع الزقازيق'!V12</f>
        <v>0</v>
      </c>
      <c r="W36" s="46">
        <f>+'فرع الزقازيق'!W12</f>
        <v>0</v>
      </c>
      <c r="X36" s="46">
        <f>+'فرع الزقازيق'!X12</f>
        <v>0</v>
      </c>
      <c r="Y36" s="46">
        <f>+'فرع الزقازيق'!Y12</f>
        <v>0</v>
      </c>
      <c r="Z36" s="46">
        <f>+'فرع الزقازيق'!Z12</f>
        <v>0</v>
      </c>
      <c r="AA36" s="46">
        <f>+'فرع الزقازيق'!AA12</f>
        <v>0</v>
      </c>
      <c r="AB36" s="46">
        <f>+'فرع الزقازيق'!AB12</f>
        <v>0</v>
      </c>
      <c r="AC36" s="46">
        <f>+'فرع الزقازيق'!AC12</f>
        <v>0</v>
      </c>
      <c r="AD36" s="46">
        <f>+'فرع الزقازيق'!AD12</f>
        <v>0</v>
      </c>
      <c r="AE36" s="46">
        <f>+'فرع الزقازيق'!AE12</f>
        <v>0</v>
      </c>
      <c r="AF36" s="46">
        <f>+'فرع الزقازيق'!AF12</f>
        <v>0</v>
      </c>
      <c r="AG36" s="46">
        <f>+'فرع الزقازيق'!AG12</f>
        <v>0</v>
      </c>
      <c r="AH36" s="46">
        <f>+'فرع الزقازيق'!AH12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+'فرع الزقازيق'!A13</f>
        <v>0</v>
      </c>
      <c r="B40" s="44">
        <f>+'فرع الزقازيق'!B13</f>
        <v>0</v>
      </c>
      <c r="C40" s="45">
        <f>+'فرع الزقازيق'!C13</f>
        <v>0</v>
      </c>
      <c r="D40" s="45">
        <f>+'فرع الزقازيق'!D13</f>
        <v>0</v>
      </c>
      <c r="E40" s="45">
        <f>+'فرع الزقازيق'!E13</f>
        <v>0</v>
      </c>
      <c r="F40" s="46">
        <f>+'فرع الزقازيق'!F13</f>
        <v>0</v>
      </c>
      <c r="G40" s="46">
        <f>+'فرع الزقازيق'!G13</f>
        <v>0</v>
      </c>
      <c r="H40" s="46">
        <f>+'فرع الزقازيق'!H13</f>
        <v>0</v>
      </c>
      <c r="I40" s="46">
        <f>+'فرع الزقازيق'!I13</f>
        <v>0</v>
      </c>
      <c r="J40" s="46">
        <f>+'فرع الزقازيق'!J13</f>
        <v>0</v>
      </c>
      <c r="K40" s="46">
        <f>+'فرع الزقازيق'!K13</f>
        <v>0</v>
      </c>
      <c r="L40" s="46">
        <f>+'فرع الزقازيق'!L13</f>
        <v>0</v>
      </c>
      <c r="M40" s="46">
        <f>+'فرع الزقازيق'!M13</f>
        <v>0</v>
      </c>
      <c r="N40" s="46">
        <f>+'فرع الزقازيق'!N13</f>
        <v>0</v>
      </c>
      <c r="O40" s="46">
        <f>+'فرع الزقازيق'!O13</f>
        <v>0</v>
      </c>
      <c r="P40" s="46">
        <f>+'فرع الزقازيق'!P13</f>
        <v>0</v>
      </c>
      <c r="Q40" s="46">
        <f>+'فرع الزقازيق'!Q13</f>
        <v>0</v>
      </c>
      <c r="R40" s="47">
        <f>+'فرع الزقازيق'!R13</f>
        <v>0</v>
      </c>
      <c r="S40" s="47">
        <f>+'فرع الزقازيق'!S13</f>
        <v>0</v>
      </c>
      <c r="T40" s="46">
        <f>+'فرع الزقازيق'!T13</f>
        <v>0</v>
      </c>
      <c r="U40" s="46">
        <f>+'فرع الزقازيق'!U13</f>
        <v>0</v>
      </c>
      <c r="V40" s="46">
        <f>+'فرع الزقازيق'!V13</f>
        <v>0</v>
      </c>
      <c r="W40" s="46">
        <f>+'فرع الزقازيق'!W13</f>
        <v>0</v>
      </c>
      <c r="X40" s="46">
        <f>+'فرع الزقازيق'!X13</f>
        <v>0</v>
      </c>
      <c r="Y40" s="46">
        <f>+'فرع الزقازيق'!Y13</f>
        <v>0</v>
      </c>
      <c r="Z40" s="46">
        <f>+'فرع الزقازيق'!Z13</f>
        <v>0</v>
      </c>
      <c r="AA40" s="46">
        <f>+'فرع الزقازيق'!AA13</f>
        <v>0</v>
      </c>
      <c r="AB40" s="46">
        <f>+'فرع الزقازيق'!AB13</f>
        <v>0</v>
      </c>
      <c r="AC40" s="46">
        <f>+'فرع الزقازيق'!AC13</f>
        <v>0</v>
      </c>
      <c r="AD40" s="46">
        <f>+'فرع الزقازيق'!AD13</f>
        <v>0</v>
      </c>
      <c r="AE40" s="46">
        <f>+'فرع الزقازيق'!AE13</f>
        <v>0</v>
      </c>
      <c r="AF40" s="46">
        <f>+'فرع الزقازيق'!AF13</f>
        <v>0</v>
      </c>
      <c r="AG40" s="46">
        <f>+'فرع الزقازيق'!AG13</f>
        <v>0</v>
      </c>
      <c r="AH40" s="46">
        <f>+'فرع الزقازيق'!AH13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+'فرع الزقازيق'!A14</f>
        <v>0</v>
      </c>
      <c r="B44" s="44">
        <f>+'فرع الزقازيق'!B14</f>
        <v>0</v>
      </c>
      <c r="C44" s="45">
        <f>+'فرع الزقازيق'!C14</f>
        <v>0</v>
      </c>
      <c r="D44" s="45">
        <f>+'فرع الزقازيق'!D14</f>
        <v>0</v>
      </c>
      <c r="E44" s="45">
        <f>+'فرع الزقازيق'!E14</f>
        <v>0</v>
      </c>
      <c r="F44" s="46">
        <f>+'فرع الزقازيق'!F14</f>
        <v>0</v>
      </c>
      <c r="G44" s="46">
        <f>+'فرع الزقازيق'!G14</f>
        <v>0</v>
      </c>
      <c r="H44" s="46">
        <f>+'فرع الزقازيق'!H14</f>
        <v>0</v>
      </c>
      <c r="I44" s="46">
        <f>+'فرع الزقازيق'!I14</f>
        <v>0</v>
      </c>
      <c r="J44" s="46">
        <f>+'فرع الزقازيق'!J14</f>
        <v>0</v>
      </c>
      <c r="K44" s="46">
        <f>+'فرع الزقازيق'!K14</f>
        <v>0</v>
      </c>
      <c r="L44" s="46">
        <f>+'فرع الزقازيق'!L14</f>
        <v>0</v>
      </c>
      <c r="M44" s="46">
        <f>+'فرع الزقازيق'!M14</f>
        <v>0</v>
      </c>
      <c r="N44" s="46">
        <f>+'فرع الزقازيق'!N14</f>
        <v>0</v>
      </c>
      <c r="O44" s="46">
        <f>+'فرع الزقازيق'!O14</f>
        <v>0</v>
      </c>
      <c r="P44" s="46">
        <f>+'فرع الزقازيق'!P14</f>
        <v>0</v>
      </c>
      <c r="Q44" s="46">
        <f>+'فرع الزقازيق'!Q14</f>
        <v>0</v>
      </c>
      <c r="R44" s="47">
        <f>+'فرع الزقازيق'!R14</f>
        <v>0</v>
      </c>
      <c r="S44" s="47">
        <f>+'فرع الزقازيق'!S14</f>
        <v>0</v>
      </c>
      <c r="T44" s="46">
        <f>+'فرع الزقازيق'!T14</f>
        <v>0</v>
      </c>
      <c r="U44" s="46">
        <f>+'فرع الزقازيق'!U14</f>
        <v>0</v>
      </c>
      <c r="V44" s="46">
        <f>+'فرع الزقازيق'!V14</f>
        <v>0</v>
      </c>
      <c r="W44" s="46">
        <f>+'فرع الزقازيق'!W14</f>
        <v>0</v>
      </c>
      <c r="X44" s="46">
        <f>+'فرع الزقازيق'!X14</f>
        <v>0</v>
      </c>
      <c r="Y44" s="46">
        <f>+'فرع الزقازيق'!Y14</f>
        <v>0</v>
      </c>
      <c r="Z44" s="46">
        <f>+'فرع الزقازيق'!Z14</f>
        <v>0</v>
      </c>
      <c r="AA44" s="46">
        <f>+'فرع الزقازيق'!AA14</f>
        <v>0</v>
      </c>
      <c r="AB44" s="46">
        <f>+'فرع الزقازيق'!AB14</f>
        <v>0</v>
      </c>
      <c r="AC44" s="46">
        <f>+'فرع الزقازيق'!AC14</f>
        <v>0</v>
      </c>
      <c r="AD44" s="46">
        <f>+'فرع الزقازيق'!AD14</f>
        <v>0</v>
      </c>
      <c r="AE44" s="46">
        <f>+'فرع الزقازيق'!AE14</f>
        <v>0</v>
      </c>
      <c r="AF44" s="46">
        <f>+'فرع الزقازيق'!AF14</f>
        <v>0</v>
      </c>
      <c r="AG44" s="46">
        <f>+'فرع الزقازيق'!AG14</f>
        <v>0</v>
      </c>
      <c r="AH44" s="46">
        <f>+'فرع الزقازيق'!AH14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+'فرع الزقازيق'!A15</f>
        <v>0</v>
      </c>
      <c r="B48" s="44">
        <f>+'فرع الزقازيق'!B15</f>
        <v>0</v>
      </c>
      <c r="C48" s="45">
        <f>+'فرع الزقازيق'!C15</f>
        <v>0</v>
      </c>
      <c r="D48" s="45">
        <f>+'فرع الزقازيق'!D15</f>
        <v>0</v>
      </c>
      <c r="E48" s="45">
        <f>+'فرع الزقازيق'!E15</f>
        <v>0</v>
      </c>
      <c r="F48" s="46">
        <f>+'فرع الزقازيق'!F15</f>
        <v>0</v>
      </c>
      <c r="G48" s="46">
        <f>+'فرع الزقازيق'!G15</f>
        <v>0</v>
      </c>
      <c r="H48" s="46">
        <f>+'فرع الزقازيق'!H15</f>
        <v>0</v>
      </c>
      <c r="I48" s="46">
        <f>+'فرع الزقازيق'!I15</f>
        <v>0</v>
      </c>
      <c r="J48" s="46">
        <f>+'فرع الزقازيق'!J15</f>
        <v>0</v>
      </c>
      <c r="K48" s="46">
        <f>+'فرع الزقازيق'!K15</f>
        <v>0</v>
      </c>
      <c r="L48" s="46">
        <f>+'فرع الزقازيق'!L15</f>
        <v>0</v>
      </c>
      <c r="M48" s="46">
        <f>+'فرع الزقازيق'!M15</f>
        <v>0</v>
      </c>
      <c r="N48" s="46">
        <f>+'فرع الزقازيق'!N15</f>
        <v>0</v>
      </c>
      <c r="O48" s="46">
        <f>+'فرع الزقازيق'!O15</f>
        <v>0</v>
      </c>
      <c r="P48" s="46">
        <f>+'فرع الزقازيق'!P15</f>
        <v>0</v>
      </c>
      <c r="Q48" s="46">
        <f>+'فرع الزقازيق'!Q15</f>
        <v>0</v>
      </c>
      <c r="R48" s="47">
        <f>+'فرع الزقازيق'!R15</f>
        <v>0</v>
      </c>
      <c r="S48" s="47">
        <f>+'فرع الزقازيق'!S15</f>
        <v>0</v>
      </c>
      <c r="T48" s="46">
        <f>+'فرع الزقازيق'!T15</f>
        <v>0</v>
      </c>
      <c r="U48" s="46">
        <f>+'فرع الزقازيق'!U15</f>
        <v>0</v>
      </c>
      <c r="V48" s="46">
        <f>+'فرع الزقازيق'!V15</f>
        <v>0</v>
      </c>
      <c r="W48" s="46">
        <f>+'فرع الزقازيق'!W15</f>
        <v>0</v>
      </c>
      <c r="X48" s="46">
        <f>+'فرع الزقازيق'!X15</f>
        <v>0</v>
      </c>
      <c r="Y48" s="46">
        <f>+'فرع الزقازيق'!Y15</f>
        <v>0</v>
      </c>
      <c r="Z48" s="46">
        <f>+'فرع الزقازيق'!Z15</f>
        <v>0</v>
      </c>
      <c r="AA48" s="46">
        <f>+'فرع الزقازيق'!AA15</f>
        <v>0</v>
      </c>
      <c r="AB48" s="46">
        <f>+'فرع الزقازيق'!AB15</f>
        <v>0</v>
      </c>
      <c r="AC48" s="46">
        <f>+'فرع الزقازيق'!AC15</f>
        <v>0</v>
      </c>
      <c r="AD48" s="46">
        <f>+'فرع الزقازيق'!AD15</f>
        <v>0</v>
      </c>
      <c r="AE48" s="46">
        <f>+'فرع الزقازيق'!AE15</f>
        <v>0</v>
      </c>
      <c r="AF48" s="46">
        <f>+'فرع الزقازيق'!AF15</f>
        <v>0</v>
      </c>
      <c r="AG48" s="46">
        <f>+'فرع الزقازيق'!AG15</f>
        <v>0</v>
      </c>
      <c r="AH48" s="46">
        <f>+'فرع الزقازيق'!AH15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+'فرع الزقازيق'!A16</f>
        <v>0</v>
      </c>
      <c r="B52" s="44">
        <f>+'فرع الزقازيق'!B16</f>
        <v>0</v>
      </c>
      <c r="C52" s="45">
        <f>+'فرع الزقازيق'!C16</f>
        <v>0</v>
      </c>
      <c r="D52" s="45">
        <f>+'فرع الزقازيق'!D16</f>
        <v>0</v>
      </c>
      <c r="E52" s="45">
        <f>+'فرع الزقازيق'!E16</f>
        <v>0</v>
      </c>
      <c r="F52" s="46">
        <f>+'فرع الزقازيق'!F16</f>
        <v>0</v>
      </c>
      <c r="G52" s="46">
        <f>+'فرع الزقازيق'!G16</f>
        <v>0</v>
      </c>
      <c r="H52" s="46">
        <f>+'فرع الزقازيق'!H16</f>
        <v>0</v>
      </c>
      <c r="I52" s="46">
        <f>+'فرع الزقازيق'!I16</f>
        <v>0</v>
      </c>
      <c r="J52" s="46">
        <f>+'فرع الزقازيق'!J16</f>
        <v>0</v>
      </c>
      <c r="K52" s="46">
        <f>+'فرع الزقازيق'!K16</f>
        <v>0</v>
      </c>
      <c r="L52" s="46">
        <f>+'فرع الزقازيق'!L16</f>
        <v>0</v>
      </c>
      <c r="M52" s="46">
        <f>+'فرع الزقازيق'!M16</f>
        <v>0</v>
      </c>
      <c r="N52" s="46">
        <f>+'فرع الزقازيق'!N16</f>
        <v>0</v>
      </c>
      <c r="O52" s="46">
        <f>+'فرع الزقازيق'!O16</f>
        <v>0</v>
      </c>
      <c r="P52" s="46">
        <f>+'فرع الزقازيق'!P16</f>
        <v>0</v>
      </c>
      <c r="Q52" s="46">
        <f>+'فرع الزقازيق'!Q16</f>
        <v>0</v>
      </c>
      <c r="R52" s="47">
        <f>+'فرع الزقازيق'!R16</f>
        <v>0</v>
      </c>
      <c r="S52" s="47">
        <f>+'فرع الزقازيق'!S16</f>
        <v>0</v>
      </c>
      <c r="T52" s="46">
        <f>+'فرع الزقازيق'!T16</f>
        <v>0</v>
      </c>
      <c r="U52" s="46">
        <f>+'فرع الزقازيق'!U16</f>
        <v>0</v>
      </c>
      <c r="V52" s="46">
        <f>+'فرع الزقازيق'!V16</f>
        <v>0</v>
      </c>
      <c r="W52" s="46">
        <f>+'فرع الزقازيق'!W16</f>
        <v>0</v>
      </c>
      <c r="X52" s="46">
        <f>+'فرع الزقازيق'!X16</f>
        <v>0</v>
      </c>
      <c r="Y52" s="46">
        <f>+'فرع الزقازيق'!Y16</f>
        <v>0</v>
      </c>
      <c r="Z52" s="46">
        <f>+'فرع الزقازيق'!Z16</f>
        <v>0</v>
      </c>
      <c r="AA52" s="46">
        <f>+'فرع الزقازيق'!AA16</f>
        <v>0</v>
      </c>
      <c r="AB52" s="46">
        <f>+'فرع الزقازيق'!AB16</f>
        <v>0</v>
      </c>
      <c r="AC52" s="46">
        <f>+'فرع الزقازيق'!AC16</f>
        <v>0</v>
      </c>
      <c r="AD52" s="46">
        <f>+'فرع الزقازيق'!AD16</f>
        <v>0</v>
      </c>
      <c r="AE52" s="46">
        <f>+'فرع الزقازيق'!AE16</f>
        <v>0</v>
      </c>
      <c r="AF52" s="46">
        <f>+'فرع الزقازيق'!AF16</f>
        <v>0</v>
      </c>
      <c r="AG52" s="46">
        <f>+'فرع الزقازيق'!AG16</f>
        <v>0</v>
      </c>
      <c r="AH52" s="46">
        <f>+'فرع الزقازيق'!AH16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+'فرع الزقازيق'!A17</f>
        <v>0</v>
      </c>
      <c r="B56" s="44">
        <f>+'فرع الزقازيق'!B17</f>
        <v>0</v>
      </c>
      <c r="C56" s="45">
        <f>+'فرع الزقازيق'!C17</f>
        <v>0</v>
      </c>
      <c r="D56" s="45">
        <f>+'فرع الزقازيق'!D17</f>
        <v>0</v>
      </c>
      <c r="E56" s="45">
        <f>+'فرع الزقازيق'!E17</f>
        <v>0</v>
      </c>
      <c r="F56" s="46">
        <f>+'فرع الزقازيق'!F17</f>
        <v>0</v>
      </c>
      <c r="G56" s="46">
        <f>+'فرع الزقازيق'!G17</f>
        <v>0</v>
      </c>
      <c r="H56" s="46">
        <f>+'فرع الزقازيق'!H17</f>
        <v>0</v>
      </c>
      <c r="I56" s="46">
        <f>+'فرع الزقازيق'!I17</f>
        <v>0</v>
      </c>
      <c r="J56" s="46">
        <f>+'فرع الزقازيق'!J17</f>
        <v>0</v>
      </c>
      <c r="K56" s="46">
        <f>+'فرع الزقازيق'!K17</f>
        <v>0</v>
      </c>
      <c r="L56" s="46">
        <f>+'فرع الزقازيق'!L17</f>
        <v>0</v>
      </c>
      <c r="M56" s="46">
        <f>+'فرع الزقازيق'!M17</f>
        <v>0</v>
      </c>
      <c r="N56" s="46">
        <f>+'فرع الزقازيق'!N17</f>
        <v>0</v>
      </c>
      <c r="O56" s="46">
        <f>+'فرع الزقازيق'!O17</f>
        <v>0</v>
      </c>
      <c r="P56" s="46">
        <f>+'فرع الزقازيق'!P17</f>
        <v>0</v>
      </c>
      <c r="Q56" s="46">
        <f>+'فرع الزقازيق'!Q17</f>
        <v>0</v>
      </c>
      <c r="R56" s="47">
        <f>+'فرع الزقازيق'!R17</f>
        <v>0</v>
      </c>
      <c r="S56" s="47">
        <f>+'فرع الزقازيق'!S17</f>
        <v>0</v>
      </c>
      <c r="T56" s="46">
        <f>+'فرع الزقازيق'!T17</f>
        <v>0</v>
      </c>
      <c r="U56" s="46">
        <f>+'فرع الزقازيق'!U17</f>
        <v>0</v>
      </c>
      <c r="V56" s="46">
        <f>+'فرع الزقازيق'!V17</f>
        <v>0</v>
      </c>
      <c r="W56" s="46">
        <f>+'فرع الزقازيق'!W17</f>
        <v>0</v>
      </c>
      <c r="X56" s="46">
        <f>+'فرع الزقازيق'!X17</f>
        <v>0</v>
      </c>
      <c r="Y56" s="46">
        <f>+'فرع الزقازيق'!Y17</f>
        <v>0</v>
      </c>
      <c r="Z56" s="46">
        <f>+'فرع الزقازيق'!Z17</f>
        <v>0</v>
      </c>
      <c r="AA56" s="46">
        <f>+'فرع الزقازيق'!AA17</f>
        <v>0</v>
      </c>
      <c r="AB56" s="46">
        <f>+'فرع الزقازيق'!AB17</f>
        <v>0</v>
      </c>
      <c r="AC56" s="46">
        <f>+'فرع الزقازيق'!AC17</f>
        <v>0</v>
      </c>
      <c r="AD56" s="46">
        <f>+'فرع الزقازيق'!AD17</f>
        <v>0</v>
      </c>
      <c r="AE56" s="46">
        <f>+'فرع الزقازيق'!AE17</f>
        <v>0</v>
      </c>
      <c r="AF56" s="46">
        <f>+'فرع الزقازيق'!AF17</f>
        <v>0</v>
      </c>
      <c r="AG56" s="46">
        <f>+'فرع الزقازيق'!AG17</f>
        <v>0</v>
      </c>
      <c r="AH56" s="46">
        <f>+'فرع الزقازيق'!AH17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+'فرع الزقازيق'!A18</f>
        <v>0</v>
      </c>
      <c r="B60" s="44">
        <f>+'فرع الزقازيق'!B18</f>
        <v>0</v>
      </c>
      <c r="C60" s="45">
        <f>+'فرع الزقازيق'!C18</f>
        <v>0</v>
      </c>
      <c r="D60" s="45">
        <f>+'فرع الزقازيق'!D18</f>
        <v>0</v>
      </c>
      <c r="E60" s="45">
        <f>+'فرع الزقازيق'!E18</f>
        <v>0</v>
      </c>
      <c r="F60" s="46">
        <f>+'فرع الزقازيق'!F18</f>
        <v>0</v>
      </c>
      <c r="G60" s="46">
        <f>+'فرع الزقازيق'!G18</f>
        <v>0</v>
      </c>
      <c r="H60" s="46">
        <f>+'فرع الزقازيق'!H18</f>
        <v>0</v>
      </c>
      <c r="I60" s="46">
        <f>+'فرع الزقازيق'!I18</f>
        <v>0</v>
      </c>
      <c r="J60" s="46">
        <f>+'فرع الزقازيق'!J18</f>
        <v>0</v>
      </c>
      <c r="K60" s="46">
        <f>+'فرع الزقازيق'!K18</f>
        <v>0</v>
      </c>
      <c r="L60" s="46">
        <f>+'فرع الزقازيق'!L18</f>
        <v>0</v>
      </c>
      <c r="M60" s="46">
        <f>+'فرع الزقازيق'!M18</f>
        <v>0</v>
      </c>
      <c r="N60" s="46">
        <f>+'فرع الزقازيق'!N18</f>
        <v>0</v>
      </c>
      <c r="O60" s="46">
        <f>+'فرع الزقازيق'!O18</f>
        <v>0</v>
      </c>
      <c r="P60" s="46">
        <f>+'فرع الزقازيق'!P18</f>
        <v>0</v>
      </c>
      <c r="Q60" s="46">
        <f>+'فرع الزقازيق'!Q18</f>
        <v>0</v>
      </c>
      <c r="R60" s="47">
        <f>+'فرع الزقازيق'!R18</f>
        <v>0</v>
      </c>
      <c r="S60" s="47">
        <f>+'فرع الزقازيق'!S18</f>
        <v>0</v>
      </c>
      <c r="T60" s="46">
        <f>+'فرع الزقازيق'!T18</f>
        <v>0</v>
      </c>
      <c r="U60" s="46">
        <f>+'فرع الزقازيق'!U18</f>
        <v>0</v>
      </c>
      <c r="V60" s="46">
        <f>+'فرع الزقازيق'!V18</f>
        <v>0</v>
      </c>
      <c r="W60" s="46">
        <f>+'فرع الزقازيق'!W18</f>
        <v>0</v>
      </c>
      <c r="X60" s="46">
        <f>+'فرع الزقازيق'!X18</f>
        <v>0</v>
      </c>
      <c r="Y60" s="46">
        <f>+'فرع الزقازيق'!Y18</f>
        <v>0</v>
      </c>
      <c r="Z60" s="46">
        <f>+'فرع الزقازيق'!Z18</f>
        <v>0</v>
      </c>
      <c r="AA60" s="46">
        <f>+'فرع الزقازيق'!AA18</f>
        <v>0</v>
      </c>
      <c r="AB60" s="46">
        <f>+'فرع الزقازيق'!AB18</f>
        <v>0</v>
      </c>
      <c r="AC60" s="46">
        <f>+'فرع الزقازيق'!AC18</f>
        <v>0</v>
      </c>
      <c r="AD60" s="46">
        <f>+'فرع الزقازيق'!AD18</f>
        <v>0</v>
      </c>
      <c r="AE60" s="46">
        <f>+'فرع الزقازيق'!AE18</f>
        <v>0</v>
      </c>
      <c r="AF60" s="46">
        <f>+'فرع الزقازيق'!AF18</f>
        <v>0</v>
      </c>
      <c r="AG60" s="46">
        <f>+'فرع الزقازيق'!AG18</f>
        <v>0</v>
      </c>
      <c r="AH60" s="46">
        <f>+'فرع الزقازيق'!AH18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+'فرع الزقازيق'!A19</f>
        <v>0</v>
      </c>
      <c r="B64" s="44">
        <f>+'فرع الزقازيق'!B19</f>
        <v>0</v>
      </c>
      <c r="C64" s="45">
        <f>+'فرع الزقازيق'!C19</f>
        <v>0</v>
      </c>
      <c r="D64" s="45">
        <f>+'فرع الزقازيق'!D19</f>
        <v>0</v>
      </c>
      <c r="E64" s="45">
        <f>+'فرع الزقازيق'!E19</f>
        <v>0</v>
      </c>
      <c r="F64" s="46">
        <f>+'فرع الزقازيق'!F19</f>
        <v>0</v>
      </c>
      <c r="G64" s="46">
        <f>+'فرع الزقازيق'!G19</f>
        <v>0</v>
      </c>
      <c r="H64" s="46">
        <f>+'فرع الزقازيق'!H19</f>
        <v>0</v>
      </c>
      <c r="I64" s="46">
        <f>+'فرع الزقازيق'!I19</f>
        <v>0</v>
      </c>
      <c r="J64" s="46">
        <f>+'فرع الزقازيق'!J19</f>
        <v>0</v>
      </c>
      <c r="K64" s="46">
        <f>+'فرع الزقازيق'!K19</f>
        <v>0</v>
      </c>
      <c r="L64" s="46">
        <f>+'فرع الزقازيق'!L19</f>
        <v>0</v>
      </c>
      <c r="M64" s="46">
        <f>+'فرع الزقازيق'!M19</f>
        <v>0</v>
      </c>
      <c r="N64" s="46">
        <f>+'فرع الزقازيق'!N19</f>
        <v>0</v>
      </c>
      <c r="O64" s="46">
        <f>+'فرع الزقازيق'!O19</f>
        <v>0</v>
      </c>
      <c r="P64" s="46">
        <f>+'فرع الزقازيق'!P19</f>
        <v>0</v>
      </c>
      <c r="Q64" s="46">
        <f>+'فرع الزقازيق'!Q19</f>
        <v>0</v>
      </c>
      <c r="R64" s="47">
        <f>+'فرع الزقازيق'!R19</f>
        <v>0</v>
      </c>
      <c r="S64" s="47">
        <f>+'فرع الزقازيق'!S19</f>
        <v>0</v>
      </c>
      <c r="T64" s="46">
        <f>+'فرع الزقازيق'!T19</f>
        <v>0</v>
      </c>
      <c r="U64" s="46">
        <f>+'فرع الزقازيق'!U19</f>
        <v>0</v>
      </c>
      <c r="V64" s="46">
        <f>+'فرع الزقازيق'!V19</f>
        <v>0</v>
      </c>
      <c r="W64" s="46">
        <f>+'فرع الزقازيق'!W19</f>
        <v>0</v>
      </c>
      <c r="X64" s="46">
        <f>+'فرع الزقازيق'!X19</f>
        <v>0</v>
      </c>
      <c r="Y64" s="46">
        <f>+'فرع الزقازيق'!Y19</f>
        <v>0</v>
      </c>
      <c r="Z64" s="46">
        <f>+'فرع الزقازيق'!Z19</f>
        <v>0</v>
      </c>
      <c r="AA64" s="46">
        <f>+'فرع الزقازيق'!AA19</f>
        <v>0</v>
      </c>
      <c r="AB64" s="46">
        <f>+'فرع الزقازيق'!AB19</f>
        <v>0</v>
      </c>
      <c r="AC64" s="46">
        <f>+'فرع الزقازيق'!AC19</f>
        <v>0</v>
      </c>
      <c r="AD64" s="46">
        <f>+'فرع الزقازيق'!AD19</f>
        <v>0</v>
      </c>
      <c r="AE64" s="46">
        <f>+'فرع الزقازيق'!AE19</f>
        <v>0</v>
      </c>
      <c r="AF64" s="46">
        <f>+'فرع الزقازيق'!AF19</f>
        <v>0</v>
      </c>
      <c r="AG64" s="46">
        <f>+'فرع الزقازيق'!AG19</f>
        <v>0</v>
      </c>
      <c r="AH64" s="46">
        <f>+'فرع الزقازيق'!AH19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+'فرع الزقازيق'!A20</f>
        <v>0</v>
      </c>
      <c r="B68" s="44">
        <f>+'فرع الزقازيق'!B20</f>
        <v>0</v>
      </c>
      <c r="C68" s="45">
        <f>+'فرع الزقازيق'!C20</f>
        <v>0</v>
      </c>
      <c r="D68" s="45">
        <f>+'فرع الزقازيق'!D20</f>
        <v>0</v>
      </c>
      <c r="E68" s="45">
        <f>+'فرع الزقازيق'!E20</f>
        <v>0</v>
      </c>
      <c r="F68" s="46">
        <f>+'فرع الزقازيق'!F20</f>
        <v>0</v>
      </c>
      <c r="G68" s="46">
        <f>+'فرع الزقازيق'!G20</f>
        <v>0</v>
      </c>
      <c r="H68" s="46">
        <f>+'فرع الزقازيق'!H20</f>
        <v>0</v>
      </c>
      <c r="I68" s="46">
        <f>+'فرع الزقازيق'!I20</f>
        <v>0</v>
      </c>
      <c r="J68" s="46">
        <f>+'فرع الزقازيق'!J20</f>
        <v>0</v>
      </c>
      <c r="K68" s="46">
        <f>+'فرع الزقازيق'!K20</f>
        <v>0</v>
      </c>
      <c r="L68" s="46">
        <f>+'فرع الزقازيق'!L20</f>
        <v>0</v>
      </c>
      <c r="M68" s="46">
        <f>+'فرع الزقازيق'!M20</f>
        <v>0</v>
      </c>
      <c r="N68" s="46">
        <f>+'فرع الزقازيق'!N20</f>
        <v>0</v>
      </c>
      <c r="O68" s="46">
        <f>+'فرع الزقازيق'!O20</f>
        <v>0</v>
      </c>
      <c r="P68" s="46">
        <f>+'فرع الزقازيق'!P20</f>
        <v>0</v>
      </c>
      <c r="Q68" s="46">
        <f>+'فرع الزقازيق'!Q20</f>
        <v>0</v>
      </c>
      <c r="R68" s="47">
        <f>+'فرع الزقازيق'!R20</f>
        <v>0</v>
      </c>
      <c r="S68" s="47">
        <f>+'فرع الزقازيق'!S20</f>
        <v>0</v>
      </c>
      <c r="T68" s="46">
        <f>+'فرع الزقازيق'!T20</f>
        <v>0</v>
      </c>
      <c r="U68" s="46">
        <f>+'فرع الزقازيق'!U20</f>
        <v>0</v>
      </c>
      <c r="V68" s="46">
        <f>+'فرع الزقازيق'!V20</f>
        <v>0</v>
      </c>
      <c r="W68" s="46">
        <f>+'فرع الزقازيق'!W20</f>
        <v>0</v>
      </c>
      <c r="X68" s="46">
        <f>+'فرع الزقازيق'!X20</f>
        <v>0</v>
      </c>
      <c r="Y68" s="46">
        <f>+'فرع الزقازيق'!Y20</f>
        <v>0</v>
      </c>
      <c r="Z68" s="46">
        <f>+'فرع الزقازيق'!Z20</f>
        <v>0</v>
      </c>
      <c r="AA68" s="46">
        <f>+'فرع الزقازيق'!AA20</f>
        <v>0</v>
      </c>
      <c r="AB68" s="46">
        <f>+'فرع الزقازيق'!AB20</f>
        <v>0</v>
      </c>
      <c r="AC68" s="46">
        <f>+'فرع الزقازيق'!AC20</f>
        <v>0</v>
      </c>
      <c r="AD68" s="46">
        <f>+'فرع الزقازيق'!AD20</f>
        <v>0</v>
      </c>
      <c r="AE68" s="46">
        <f>+'فرع الزقازيق'!AE20</f>
        <v>0</v>
      </c>
      <c r="AF68" s="46">
        <f>+'فرع الزقازيق'!AF20</f>
        <v>0</v>
      </c>
      <c r="AG68" s="46">
        <f>+'فرع الزقازيق'!AG20</f>
        <v>0</v>
      </c>
      <c r="AH68" s="46">
        <f>+'فرع الزقازيق'!AH20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+'فرع الزقازيق'!A21</f>
        <v>0</v>
      </c>
      <c r="B72" s="44">
        <f>+'فرع الزقازيق'!B21</f>
        <v>0</v>
      </c>
      <c r="C72" s="45">
        <f>+'فرع الزقازيق'!C21</f>
        <v>0</v>
      </c>
      <c r="D72" s="45">
        <f>+'فرع الزقازيق'!D21</f>
        <v>0</v>
      </c>
      <c r="E72" s="45">
        <f>+'فرع الزقازيق'!E21</f>
        <v>0</v>
      </c>
      <c r="F72" s="46">
        <f>+'فرع الزقازيق'!F21</f>
        <v>0</v>
      </c>
      <c r="G72" s="46">
        <f>+'فرع الزقازيق'!G21</f>
        <v>0</v>
      </c>
      <c r="H72" s="46">
        <f>+'فرع الزقازيق'!H21</f>
        <v>0</v>
      </c>
      <c r="I72" s="46">
        <f>+'فرع الزقازيق'!I21</f>
        <v>0</v>
      </c>
      <c r="J72" s="46">
        <f>+'فرع الزقازيق'!J21</f>
        <v>0</v>
      </c>
      <c r="K72" s="46">
        <f>+'فرع الزقازيق'!K21</f>
        <v>0</v>
      </c>
      <c r="L72" s="46">
        <f>+'فرع الزقازيق'!L21</f>
        <v>0</v>
      </c>
      <c r="M72" s="46">
        <f>+'فرع الزقازيق'!M21</f>
        <v>0</v>
      </c>
      <c r="N72" s="46">
        <f>+'فرع الزقازيق'!N21</f>
        <v>0</v>
      </c>
      <c r="O72" s="46">
        <f>+'فرع الزقازيق'!O21</f>
        <v>0</v>
      </c>
      <c r="P72" s="46">
        <f>+'فرع الزقازيق'!P21</f>
        <v>0</v>
      </c>
      <c r="Q72" s="46">
        <f>+'فرع الزقازيق'!Q21</f>
        <v>0</v>
      </c>
      <c r="R72" s="47">
        <f>+'فرع الزقازيق'!R21</f>
        <v>0</v>
      </c>
      <c r="S72" s="47">
        <f>+'فرع الزقازيق'!S21</f>
        <v>0</v>
      </c>
      <c r="T72" s="46">
        <f>+'فرع الزقازيق'!T21</f>
        <v>0</v>
      </c>
      <c r="U72" s="46">
        <f>+'فرع الزقازيق'!U21</f>
        <v>0</v>
      </c>
      <c r="V72" s="46">
        <f>+'فرع الزقازيق'!V21</f>
        <v>0</v>
      </c>
      <c r="W72" s="46">
        <f>+'فرع الزقازيق'!W21</f>
        <v>0</v>
      </c>
      <c r="X72" s="46">
        <f>+'فرع الزقازيق'!X21</f>
        <v>0</v>
      </c>
      <c r="Y72" s="46">
        <f>+'فرع الزقازيق'!Y21</f>
        <v>0</v>
      </c>
      <c r="Z72" s="46">
        <f>+'فرع الزقازيق'!Z21</f>
        <v>0</v>
      </c>
      <c r="AA72" s="46">
        <f>+'فرع الزقازيق'!AA21</f>
        <v>0</v>
      </c>
      <c r="AB72" s="46">
        <f>+'فرع الزقازيق'!AB21</f>
        <v>0</v>
      </c>
      <c r="AC72" s="46">
        <f>+'فرع الزقازيق'!AC21</f>
        <v>0</v>
      </c>
      <c r="AD72" s="46">
        <f>+'فرع الزقازيق'!AD21</f>
        <v>0</v>
      </c>
      <c r="AE72" s="46">
        <f>+'فرع الزقازيق'!AE21</f>
        <v>0</v>
      </c>
      <c r="AF72" s="46">
        <f>+'فرع الزقازيق'!AF21</f>
        <v>0</v>
      </c>
      <c r="AG72" s="46">
        <f>+'فرع الزقازيق'!AG21</f>
        <v>0</v>
      </c>
      <c r="AH72" s="46">
        <f>+'فرع الزقازيق'!AH21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+'فرع الزقازيق'!A22</f>
        <v>0</v>
      </c>
      <c r="B76" s="44">
        <f>+'فرع الزقازيق'!B22</f>
        <v>0</v>
      </c>
      <c r="C76" s="45">
        <f>+'فرع الزقازيق'!C22</f>
        <v>0</v>
      </c>
      <c r="D76" s="45">
        <f>+'فرع الزقازيق'!D22</f>
        <v>0</v>
      </c>
      <c r="E76" s="45">
        <f>+'فرع الزقازيق'!E22</f>
        <v>0</v>
      </c>
      <c r="F76" s="46">
        <f>+'فرع الزقازيق'!F22</f>
        <v>0</v>
      </c>
      <c r="G76" s="46">
        <f>+'فرع الزقازيق'!G22</f>
        <v>0</v>
      </c>
      <c r="H76" s="46">
        <f>+'فرع الزقازيق'!H22</f>
        <v>0</v>
      </c>
      <c r="I76" s="46">
        <f>+'فرع الزقازيق'!I22</f>
        <v>0</v>
      </c>
      <c r="J76" s="46">
        <f>+'فرع الزقازيق'!J22</f>
        <v>0</v>
      </c>
      <c r="K76" s="46">
        <f>+'فرع الزقازيق'!K22</f>
        <v>0</v>
      </c>
      <c r="L76" s="46">
        <f>+'فرع الزقازيق'!L22</f>
        <v>0</v>
      </c>
      <c r="M76" s="46">
        <f>+'فرع الزقازيق'!M22</f>
        <v>0</v>
      </c>
      <c r="N76" s="46">
        <f>+'فرع الزقازيق'!N22</f>
        <v>0</v>
      </c>
      <c r="O76" s="46">
        <f>+'فرع الزقازيق'!O22</f>
        <v>0</v>
      </c>
      <c r="P76" s="46">
        <f>+'فرع الزقازيق'!P22</f>
        <v>0</v>
      </c>
      <c r="Q76" s="46">
        <f>+'فرع الزقازيق'!Q22</f>
        <v>0</v>
      </c>
      <c r="R76" s="47">
        <f>+'فرع الزقازيق'!R22</f>
        <v>0</v>
      </c>
      <c r="S76" s="47">
        <f>+'فرع الزقازيق'!S22</f>
        <v>0</v>
      </c>
      <c r="T76" s="46">
        <f>+'فرع الزقازيق'!T22</f>
        <v>0</v>
      </c>
      <c r="U76" s="46">
        <f>+'فرع الزقازيق'!U22</f>
        <v>0</v>
      </c>
      <c r="V76" s="46">
        <f>+'فرع الزقازيق'!V22</f>
        <v>0</v>
      </c>
      <c r="W76" s="46">
        <f>+'فرع الزقازيق'!W22</f>
        <v>0</v>
      </c>
      <c r="X76" s="46">
        <f>+'فرع الزقازيق'!X22</f>
        <v>0</v>
      </c>
      <c r="Y76" s="46">
        <f>+'فرع الزقازيق'!Y22</f>
        <v>0</v>
      </c>
      <c r="Z76" s="46">
        <f>+'فرع الزقازيق'!Z22</f>
        <v>0</v>
      </c>
      <c r="AA76" s="46">
        <f>+'فرع الزقازيق'!AA22</f>
        <v>0</v>
      </c>
      <c r="AB76" s="46">
        <f>+'فرع الزقازيق'!AB22</f>
        <v>0</v>
      </c>
      <c r="AC76" s="46">
        <f>+'فرع الزقازيق'!AC22</f>
        <v>0</v>
      </c>
      <c r="AD76" s="46">
        <f>+'فرع الزقازيق'!AD22</f>
        <v>0</v>
      </c>
      <c r="AE76" s="46">
        <f>+'فرع الزقازيق'!AE22</f>
        <v>0</v>
      </c>
      <c r="AF76" s="46">
        <f>+'فرع الزقازيق'!AF22</f>
        <v>0</v>
      </c>
      <c r="AG76" s="46">
        <f>+'فرع الزقازيق'!AG22</f>
        <v>0</v>
      </c>
      <c r="AH76" s="46">
        <f>+'فرع الزقازيق'!AH22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+'فرع الزقازيق'!A23</f>
        <v>0</v>
      </c>
      <c r="B80" s="44">
        <f>+'فرع الزقازيق'!B23</f>
        <v>0</v>
      </c>
      <c r="C80" s="45">
        <f>+'فرع الزقازيق'!C23</f>
        <v>0</v>
      </c>
      <c r="D80" s="45">
        <f>+'فرع الزقازيق'!D23</f>
        <v>0</v>
      </c>
      <c r="E80" s="45">
        <f>+'فرع الزقازيق'!E23</f>
        <v>0</v>
      </c>
      <c r="F80" s="46">
        <f>+'فرع الزقازيق'!F23</f>
        <v>0</v>
      </c>
      <c r="G80" s="46">
        <f>+'فرع الزقازيق'!G23</f>
        <v>0</v>
      </c>
      <c r="H80" s="46">
        <f>+'فرع الزقازيق'!H23</f>
        <v>0</v>
      </c>
      <c r="I80" s="46">
        <f>+'فرع الزقازيق'!I23</f>
        <v>0</v>
      </c>
      <c r="J80" s="46">
        <f>+'فرع الزقازيق'!J23</f>
        <v>0</v>
      </c>
      <c r="K80" s="46">
        <f>+'فرع الزقازيق'!K23</f>
        <v>0</v>
      </c>
      <c r="L80" s="46">
        <f>+'فرع الزقازيق'!L23</f>
        <v>0</v>
      </c>
      <c r="M80" s="46">
        <f>+'فرع الزقازيق'!M23</f>
        <v>0</v>
      </c>
      <c r="N80" s="46">
        <f>+'فرع الزقازيق'!N23</f>
        <v>0</v>
      </c>
      <c r="O80" s="46">
        <f>+'فرع الزقازيق'!O23</f>
        <v>0</v>
      </c>
      <c r="P80" s="46">
        <f>+'فرع الزقازيق'!P23</f>
        <v>0</v>
      </c>
      <c r="Q80" s="46">
        <f>+'فرع الزقازيق'!Q23</f>
        <v>0</v>
      </c>
      <c r="R80" s="47">
        <f>+'فرع الزقازيق'!R23</f>
        <v>0</v>
      </c>
      <c r="S80" s="47">
        <f>+'فرع الزقازيق'!S23</f>
        <v>0</v>
      </c>
      <c r="T80" s="46">
        <f>+'فرع الزقازيق'!T23</f>
        <v>0</v>
      </c>
      <c r="U80" s="46">
        <f>+'فرع الزقازيق'!U23</f>
        <v>0</v>
      </c>
      <c r="V80" s="46">
        <f>+'فرع الزقازيق'!V23</f>
        <v>0</v>
      </c>
      <c r="W80" s="46">
        <f>+'فرع الزقازيق'!W23</f>
        <v>0</v>
      </c>
      <c r="X80" s="46">
        <f>+'فرع الزقازيق'!X23</f>
        <v>0</v>
      </c>
      <c r="Y80" s="46">
        <f>+'فرع الزقازيق'!Y23</f>
        <v>0</v>
      </c>
      <c r="Z80" s="46">
        <f>+'فرع الزقازيق'!Z23</f>
        <v>0</v>
      </c>
      <c r="AA80" s="46">
        <f>+'فرع الزقازيق'!AA23</f>
        <v>0</v>
      </c>
      <c r="AB80" s="46">
        <f>+'فرع الزقازيق'!AB23</f>
        <v>0</v>
      </c>
      <c r="AC80" s="46">
        <f>+'فرع الزقازيق'!AC23</f>
        <v>0</v>
      </c>
      <c r="AD80" s="46">
        <f>+'فرع الزقازيق'!AD23</f>
        <v>0</v>
      </c>
      <c r="AE80" s="46">
        <f>+'فرع الزقازيق'!AE23</f>
        <v>0</v>
      </c>
      <c r="AF80" s="46">
        <f>+'فرع الزقازيق'!AF23</f>
        <v>0</v>
      </c>
      <c r="AG80" s="46">
        <f>+'فرع الزقازيق'!AG23</f>
        <v>0</v>
      </c>
      <c r="AH80" s="46">
        <f>+'فرع الزقازيق'!AH23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+'فرع الزقازيق'!A24</f>
        <v>0</v>
      </c>
      <c r="B84" s="44">
        <f>+'فرع الزقازيق'!B24</f>
        <v>0</v>
      </c>
      <c r="C84" s="45">
        <f>+'فرع الزقازيق'!C24</f>
        <v>0</v>
      </c>
      <c r="D84" s="45">
        <f>+'فرع الزقازيق'!D24</f>
        <v>0</v>
      </c>
      <c r="E84" s="45">
        <f>+'فرع الزقازيق'!E24</f>
        <v>0</v>
      </c>
      <c r="F84" s="46">
        <f>+'فرع الزقازيق'!F24</f>
        <v>0</v>
      </c>
      <c r="G84" s="46">
        <f>+'فرع الزقازيق'!G24</f>
        <v>0</v>
      </c>
      <c r="H84" s="46">
        <f>+'فرع الزقازيق'!H24</f>
        <v>0</v>
      </c>
      <c r="I84" s="46">
        <f>+'فرع الزقازيق'!I24</f>
        <v>0</v>
      </c>
      <c r="J84" s="46">
        <f>+'فرع الزقازيق'!J24</f>
        <v>0</v>
      </c>
      <c r="K84" s="46">
        <f>+'فرع الزقازيق'!K24</f>
        <v>0</v>
      </c>
      <c r="L84" s="46">
        <f>+'فرع الزقازيق'!L24</f>
        <v>0</v>
      </c>
      <c r="M84" s="46">
        <f>+'فرع الزقازيق'!M24</f>
        <v>0</v>
      </c>
      <c r="N84" s="46">
        <f>+'فرع الزقازيق'!N24</f>
        <v>0</v>
      </c>
      <c r="O84" s="46">
        <f>+'فرع الزقازيق'!O24</f>
        <v>0</v>
      </c>
      <c r="P84" s="46">
        <f>+'فرع الزقازيق'!P24</f>
        <v>0</v>
      </c>
      <c r="Q84" s="46">
        <f>+'فرع الزقازيق'!Q24</f>
        <v>0</v>
      </c>
      <c r="R84" s="47">
        <f>+'فرع الزقازيق'!R24</f>
        <v>0</v>
      </c>
      <c r="S84" s="47">
        <f>+'فرع الزقازيق'!S24</f>
        <v>0</v>
      </c>
      <c r="T84" s="46">
        <f>+'فرع الزقازيق'!T24</f>
        <v>0</v>
      </c>
      <c r="U84" s="46">
        <f>+'فرع الزقازيق'!U24</f>
        <v>0</v>
      </c>
      <c r="V84" s="46">
        <f>+'فرع الزقازيق'!V24</f>
        <v>0</v>
      </c>
      <c r="W84" s="46">
        <f>+'فرع الزقازيق'!W24</f>
        <v>0</v>
      </c>
      <c r="X84" s="46">
        <f>+'فرع الزقازيق'!X24</f>
        <v>0</v>
      </c>
      <c r="Y84" s="46">
        <f>+'فرع الزقازيق'!Y24</f>
        <v>0</v>
      </c>
      <c r="Z84" s="46">
        <f>+'فرع الزقازيق'!Z24</f>
        <v>0</v>
      </c>
      <c r="AA84" s="46">
        <f>+'فرع الزقازيق'!AA24</f>
        <v>0</v>
      </c>
      <c r="AB84" s="46">
        <f>+'فرع الزقازيق'!AB24</f>
        <v>0</v>
      </c>
      <c r="AC84" s="46">
        <f>+'فرع الزقازيق'!AC24</f>
        <v>0</v>
      </c>
      <c r="AD84" s="46">
        <f>+'فرع الزقازيق'!AD24</f>
        <v>0</v>
      </c>
      <c r="AE84" s="46">
        <f>+'فرع الزقازيق'!AE24</f>
        <v>0</v>
      </c>
      <c r="AF84" s="46">
        <f>+'فرع الزقازيق'!AF24</f>
        <v>0</v>
      </c>
      <c r="AG84" s="46">
        <f>+'فرع الزقازيق'!AG24</f>
        <v>0</v>
      </c>
      <c r="AH84" s="46">
        <f>+'فرع الزقازيق'!AH24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+'فرع الزقازيق'!A25</f>
        <v>0</v>
      </c>
      <c r="B88" s="44">
        <f>+'فرع الزقازيق'!B25</f>
        <v>0</v>
      </c>
      <c r="C88" s="45">
        <f>+'فرع الزقازيق'!C25</f>
        <v>0</v>
      </c>
      <c r="D88" s="45">
        <f>+'فرع الزقازيق'!D25</f>
        <v>0</v>
      </c>
      <c r="E88" s="45">
        <f>+'فرع الزقازيق'!E25</f>
        <v>0</v>
      </c>
      <c r="F88" s="46">
        <f>+'فرع الزقازيق'!F25</f>
        <v>0</v>
      </c>
      <c r="G88" s="46">
        <f>+'فرع الزقازيق'!G25</f>
        <v>0</v>
      </c>
      <c r="H88" s="46">
        <f>+'فرع الزقازيق'!H25</f>
        <v>0</v>
      </c>
      <c r="I88" s="46">
        <f>+'فرع الزقازيق'!I25</f>
        <v>0</v>
      </c>
      <c r="J88" s="46">
        <f>+'فرع الزقازيق'!J25</f>
        <v>0</v>
      </c>
      <c r="K88" s="46">
        <f>+'فرع الزقازيق'!K25</f>
        <v>0</v>
      </c>
      <c r="L88" s="46">
        <f>+'فرع الزقازيق'!L25</f>
        <v>0</v>
      </c>
      <c r="M88" s="46">
        <f>+'فرع الزقازيق'!M25</f>
        <v>0</v>
      </c>
      <c r="N88" s="46">
        <f>+'فرع الزقازيق'!N25</f>
        <v>0</v>
      </c>
      <c r="O88" s="46">
        <f>+'فرع الزقازيق'!O25</f>
        <v>0</v>
      </c>
      <c r="P88" s="46">
        <f>+'فرع الزقازيق'!P25</f>
        <v>0</v>
      </c>
      <c r="Q88" s="46">
        <f>+'فرع الزقازيق'!Q25</f>
        <v>0</v>
      </c>
      <c r="R88" s="47">
        <f>+'فرع الزقازيق'!R25</f>
        <v>0</v>
      </c>
      <c r="S88" s="47">
        <f>+'فرع الزقازيق'!S25</f>
        <v>0</v>
      </c>
      <c r="T88" s="46">
        <f>+'فرع الزقازيق'!T25</f>
        <v>0</v>
      </c>
      <c r="U88" s="46">
        <f>+'فرع الزقازيق'!U25</f>
        <v>0</v>
      </c>
      <c r="V88" s="46">
        <f>+'فرع الزقازيق'!V25</f>
        <v>0</v>
      </c>
      <c r="W88" s="46">
        <f>+'فرع الزقازيق'!W25</f>
        <v>0</v>
      </c>
      <c r="X88" s="46">
        <f>+'فرع الزقازيق'!X25</f>
        <v>0</v>
      </c>
      <c r="Y88" s="46">
        <f>+'فرع الزقازيق'!Y25</f>
        <v>0</v>
      </c>
      <c r="Z88" s="46">
        <f>+'فرع الزقازيق'!Z25</f>
        <v>0</v>
      </c>
      <c r="AA88" s="46">
        <f>+'فرع الزقازيق'!AA25</f>
        <v>0</v>
      </c>
      <c r="AB88" s="46">
        <f>+'فرع الزقازيق'!AB25</f>
        <v>0</v>
      </c>
      <c r="AC88" s="46">
        <f>+'فرع الزقازيق'!AC25</f>
        <v>0</v>
      </c>
      <c r="AD88" s="46">
        <f>+'فرع الزقازيق'!AD25</f>
        <v>0</v>
      </c>
      <c r="AE88" s="46">
        <f>+'فرع الزقازيق'!AE25</f>
        <v>0</v>
      </c>
      <c r="AF88" s="46">
        <f>+'فرع الزقازيق'!AF25</f>
        <v>0</v>
      </c>
      <c r="AG88" s="46">
        <f>+'فرع الزقازيق'!AG25</f>
        <v>0</v>
      </c>
      <c r="AH88" s="46">
        <f>+'فرع الزقازيق'!AH25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+'فرع الزقازيق'!A26</f>
        <v>0</v>
      </c>
      <c r="B92" s="44">
        <f>+'فرع الزقازيق'!B26</f>
        <v>0</v>
      </c>
      <c r="C92" s="45">
        <f>+'فرع الزقازيق'!C26</f>
        <v>0</v>
      </c>
      <c r="D92" s="45">
        <f>+'فرع الزقازيق'!D26</f>
        <v>0</v>
      </c>
      <c r="E92" s="45">
        <f>+'فرع الزقازيق'!E26</f>
        <v>0</v>
      </c>
      <c r="F92" s="46">
        <f>+'فرع الزقازيق'!F26</f>
        <v>0</v>
      </c>
      <c r="G92" s="46">
        <f>+'فرع الزقازيق'!G26</f>
        <v>0</v>
      </c>
      <c r="H92" s="46">
        <f>+'فرع الزقازيق'!H26</f>
        <v>0</v>
      </c>
      <c r="I92" s="46">
        <f>+'فرع الزقازيق'!I26</f>
        <v>0</v>
      </c>
      <c r="J92" s="46">
        <f>+'فرع الزقازيق'!J26</f>
        <v>0</v>
      </c>
      <c r="K92" s="46">
        <f>+'فرع الزقازيق'!K26</f>
        <v>0</v>
      </c>
      <c r="L92" s="46">
        <f>+'فرع الزقازيق'!L26</f>
        <v>0</v>
      </c>
      <c r="M92" s="46">
        <f>+'فرع الزقازيق'!M26</f>
        <v>0</v>
      </c>
      <c r="N92" s="46">
        <f>+'فرع الزقازيق'!N26</f>
        <v>0</v>
      </c>
      <c r="O92" s="46">
        <f>+'فرع الزقازيق'!O26</f>
        <v>0</v>
      </c>
      <c r="P92" s="46">
        <f>+'فرع الزقازيق'!P26</f>
        <v>0</v>
      </c>
      <c r="Q92" s="46">
        <f>+'فرع الزقازيق'!Q26</f>
        <v>0</v>
      </c>
      <c r="R92" s="47">
        <f>+'فرع الزقازيق'!R26</f>
        <v>0</v>
      </c>
      <c r="S92" s="47">
        <f>+'فرع الزقازيق'!S26</f>
        <v>0</v>
      </c>
      <c r="T92" s="46">
        <f>+'فرع الزقازيق'!T26</f>
        <v>0</v>
      </c>
      <c r="U92" s="46">
        <f>+'فرع الزقازيق'!U26</f>
        <v>0</v>
      </c>
      <c r="V92" s="46">
        <f>+'فرع الزقازيق'!V26</f>
        <v>0</v>
      </c>
      <c r="W92" s="46">
        <f>+'فرع الزقازيق'!W26</f>
        <v>0</v>
      </c>
      <c r="X92" s="46">
        <f>+'فرع الزقازيق'!X26</f>
        <v>0</v>
      </c>
      <c r="Y92" s="46">
        <f>+'فرع الزقازيق'!Y26</f>
        <v>0</v>
      </c>
      <c r="Z92" s="46">
        <f>+'فرع الزقازيق'!Z26</f>
        <v>0</v>
      </c>
      <c r="AA92" s="46">
        <f>+'فرع الزقازيق'!AA26</f>
        <v>0</v>
      </c>
      <c r="AB92" s="46">
        <f>+'فرع الزقازيق'!AB26</f>
        <v>0</v>
      </c>
      <c r="AC92" s="46">
        <f>+'فرع الزقازيق'!AC26</f>
        <v>0</v>
      </c>
      <c r="AD92" s="46">
        <f>+'فرع الزقازيق'!AD26</f>
        <v>0</v>
      </c>
      <c r="AE92" s="46">
        <f>+'فرع الزقازيق'!AE26</f>
        <v>0</v>
      </c>
      <c r="AF92" s="46">
        <f>+'فرع الزقازيق'!AF26</f>
        <v>0</v>
      </c>
      <c r="AG92" s="46">
        <f>+'فرع الزقازيق'!AG26</f>
        <v>0</v>
      </c>
      <c r="AH92" s="46">
        <f>+'فرع الزقازيق'!AH26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+'فرع الزقازيق'!A27</f>
        <v>0</v>
      </c>
      <c r="B96" s="44">
        <f>+'فرع الزقازيق'!B27</f>
        <v>0</v>
      </c>
      <c r="C96" s="45">
        <f>+'فرع الزقازيق'!C27</f>
        <v>0</v>
      </c>
      <c r="D96" s="45">
        <f>+'فرع الزقازيق'!D27</f>
        <v>0</v>
      </c>
      <c r="E96" s="45">
        <f>+'فرع الزقازيق'!E27</f>
        <v>0</v>
      </c>
      <c r="F96" s="46">
        <f>+'فرع الزقازيق'!F27</f>
        <v>0</v>
      </c>
      <c r="G96" s="46">
        <f>+'فرع الزقازيق'!G27</f>
        <v>0</v>
      </c>
      <c r="H96" s="46">
        <f>+'فرع الزقازيق'!H27</f>
        <v>0</v>
      </c>
      <c r="I96" s="46">
        <f>+'فرع الزقازيق'!I27</f>
        <v>0</v>
      </c>
      <c r="J96" s="46">
        <f>+'فرع الزقازيق'!J27</f>
        <v>0</v>
      </c>
      <c r="K96" s="46">
        <f>+'فرع الزقازيق'!K27</f>
        <v>0</v>
      </c>
      <c r="L96" s="46">
        <f>+'فرع الزقازيق'!L27</f>
        <v>0</v>
      </c>
      <c r="M96" s="46">
        <f>+'فرع الزقازيق'!M27</f>
        <v>0</v>
      </c>
      <c r="N96" s="46">
        <f>+'فرع الزقازيق'!N27</f>
        <v>0</v>
      </c>
      <c r="O96" s="46">
        <f>+'فرع الزقازيق'!O27</f>
        <v>0</v>
      </c>
      <c r="P96" s="46">
        <f>+'فرع الزقازيق'!P27</f>
        <v>0</v>
      </c>
      <c r="Q96" s="46">
        <f>+'فرع الزقازيق'!Q27</f>
        <v>0</v>
      </c>
      <c r="R96" s="47">
        <f>+'فرع الزقازيق'!R27</f>
        <v>0</v>
      </c>
      <c r="S96" s="47">
        <f>+'فرع الزقازيق'!S27</f>
        <v>0</v>
      </c>
      <c r="T96" s="46">
        <f>+'فرع الزقازيق'!T27</f>
        <v>0</v>
      </c>
      <c r="U96" s="46">
        <f>+'فرع الزقازيق'!U27</f>
        <v>0</v>
      </c>
      <c r="V96" s="46">
        <f>+'فرع الزقازيق'!V27</f>
        <v>0</v>
      </c>
      <c r="W96" s="46">
        <f>+'فرع الزقازيق'!W27</f>
        <v>0</v>
      </c>
      <c r="X96" s="46">
        <f>+'فرع الزقازيق'!X27</f>
        <v>0</v>
      </c>
      <c r="Y96" s="46">
        <f>+'فرع الزقازيق'!Y27</f>
        <v>0</v>
      </c>
      <c r="Z96" s="46">
        <f>+'فرع الزقازيق'!Z27</f>
        <v>0</v>
      </c>
      <c r="AA96" s="46">
        <f>+'فرع الزقازيق'!AA27</f>
        <v>0</v>
      </c>
      <c r="AB96" s="46">
        <f>+'فرع الزقازيق'!AB27</f>
        <v>0</v>
      </c>
      <c r="AC96" s="46">
        <f>+'فرع الزقازيق'!AC27</f>
        <v>0</v>
      </c>
      <c r="AD96" s="46">
        <f>+'فرع الزقازيق'!AD27</f>
        <v>0</v>
      </c>
      <c r="AE96" s="46">
        <f>+'فرع الزقازيق'!AE27</f>
        <v>0</v>
      </c>
      <c r="AF96" s="46">
        <f>+'فرع الزقازيق'!AF27</f>
        <v>0</v>
      </c>
      <c r="AG96" s="46">
        <f>+'فرع الزقازيق'!AG27</f>
        <v>0</v>
      </c>
      <c r="AH96" s="46">
        <f>+'فرع الزقازيق'!AH27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+'فرع الزقازيق'!A28</f>
        <v>0</v>
      </c>
      <c r="B100" s="44">
        <f>+'فرع الزقازيق'!B28</f>
        <v>0</v>
      </c>
      <c r="C100" s="45">
        <f>+'فرع الزقازيق'!C28</f>
        <v>0</v>
      </c>
      <c r="D100" s="45">
        <f>+'فرع الزقازيق'!D28</f>
        <v>0</v>
      </c>
      <c r="E100" s="45">
        <f>+'فرع الزقازيق'!E28</f>
        <v>0</v>
      </c>
      <c r="F100" s="46">
        <f>+'فرع الزقازيق'!F28</f>
        <v>0</v>
      </c>
      <c r="G100" s="46">
        <f>+'فرع الزقازيق'!G28</f>
        <v>0</v>
      </c>
      <c r="H100" s="46">
        <f>+'فرع الزقازيق'!H28</f>
        <v>0</v>
      </c>
      <c r="I100" s="46">
        <f>+'فرع الزقازيق'!I28</f>
        <v>0</v>
      </c>
      <c r="J100" s="46">
        <f>+'فرع الزقازيق'!J28</f>
        <v>0</v>
      </c>
      <c r="K100" s="46">
        <f>+'فرع الزقازيق'!K28</f>
        <v>0</v>
      </c>
      <c r="L100" s="46">
        <f>+'فرع الزقازيق'!L28</f>
        <v>0</v>
      </c>
      <c r="M100" s="46">
        <f>+'فرع الزقازيق'!M28</f>
        <v>0</v>
      </c>
      <c r="N100" s="46">
        <f>+'فرع الزقازيق'!N28</f>
        <v>0</v>
      </c>
      <c r="O100" s="46">
        <f>+'فرع الزقازيق'!O28</f>
        <v>0</v>
      </c>
      <c r="P100" s="46">
        <f>+'فرع الزقازيق'!P28</f>
        <v>0</v>
      </c>
      <c r="Q100" s="46">
        <f>+'فرع الزقازيق'!Q28</f>
        <v>0</v>
      </c>
      <c r="R100" s="47">
        <f>+'فرع الزقازيق'!R28</f>
        <v>0</v>
      </c>
      <c r="S100" s="47">
        <f>+'فرع الزقازيق'!S28</f>
        <v>0</v>
      </c>
      <c r="T100" s="46">
        <f>+'فرع الزقازيق'!T28</f>
        <v>0</v>
      </c>
      <c r="U100" s="46">
        <f>+'فرع الزقازيق'!U28</f>
        <v>0</v>
      </c>
      <c r="V100" s="46">
        <f>+'فرع الزقازيق'!V28</f>
        <v>0</v>
      </c>
      <c r="W100" s="46">
        <f>+'فرع الزقازيق'!W28</f>
        <v>0</v>
      </c>
      <c r="X100" s="46">
        <f>+'فرع الزقازيق'!X28</f>
        <v>0</v>
      </c>
      <c r="Y100" s="46">
        <f>+'فرع الزقازيق'!Y28</f>
        <v>0</v>
      </c>
      <c r="Z100" s="46">
        <f>+'فرع الزقازيق'!Z28</f>
        <v>0</v>
      </c>
      <c r="AA100" s="46">
        <f>+'فرع الزقازيق'!AA28</f>
        <v>0</v>
      </c>
      <c r="AB100" s="46">
        <f>+'فرع الزقازيق'!AB28</f>
        <v>0</v>
      </c>
      <c r="AC100" s="46">
        <f>+'فرع الزقازيق'!AC28</f>
        <v>0</v>
      </c>
      <c r="AD100" s="46">
        <f>+'فرع الزقازيق'!AD28</f>
        <v>0</v>
      </c>
      <c r="AE100" s="46">
        <f>+'فرع الزقازيق'!AE28</f>
        <v>0</v>
      </c>
      <c r="AF100" s="46">
        <f>+'فرع الزقازيق'!AF28</f>
        <v>0</v>
      </c>
      <c r="AG100" s="46">
        <f>+'فرع الزقازيق'!AG28</f>
        <v>0</v>
      </c>
      <c r="AH100" s="46">
        <f>+'فرع الزقازيق'!AH28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+'فرع الزقازيق'!A29</f>
        <v>0</v>
      </c>
      <c r="B104" s="44">
        <f>+'فرع الزقازيق'!B29</f>
        <v>0</v>
      </c>
      <c r="C104" s="45">
        <f>+'فرع الزقازيق'!C29</f>
        <v>0</v>
      </c>
      <c r="D104" s="45">
        <f>+'فرع الزقازيق'!D29</f>
        <v>0</v>
      </c>
      <c r="E104" s="45">
        <f>+'فرع الزقازيق'!E29</f>
        <v>0</v>
      </c>
      <c r="F104" s="46">
        <f>+'فرع الزقازيق'!F29</f>
        <v>0</v>
      </c>
      <c r="G104" s="46">
        <f>+'فرع الزقازيق'!G29</f>
        <v>0</v>
      </c>
      <c r="H104" s="46">
        <f>+'فرع الزقازيق'!H29</f>
        <v>0</v>
      </c>
      <c r="I104" s="46">
        <f>+'فرع الزقازيق'!I29</f>
        <v>0</v>
      </c>
      <c r="J104" s="46">
        <f>+'فرع الزقازيق'!J29</f>
        <v>0</v>
      </c>
      <c r="K104" s="46">
        <f>+'فرع الزقازيق'!K29</f>
        <v>0</v>
      </c>
      <c r="L104" s="46">
        <f>+'فرع الزقازيق'!L29</f>
        <v>0</v>
      </c>
      <c r="M104" s="46">
        <f>+'فرع الزقازيق'!M29</f>
        <v>0</v>
      </c>
      <c r="N104" s="46">
        <f>+'فرع الزقازيق'!N29</f>
        <v>0</v>
      </c>
      <c r="O104" s="46">
        <f>+'فرع الزقازيق'!O29</f>
        <v>0</v>
      </c>
      <c r="P104" s="46">
        <f>+'فرع الزقازيق'!P29</f>
        <v>0</v>
      </c>
      <c r="Q104" s="46">
        <f>+'فرع الزقازيق'!Q29</f>
        <v>0</v>
      </c>
      <c r="R104" s="47">
        <f>+'فرع الزقازيق'!R29</f>
        <v>0</v>
      </c>
      <c r="S104" s="47">
        <f>+'فرع الزقازيق'!S29</f>
        <v>0</v>
      </c>
      <c r="T104" s="46">
        <f>+'فرع الزقازيق'!T29</f>
        <v>0</v>
      </c>
      <c r="U104" s="46">
        <f>+'فرع الزقازيق'!U29</f>
        <v>0</v>
      </c>
      <c r="V104" s="46">
        <f>+'فرع الزقازيق'!V29</f>
        <v>0</v>
      </c>
      <c r="W104" s="46">
        <f>+'فرع الزقازيق'!W29</f>
        <v>0</v>
      </c>
      <c r="X104" s="46">
        <f>+'فرع الزقازيق'!X29</f>
        <v>0</v>
      </c>
      <c r="Y104" s="46">
        <f>+'فرع الزقازيق'!Y29</f>
        <v>0</v>
      </c>
      <c r="Z104" s="46">
        <f>+'فرع الزقازيق'!Z29</f>
        <v>0</v>
      </c>
      <c r="AA104" s="46">
        <f>+'فرع الزقازيق'!AA29</f>
        <v>0</v>
      </c>
      <c r="AB104" s="46">
        <f>+'فرع الزقازيق'!AB29</f>
        <v>0</v>
      </c>
      <c r="AC104" s="46">
        <f>+'فرع الزقازيق'!AC29</f>
        <v>0</v>
      </c>
      <c r="AD104" s="46">
        <f>+'فرع الزقازيق'!AD29</f>
        <v>0</v>
      </c>
      <c r="AE104" s="46">
        <f>+'فرع الزقازيق'!AE29</f>
        <v>0</v>
      </c>
      <c r="AF104" s="46">
        <f>+'فرع الزقازيق'!AF29</f>
        <v>0</v>
      </c>
      <c r="AG104" s="46">
        <f>+'فرع الزقازيق'!AG29</f>
        <v>0</v>
      </c>
      <c r="AH104" s="46">
        <f>+'فرع الزقازيق'!AH29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+'فرع الزقازيق'!A30</f>
        <v>0</v>
      </c>
      <c r="B108" s="44">
        <f>+'فرع الزقازيق'!B30</f>
        <v>0</v>
      </c>
      <c r="C108" s="45">
        <f>+'فرع الزقازيق'!C30</f>
        <v>0</v>
      </c>
      <c r="D108" s="45">
        <f>+'فرع الزقازيق'!D30</f>
        <v>0</v>
      </c>
      <c r="E108" s="45">
        <f>+'فرع الزقازيق'!E30</f>
        <v>0</v>
      </c>
      <c r="F108" s="46">
        <f>+'فرع الزقازيق'!F30</f>
        <v>0</v>
      </c>
      <c r="G108" s="46">
        <f>+'فرع الزقازيق'!G30</f>
        <v>0</v>
      </c>
      <c r="H108" s="46">
        <f>+'فرع الزقازيق'!H30</f>
        <v>0</v>
      </c>
      <c r="I108" s="46">
        <f>+'فرع الزقازيق'!I30</f>
        <v>0</v>
      </c>
      <c r="J108" s="46">
        <f>+'فرع الزقازيق'!J30</f>
        <v>0</v>
      </c>
      <c r="K108" s="46">
        <f>+'فرع الزقازيق'!K30</f>
        <v>0</v>
      </c>
      <c r="L108" s="46">
        <f>+'فرع الزقازيق'!L30</f>
        <v>0</v>
      </c>
      <c r="M108" s="46">
        <f>+'فرع الزقازيق'!M30</f>
        <v>0</v>
      </c>
      <c r="N108" s="46">
        <f>+'فرع الزقازيق'!N30</f>
        <v>0</v>
      </c>
      <c r="O108" s="46">
        <f>+'فرع الزقازيق'!O30</f>
        <v>0</v>
      </c>
      <c r="P108" s="46">
        <f>+'فرع الزقازيق'!P30</f>
        <v>0</v>
      </c>
      <c r="Q108" s="46">
        <f>+'فرع الزقازيق'!Q30</f>
        <v>0</v>
      </c>
      <c r="R108" s="47">
        <f>+'فرع الزقازيق'!R30</f>
        <v>0</v>
      </c>
      <c r="S108" s="47">
        <f>+'فرع الزقازيق'!S30</f>
        <v>0</v>
      </c>
      <c r="T108" s="46">
        <f>+'فرع الزقازيق'!T30</f>
        <v>0</v>
      </c>
      <c r="U108" s="46">
        <f>+'فرع الزقازيق'!U30</f>
        <v>0</v>
      </c>
      <c r="V108" s="46">
        <f>+'فرع الزقازيق'!V30</f>
        <v>0</v>
      </c>
      <c r="W108" s="46">
        <f>+'فرع الزقازيق'!W30</f>
        <v>0</v>
      </c>
      <c r="X108" s="46">
        <f>+'فرع الزقازيق'!X30</f>
        <v>0</v>
      </c>
      <c r="Y108" s="46">
        <f>+'فرع الزقازيق'!Y30</f>
        <v>0</v>
      </c>
      <c r="Z108" s="46">
        <f>+'فرع الزقازيق'!Z30</f>
        <v>0</v>
      </c>
      <c r="AA108" s="46">
        <f>+'فرع الزقازيق'!AA30</f>
        <v>0</v>
      </c>
      <c r="AB108" s="46">
        <f>+'فرع الزقازيق'!AB30</f>
        <v>0</v>
      </c>
      <c r="AC108" s="46">
        <f>+'فرع الزقازيق'!AC30</f>
        <v>0</v>
      </c>
      <c r="AD108" s="46">
        <f>+'فرع الزقازيق'!AD30</f>
        <v>0</v>
      </c>
      <c r="AE108" s="46">
        <f>+'فرع الزقازيق'!AE30</f>
        <v>0</v>
      </c>
      <c r="AF108" s="46">
        <f>+'فرع الزقازيق'!AF30</f>
        <v>0</v>
      </c>
      <c r="AG108" s="46">
        <f>+'فرع الزقازيق'!AG30</f>
        <v>0</v>
      </c>
      <c r="AH108" s="46">
        <f>+'فرع الزقازيق'!AH30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+'فرع الزقازيق'!A31</f>
        <v>0</v>
      </c>
      <c r="B112" s="44">
        <f>+'فرع الزقازيق'!B31</f>
        <v>0</v>
      </c>
      <c r="C112" s="45">
        <f>+'فرع الزقازيق'!C31</f>
        <v>0</v>
      </c>
      <c r="D112" s="45">
        <f>+'فرع الزقازيق'!D31</f>
        <v>0</v>
      </c>
      <c r="E112" s="45">
        <f>+'فرع الزقازيق'!E31</f>
        <v>0</v>
      </c>
      <c r="F112" s="46">
        <f>+'فرع الزقازيق'!F31</f>
        <v>0</v>
      </c>
      <c r="G112" s="46">
        <f>+'فرع الزقازيق'!G31</f>
        <v>0</v>
      </c>
      <c r="H112" s="46">
        <f>+'فرع الزقازيق'!H31</f>
        <v>0</v>
      </c>
      <c r="I112" s="46">
        <f>+'فرع الزقازيق'!I31</f>
        <v>0</v>
      </c>
      <c r="J112" s="46">
        <f>+'فرع الزقازيق'!J31</f>
        <v>0</v>
      </c>
      <c r="K112" s="46">
        <f>+'فرع الزقازيق'!K31</f>
        <v>0</v>
      </c>
      <c r="L112" s="46">
        <f>+'فرع الزقازيق'!L31</f>
        <v>0</v>
      </c>
      <c r="M112" s="46">
        <f>+'فرع الزقازيق'!M31</f>
        <v>0</v>
      </c>
      <c r="N112" s="46">
        <f>+'فرع الزقازيق'!N31</f>
        <v>0</v>
      </c>
      <c r="O112" s="46">
        <f>+'فرع الزقازيق'!O31</f>
        <v>0</v>
      </c>
      <c r="P112" s="46">
        <f>+'فرع الزقازيق'!P31</f>
        <v>0</v>
      </c>
      <c r="Q112" s="46">
        <f>+'فرع الزقازيق'!Q31</f>
        <v>0</v>
      </c>
      <c r="R112" s="47">
        <f>+'فرع الزقازيق'!R31</f>
        <v>0</v>
      </c>
      <c r="S112" s="47">
        <f>+'فرع الزقازيق'!S31</f>
        <v>0</v>
      </c>
      <c r="T112" s="46">
        <f>+'فرع الزقازيق'!T31</f>
        <v>0</v>
      </c>
      <c r="U112" s="46">
        <f>+'فرع الزقازيق'!U31</f>
        <v>0</v>
      </c>
      <c r="V112" s="46">
        <f>+'فرع الزقازيق'!V31</f>
        <v>0</v>
      </c>
      <c r="W112" s="46">
        <f>+'فرع الزقازيق'!W31</f>
        <v>0</v>
      </c>
      <c r="X112" s="46">
        <f>+'فرع الزقازيق'!X31</f>
        <v>0</v>
      </c>
      <c r="Y112" s="46">
        <f>+'فرع الزقازيق'!Y31</f>
        <v>0</v>
      </c>
      <c r="Z112" s="46">
        <f>+'فرع الزقازيق'!Z31</f>
        <v>0</v>
      </c>
      <c r="AA112" s="46">
        <f>+'فرع الزقازيق'!AA31</f>
        <v>0</v>
      </c>
      <c r="AB112" s="46">
        <f>+'فرع الزقازيق'!AB31</f>
        <v>0</v>
      </c>
      <c r="AC112" s="46">
        <f>+'فرع الزقازيق'!AC31</f>
        <v>0</v>
      </c>
      <c r="AD112" s="46">
        <f>+'فرع الزقازيق'!AD31</f>
        <v>0</v>
      </c>
      <c r="AE112" s="46">
        <f>+'فرع الزقازيق'!AE31</f>
        <v>0</v>
      </c>
      <c r="AF112" s="46">
        <f>+'فرع الزقازيق'!AF31</f>
        <v>0</v>
      </c>
      <c r="AG112" s="46">
        <f>+'فرع الزقازيق'!AG31</f>
        <v>0</v>
      </c>
      <c r="AH112" s="46">
        <f>+'فرع الزقازيق'!AH31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+'فرع الزقازيق'!A32</f>
        <v>0</v>
      </c>
      <c r="B116" s="44">
        <f>+'فرع الزقازيق'!B32</f>
        <v>0</v>
      </c>
      <c r="C116" s="45">
        <f>+'فرع الزقازيق'!C32</f>
        <v>0</v>
      </c>
      <c r="D116" s="45">
        <f>+'فرع الزقازيق'!D32</f>
        <v>0</v>
      </c>
      <c r="E116" s="45">
        <f>+'فرع الزقازيق'!E32</f>
        <v>0</v>
      </c>
      <c r="F116" s="46">
        <f>+'فرع الزقازيق'!F32</f>
        <v>0</v>
      </c>
      <c r="G116" s="46">
        <f>+'فرع الزقازيق'!G32</f>
        <v>0</v>
      </c>
      <c r="H116" s="46">
        <f>+'فرع الزقازيق'!H32</f>
        <v>0</v>
      </c>
      <c r="I116" s="46">
        <f>+'فرع الزقازيق'!I32</f>
        <v>0</v>
      </c>
      <c r="J116" s="46">
        <f>+'فرع الزقازيق'!J32</f>
        <v>0</v>
      </c>
      <c r="K116" s="46">
        <f>+'فرع الزقازيق'!K32</f>
        <v>0</v>
      </c>
      <c r="L116" s="46">
        <f>+'فرع الزقازيق'!L32</f>
        <v>0</v>
      </c>
      <c r="M116" s="46">
        <f>+'فرع الزقازيق'!M32</f>
        <v>0</v>
      </c>
      <c r="N116" s="46">
        <f>+'فرع الزقازيق'!N32</f>
        <v>0</v>
      </c>
      <c r="O116" s="46">
        <f>+'فرع الزقازيق'!O32</f>
        <v>0</v>
      </c>
      <c r="P116" s="46">
        <f>+'فرع الزقازيق'!P32</f>
        <v>0</v>
      </c>
      <c r="Q116" s="46">
        <f>+'فرع الزقازيق'!Q32</f>
        <v>0</v>
      </c>
      <c r="R116" s="47">
        <f>+'فرع الزقازيق'!R32</f>
        <v>0</v>
      </c>
      <c r="S116" s="47">
        <f>+'فرع الزقازيق'!S32</f>
        <v>0</v>
      </c>
      <c r="T116" s="46">
        <f>+'فرع الزقازيق'!T32</f>
        <v>0</v>
      </c>
      <c r="U116" s="46">
        <f>+'فرع الزقازيق'!U32</f>
        <v>0</v>
      </c>
      <c r="V116" s="46">
        <f>+'فرع الزقازيق'!V32</f>
        <v>0</v>
      </c>
      <c r="W116" s="46">
        <f>+'فرع الزقازيق'!W32</f>
        <v>0</v>
      </c>
      <c r="X116" s="46">
        <f>+'فرع الزقازيق'!X32</f>
        <v>0</v>
      </c>
      <c r="Y116" s="46">
        <f>+'فرع الزقازيق'!Y32</f>
        <v>0</v>
      </c>
      <c r="Z116" s="46">
        <f>+'فرع الزقازيق'!Z32</f>
        <v>0</v>
      </c>
      <c r="AA116" s="46">
        <f>+'فرع الزقازيق'!AA32</f>
        <v>0</v>
      </c>
      <c r="AB116" s="46">
        <f>+'فرع الزقازيق'!AB32</f>
        <v>0</v>
      </c>
      <c r="AC116" s="46">
        <f>+'فرع الزقازيق'!AC32</f>
        <v>0</v>
      </c>
      <c r="AD116" s="46">
        <f>+'فرع الزقازيق'!AD32</f>
        <v>0</v>
      </c>
      <c r="AE116" s="46">
        <f>+'فرع الزقازيق'!AE32</f>
        <v>0</v>
      </c>
      <c r="AF116" s="46">
        <f>+'فرع الزقازيق'!AF32</f>
        <v>0</v>
      </c>
      <c r="AG116" s="46">
        <f>+'فرع الزقازيق'!AG32</f>
        <v>0</v>
      </c>
      <c r="AH116" s="46">
        <f>+'فرع الزقازيق'!AH32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+'فرع الزقازيق'!A33</f>
        <v>0</v>
      </c>
      <c r="B120" s="44">
        <f>+'فرع الزقازيق'!B33</f>
        <v>0</v>
      </c>
      <c r="C120" s="45">
        <f>+'فرع الزقازيق'!C33</f>
        <v>0</v>
      </c>
      <c r="D120" s="45">
        <f>+'فرع الزقازيق'!D33</f>
        <v>0</v>
      </c>
      <c r="E120" s="45">
        <f>+'فرع الزقازيق'!E33</f>
        <v>0</v>
      </c>
      <c r="F120" s="46">
        <f>+'فرع الزقازيق'!F33</f>
        <v>0</v>
      </c>
      <c r="G120" s="46">
        <f>+'فرع الزقازيق'!G33</f>
        <v>0</v>
      </c>
      <c r="H120" s="46">
        <f>+'فرع الزقازيق'!H33</f>
        <v>0</v>
      </c>
      <c r="I120" s="46">
        <f>+'فرع الزقازيق'!I33</f>
        <v>0</v>
      </c>
      <c r="J120" s="46">
        <f>+'فرع الزقازيق'!J33</f>
        <v>0</v>
      </c>
      <c r="K120" s="46">
        <f>+'فرع الزقازيق'!K33</f>
        <v>0</v>
      </c>
      <c r="L120" s="46">
        <f>+'فرع الزقازيق'!L33</f>
        <v>0</v>
      </c>
      <c r="M120" s="46">
        <f>+'فرع الزقازيق'!M33</f>
        <v>0</v>
      </c>
      <c r="N120" s="46">
        <f>+'فرع الزقازيق'!N33</f>
        <v>0</v>
      </c>
      <c r="O120" s="46">
        <f>+'فرع الزقازيق'!O33</f>
        <v>0</v>
      </c>
      <c r="P120" s="46">
        <f>+'فرع الزقازيق'!P33</f>
        <v>0</v>
      </c>
      <c r="Q120" s="46">
        <f>+'فرع الزقازيق'!Q33</f>
        <v>0</v>
      </c>
      <c r="R120" s="47">
        <f>+'فرع الزقازيق'!R33</f>
        <v>0</v>
      </c>
      <c r="S120" s="47">
        <f>+'فرع الزقازيق'!S33</f>
        <v>0</v>
      </c>
      <c r="T120" s="46">
        <f>+'فرع الزقازيق'!T33</f>
        <v>0</v>
      </c>
      <c r="U120" s="46">
        <f>+'فرع الزقازيق'!U33</f>
        <v>0</v>
      </c>
      <c r="V120" s="46">
        <f>+'فرع الزقازيق'!V33</f>
        <v>0</v>
      </c>
      <c r="W120" s="46">
        <f>+'فرع الزقازيق'!W33</f>
        <v>0</v>
      </c>
      <c r="X120" s="46">
        <f>+'فرع الزقازيق'!X33</f>
        <v>0</v>
      </c>
      <c r="Y120" s="46">
        <f>+'فرع الزقازيق'!Y33</f>
        <v>0</v>
      </c>
      <c r="Z120" s="46">
        <f>+'فرع الزقازيق'!Z33</f>
        <v>0</v>
      </c>
      <c r="AA120" s="46">
        <f>+'فرع الزقازيق'!AA33</f>
        <v>0</v>
      </c>
      <c r="AB120" s="46">
        <f>+'فرع الزقازيق'!AB33</f>
        <v>0</v>
      </c>
      <c r="AC120" s="46">
        <f>+'فرع الزقازيق'!AC33</f>
        <v>0</v>
      </c>
      <c r="AD120" s="46">
        <f>+'فرع الزقازيق'!AD33</f>
        <v>0</v>
      </c>
      <c r="AE120" s="46">
        <f>+'فرع الزقازيق'!AE33</f>
        <v>0</v>
      </c>
      <c r="AF120" s="46">
        <f>+'فرع الزقازيق'!AF33</f>
        <v>0</v>
      </c>
      <c r="AG120" s="46">
        <f>+'فرع الزقازيق'!AG33</f>
        <v>0</v>
      </c>
      <c r="AH120" s="46">
        <f>+'فرع الزقازيق'!AH33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+'فرع الزقازيق'!A34</f>
        <v>0</v>
      </c>
      <c r="B124" s="44">
        <f>+'فرع الزقازيق'!B34</f>
        <v>0</v>
      </c>
      <c r="C124" s="45">
        <f>+'فرع الزقازيق'!C34</f>
        <v>0</v>
      </c>
      <c r="D124" s="45">
        <f>+'فرع الزقازيق'!D34</f>
        <v>0</v>
      </c>
      <c r="E124" s="45">
        <f>+'فرع الزقازيق'!E34</f>
        <v>0</v>
      </c>
      <c r="F124" s="46">
        <f>+'فرع الزقازيق'!F34</f>
        <v>0</v>
      </c>
      <c r="G124" s="46">
        <f>+'فرع الزقازيق'!G34</f>
        <v>0</v>
      </c>
      <c r="H124" s="46">
        <f>+'فرع الزقازيق'!H34</f>
        <v>0</v>
      </c>
      <c r="I124" s="46">
        <f>+'فرع الزقازيق'!I34</f>
        <v>0</v>
      </c>
      <c r="J124" s="46">
        <f>+'فرع الزقازيق'!J34</f>
        <v>0</v>
      </c>
      <c r="K124" s="46">
        <f>+'فرع الزقازيق'!K34</f>
        <v>0</v>
      </c>
      <c r="L124" s="46">
        <f>+'فرع الزقازيق'!L34</f>
        <v>0</v>
      </c>
      <c r="M124" s="46">
        <f>+'فرع الزقازيق'!M34</f>
        <v>0</v>
      </c>
      <c r="N124" s="46">
        <f>+'فرع الزقازيق'!N34</f>
        <v>0</v>
      </c>
      <c r="O124" s="46">
        <f>+'فرع الزقازيق'!O34</f>
        <v>0</v>
      </c>
      <c r="P124" s="46">
        <f>+'فرع الزقازيق'!P34</f>
        <v>0</v>
      </c>
      <c r="Q124" s="46">
        <f>+'فرع الزقازيق'!Q34</f>
        <v>0</v>
      </c>
      <c r="R124" s="47">
        <f>+'فرع الزقازيق'!R34</f>
        <v>0</v>
      </c>
      <c r="S124" s="47">
        <f>+'فرع الزقازيق'!S34</f>
        <v>0</v>
      </c>
      <c r="T124" s="46">
        <f>+'فرع الزقازيق'!T34</f>
        <v>0</v>
      </c>
      <c r="U124" s="46">
        <f>+'فرع الزقازيق'!U34</f>
        <v>0</v>
      </c>
      <c r="V124" s="46">
        <f>+'فرع الزقازيق'!V34</f>
        <v>0</v>
      </c>
      <c r="W124" s="46">
        <f>+'فرع الزقازيق'!W34</f>
        <v>0</v>
      </c>
      <c r="X124" s="46">
        <f>+'فرع الزقازيق'!X34</f>
        <v>0</v>
      </c>
      <c r="Y124" s="46">
        <f>+'فرع الزقازيق'!Y34</f>
        <v>0</v>
      </c>
      <c r="Z124" s="46">
        <f>+'فرع الزقازيق'!Z34</f>
        <v>0</v>
      </c>
      <c r="AA124" s="46">
        <f>+'فرع الزقازيق'!AA34</f>
        <v>0</v>
      </c>
      <c r="AB124" s="46">
        <f>+'فرع الزقازيق'!AB34</f>
        <v>0</v>
      </c>
      <c r="AC124" s="46">
        <f>+'فرع الزقازيق'!AC34</f>
        <v>0</v>
      </c>
      <c r="AD124" s="46">
        <f>+'فرع الزقازيق'!AD34</f>
        <v>0</v>
      </c>
      <c r="AE124" s="46">
        <f>+'فرع الزقازيق'!AE34</f>
        <v>0</v>
      </c>
      <c r="AF124" s="46">
        <f>+'فرع الزقازيق'!AF34</f>
        <v>0</v>
      </c>
      <c r="AG124" s="46">
        <f>+'فرع الزقازيق'!AG34</f>
        <v>0</v>
      </c>
      <c r="AH124" s="46">
        <f>+'فرع الزقازيق'!AH34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+'فرع الزقازيق'!A35</f>
        <v>0</v>
      </c>
      <c r="B128" s="44">
        <f>+'فرع الزقازيق'!B35</f>
        <v>0</v>
      </c>
      <c r="C128" s="45">
        <f>+'فرع الزقازيق'!C35</f>
        <v>0</v>
      </c>
      <c r="D128" s="45">
        <f>+'فرع الزقازيق'!D35</f>
        <v>0</v>
      </c>
      <c r="E128" s="45">
        <f>+'فرع الزقازيق'!E35</f>
        <v>0</v>
      </c>
      <c r="F128" s="46">
        <f>+'فرع الزقازيق'!F35</f>
        <v>0</v>
      </c>
      <c r="G128" s="46">
        <f>+'فرع الزقازيق'!G35</f>
        <v>0</v>
      </c>
      <c r="H128" s="46">
        <f>+'فرع الزقازيق'!H35</f>
        <v>0</v>
      </c>
      <c r="I128" s="46">
        <f>+'فرع الزقازيق'!I35</f>
        <v>0</v>
      </c>
      <c r="J128" s="46">
        <f>+'فرع الزقازيق'!J35</f>
        <v>0</v>
      </c>
      <c r="K128" s="46">
        <f>+'فرع الزقازيق'!K35</f>
        <v>0</v>
      </c>
      <c r="L128" s="46">
        <f>+'فرع الزقازيق'!L35</f>
        <v>0</v>
      </c>
      <c r="M128" s="46">
        <f>+'فرع الزقازيق'!M35</f>
        <v>0</v>
      </c>
      <c r="N128" s="46">
        <f>+'فرع الزقازيق'!N35</f>
        <v>0</v>
      </c>
      <c r="O128" s="46">
        <f>+'فرع الزقازيق'!O35</f>
        <v>0</v>
      </c>
      <c r="P128" s="46">
        <f>+'فرع الزقازيق'!P35</f>
        <v>0</v>
      </c>
      <c r="Q128" s="46">
        <f>+'فرع الزقازيق'!Q35</f>
        <v>0</v>
      </c>
      <c r="R128" s="47">
        <f>+'فرع الزقازيق'!R35</f>
        <v>0</v>
      </c>
      <c r="S128" s="47">
        <f>+'فرع الزقازيق'!S35</f>
        <v>0</v>
      </c>
      <c r="T128" s="46">
        <f>+'فرع الزقازيق'!T35</f>
        <v>0</v>
      </c>
      <c r="U128" s="46">
        <f>+'فرع الزقازيق'!U35</f>
        <v>0</v>
      </c>
      <c r="V128" s="46">
        <f>+'فرع الزقازيق'!V35</f>
        <v>0</v>
      </c>
      <c r="W128" s="46">
        <f>+'فرع الزقازيق'!W35</f>
        <v>0</v>
      </c>
      <c r="X128" s="46">
        <f>+'فرع الزقازيق'!X35</f>
        <v>0</v>
      </c>
      <c r="Y128" s="46">
        <f>+'فرع الزقازيق'!Y35</f>
        <v>0</v>
      </c>
      <c r="Z128" s="46">
        <f>+'فرع الزقازيق'!Z35</f>
        <v>0</v>
      </c>
      <c r="AA128" s="46">
        <f>+'فرع الزقازيق'!AA35</f>
        <v>0</v>
      </c>
      <c r="AB128" s="46">
        <f>+'فرع الزقازيق'!AB35</f>
        <v>0</v>
      </c>
      <c r="AC128" s="46">
        <f>+'فرع الزقازيق'!AC35</f>
        <v>0</v>
      </c>
      <c r="AD128" s="46">
        <f>+'فرع الزقازيق'!AD35</f>
        <v>0</v>
      </c>
      <c r="AE128" s="46">
        <f>+'فرع الزقازيق'!AE35</f>
        <v>0</v>
      </c>
      <c r="AF128" s="46">
        <f>+'فرع الزقازيق'!AF35</f>
        <v>0</v>
      </c>
      <c r="AG128" s="46">
        <f>+'فرع الزقازيق'!AG35</f>
        <v>0</v>
      </c>
      <c r="AH128" s="46">
        <f>+'فرع الزقازيق'!AH35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+'فرع الزقازيق'!A36</f>
        <v>0</v>
      </c>
      <c r="B132" s="44">
        <f>+'فرع الزقازيق'!B36</f>
        <v>0</v>
      </c>
      <c r="C132" s="45">
        <f>+'فرع الزقازيق'!C36</f>
        <v>0</v>
      </c>
      <c r="D132" s="45">
        <f>+'فرع الزقازيق'!D36</f>
        <v>0</v>
      </c>
      <c r="E132" s="45">
        <f>+'فرع الزقازيق'!E36</f>
        <v>0</v>
      </c>
      <c r="F132" s="46">
        <f>+'فرع الزقازيق'!F36</f>
        <v>0</v>
      </c>
      <c r="G132" s="46">
        <f>+'فرع الزقازيق'!G36</f>
        <v>0</v>
      </c>
      <c r="H132" s="46">
        <f>+'فرع الزقازيق'!H36</f>
        <v>0</v>
      </c>
      <c r="I132" s="46">
        <f>+'فرع الزقازيق'!I36</f>
        <v>0</v>
      </c>
      <c r="J132" s="46">
        <f>+'فرع الزقازيق'!J36</f>
        <v>0</v>
      </c>
      <c r="K132" s="46">
        <f>+'فرع الزقازيق'!K36</f>
        <v>0</v>
      </c>
      <c r="L132" s="46">
        <f>+'فرع الزقازيق'!L36</f>
        <v>0</v>
      </c>
      <c r="M132" s="46">
        <f>+'فرع الزقازيق'!M36</f>
        <v>0</v>
      </c>
      <c r="N132" s="46">
        <f>+'فرع الزقازيق'!N36</f>
        <v>0</v>
      </c>
      <c r="O132" s="46">
        <f>+'فرع الزقازيق'!O36</f>
        <v>0</v>
      </c>
      <c r="P132" s="46">
        <f>+'فرع الزقازيق'!P36</f>
        <v>0</v>
      </c>
      <c r="Q132" s="46">
        <f>+'فرع الزقازيق'!Q36</f>
        <v>0</v>
      </c>
      <c r="R132" s="47">
        <f>+'فرع الزقازيق'!R36</f>
        <v>0</v>
      </c>
      <c r="S132" s="47">
        <f>+'فرع الزقازيق'!S36</f>
        <v>0</v>
      </c>
      <c r="T132" s="46">
        <f>+'فرع الزقازيق'!T36</f>
        <v>0</v>
      </c>
      <c r="U132" s="46">
        <f>+'فرع الزقازيق'!U36</f>
        <v>0</v>
      </c>
      <c r="V132" s="46">
        <f>+'فرع الزقازيق'!V36</f>
        <v>0</v>
      </c>
      <c r="W132" s="46">
        <f>+'فرع الزقازيق'!W36</f>
        <v>0</v>
      </c>
      <c r="X132" s="46">
        <f>+'فرع الزقازيق'!X36</f>
        <v>0</v>
      </c>
      <c r="Y132" s="46">
        <f>+'فرع الزقازيق'!Y36</f>
        <v>0</v>
      </c>
      <c r="Z132" s="46">
        <f>+'فرع الزقازيق'!Z36</f>
        <v>0</v>
      </c>
      <c r="AA132" s="46">
        <f>+'فرع الزقازيق'!AA36</f>
        <v>0</v>
      </c>
      <c r="AB132" s="46">
        <f>+'فرع الزقازيق'!AB36</f>
        <v>0</v>
      </c>
      <c r="AC132" s="46">
        <f>+'فرع الزقازيق'!AC36</f>
        <v>0</v>
      </c>
      <c r="AD132" s="46">
        <f>+'فرع الزقازيق'!AD36</f>
        <v>0</v>
      </c>
      <c r="AE132" s="46">
        <f>+'فرع الزقازيق'!AE36</f>
        <v>0</v>
      </c>
      <c r="AF132" s="46">
        <f>+'فرع الزقازيق'!AF36</f>
        <v>0</v>
      </c>
      <c r="AG132" s="46">
        <f>+'فرع الزقازيق'!AG36</f>
        <v>0</v>
      </c>
      <c r="AH132" s="46">
        <f>+'فرع الزقازيق'!AH36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+'فرع الزقازيق'!A37</f>
        <v>0</v>
      </c>
      <c r="B136" s="44">
        <f>+'فرع الزقازيق'!B37</f>
        <v>0</v>
      </c>
      <c r="C136" s="45">
        <f>+'فرع الزقازيق'!C37</f>
        <v>0</v>
      </c>
      <c r="D136" s="45">
        <f>+'فرع الزقازيق'!D37</f>
        <v>0</v>
      </c>
      <c r="E136" s="45">
        <f>+'فرع الزقازيق'!E37</f>
        <v>0</v>
      </c>
      <c r="F136" s="46">
        <f>+'فرع الزقازيق'!F37</f>
        <v>0</v>
      </c>
      <c r="G136" s="46">
        <f>+'فرع الزقازيق'!G37</f>
        <v>0</v>
      </c>
      <c r="H136" s="46">
        <f>+'فرع الزقازيق'!H37</f>
        <v>0</v>
      </c>
      <c r="I136" s="46">
        <f>+'فرع الزقازيق'!I37</f>
        <v>0</v>
      </c>
      <c r="J136" s="46">
        <f>+'فرع الزقازيق'!J37</f>
        <v>0</v>
      </c>
      <c r="K136" s="46">
        <f>+'فرع الزقازيق'!K37</f>
        <v>0</v>
      </c>
      <c r="L136" s="46">
        <f>+'فرع الزقازيق'!L37</f>
        <v>0</v>
      </c>
      <c r="M136" s="46">
        <f>+'فرع الزقازيق'!M37</f>
        <v>0</v>
      </c>
      <c r="N136" s="46">
        <f>+'فرع الزقازيق'!N37</f>
        <v>0</v>
      </c>
      <c r="O136" s="46">
        <f>+'فرع الزقازيق'!O37</f>
        <v>0</v>
      </c>
      <c r="P136" s="46">
        <f>+'فرع الزقازيق'!P37</f>
        <v>0</v>
      </c>
      <c r="Q136" s="46">
        <f>+'فرع الزقازيق'!Q37</f>
        <v>0</v>
      </c>
      <c r="R136" s="47">
        <f>+'فرع الزقازيق'!R37</f>
        <v>0</v>
      </c>
      <c r="S136" s="47">
        <f>+'فرع الزقازيق'!S37</f>
        <v>0</v>
      </c>
      <c r="T136" s="46">
        <f>+'فرع الزقازيق'!T37</f>
        <v>0</v>
      </c>
      <c r="U136" s="46">
        <f>+'فرع الزقازيق'!U37</f>
        <v>0</v>
      </c>
      <c r="V136" s="46">
        <f>+'فرع الزقازيق'!V37</f>
        <v>0</v>
      </c>
      <c r="W136" s="46">
        <f>+'فرع الزقازيق'!W37</f>
        <v>0</v>
      </c>
      <c r="X136" s="46">
        <f>+'فرع الزقازيق'!X37</f>
        <v>0</v>
      </c>
      <c r="Y136" s="46">
        <f>+'فرع الزقازيق'!Y37</f>
        <v>0</v>
      </c>
      <c r="Z136" s="46">
        <f>+'فرع الزقازيق'!Z37</f>
        <v>0</v>
      </c>
      <c r="AA136" s="46">
        <f>+'فرع الزقازيق'!AA37</f>
        <v>0</v>
      </c>
      <c r="AB136" s="46">
        <f>+'فرع الزقازيق'!AB37</f>
        <v>0</v>
      </c>
      <c r="AC136" s="46">
        <f>+'فرع الزقازيق'!AC37</f>
        <v>0</v>
      </c>
      <c r="AD136" s="46">
        <f>+'فرع الزقازيق'!AD37</f>
        <v>0</v>
      </c>
      <c r="AE136" s="46">
        <f>+'فرع الزقازيق'!AE37</f>
        <v>0</v>
      </c>
      <c r="AF136" s="46">
        <f>+'فرع الزقازيق'!AF37</f>
        <v>0</v>
      </c>
      <c r="AG136" s="46">
        <f>+'فرع الزقازيق'!AG37</f>
        <v>0</v>
      </c>
      <c r="AH136" s="46">
        <f>+'فرع الزقازيق'!AH37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+'فرع الزقازيق'!A38</f>
        <v>0</v>
      </c>
      <c r="B140" s="44">
        <f>+'فرع الزقازيق'!B38</f>
        <v>0</v>
      </c>
      <c r="C140" s="45">
        <f>+'فرع الزقازيق'!C38</f>
        <v>0</v>
      </c>
      <c r="D140" s="45">
        <f>+'فرع الزقازيق'!D38</f>
        <v>0</v>
      </c>
      <c r="E140" s="45">
        <f>+'فرع الزقازيق'!E38</f>
        <v>0</v>
      </c>
      <c r="F140" s="46">
        <f>+'فرع الزقازيق'!F38</f>
        <v>0</v>
      </c>
      <c r="G140" s="46">
        <f>+'فرع الزقازيق'!G38</f>
        <v>0</v>
      </c>
      <c r="H140" s="46">
        <f>+'فرع الزقازيق'!H38</f>
        <v>0</v>
      </c>
      <c r="I140" s="46">
        <f>+'فرع الزقازيق'!I38</f>
        <v>0</v>
      </c>
      <c r="J140" s="46">
        <f>+'فرع الزقازيق'!J38</f>
        <v>0</v>
      </c>
      <c r="K140" s="46">
        <f>+'فرع الزقازيق'!K38</f>
        <v>0</v>
      </c>
      <c r="L140" s="46">
        <f>+'فرع الزقازيق'!L38</f>
        <v>0</v>
      </c>
      <c r="M140" s="46">
        <f>+'فرع الزقازيق'!M38</f>
        <v>0</v>
      </c>
      <c r="N140" s="46">
        <f>+'فرع الزقازيق'!N38</f>
        <v>0</v>
      </c>
      <c r="O140" s="46">
        <f>+'فرع الزقازيق'!O38</f>
        <v>0</v>
      </c>
      <c r="P140" s="46">
        <f>+'فرع الزقازيق'!P38</f>
        <v>0</v>
      </c>
      <c r="Q140" s="46">
        <f>+'فرع الزقازيق'!Q38</f>
        <v>0</v>
      </c>
      <c r="R140" s="47">
        <f>+'فرع الزقازيق'!R38</f>
        <v>0</v>
      </c>
      <c r="S140" s="47">
        <f>+'فرع الزقازيق'!S38</f>
        <v>0</v>
      </c>
      <c r="T140" s="46">
        <f>+'فرع الزقازيق'!T38</f>
        <v>0</v>
      </c>
      <c r="U140" s="46">
        <f>+'فرع الزقازيق'!U38</f>
        <v>0</v>
      </c>
      <c r="V140" s="46">
        <f>+'فرع الزقازيق'!V38</f>
        <v>0</v>
      </c>
      <c r="W140" s="46">
        <f>+'فرع الزقازيق'!W38</f>
        <v>0</v>
      </c>
      <c r="X140" s="46">
        <f>+'فرع الزقازيق'!X38</f>
        <v>0</v>
      </c>
      <c r="Y140" s="46">
        <f>+'فرع الزقازيق'!Y38</f>
        <v>0</v>
      </c>
      <c r="Z140" s="46">
        <f>+'فرع الزقازيق'!Z38</f>
        <v>0</v>
      </c>
      <c r="AA140" s="46">
        <f>+'فرع الزقازيق'!AA38</f>
        <v>0</v>
      </c>
      <c r="AB140" s="46">
        <f>+'فرع الزقازيق'!AB38</f>
        <v>0</v>
      </c>
      <c r="AC140" s="46">
        <f>+'فرع الزقازيق'!AC38</f>
        <v>0</v>
      </c>
      <c r="AD140" s="46">
        <f>+'فرع الزقازيق'!AD38</f>
        <v>0</v>
      </c>
      <c r="AE140" s="46">
        <f>+'فرع الزقازيق'!AE38</f>
        <v>0</v>
      </c>
      <c r="AF140" s="46">
        <f>+'فرع الزقازيق'!AF38</f>
        <v>0</v>
      </c>
      <c r="AG140" s="46">
        <f>+'فرع الزقازيق'!AG38</f>
        <v>0</v>
      </c>
      <c r="AH140" s="46">
        <f>+'فرع الزقازيق'!AH38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+'فرع الزقازيق'!A39</f>
        <v>0</v>
      </c>
      <c r="B144" s="44">
        <f>+'فرع الزقازيق'!B39</f>
        <v>0</v>
      </c>
      <c r="C144" s="45">
        <f>+'فرع الزقازيق'!C39</f>
        <v>0</v>
      </c>
      <c r="D144" s="45">
        <f>+'فرع الزقازيق'!D39</f>
        <v>0</v>
      </c>
      <c r="E144" s="45">
        <f>+'فرع الزقازيق'!E39</f>
        <v>0</v>
      </c>
      <c r="F144" s="46">
        <f>+'فرع الزقازيق'!F39</f>
        <v>0</v>
      </c>
      <c r="G144" s="46">
        <f>+'فرع الزقازيق'!G39</f>
        <v>0</v>
      </c>
      <c r="H144" s="46">
        <f>+'فرع الزقازيق'!H39</f>
        <v>0</v>
      </c>
      <c r="I144" s="46">
        <f>+'فرع الزقازيق'!I39</f>
        <v>0</v>
      </c>
      <c r="J144" s="46">
        <f>+'فرع الزقازيق'!J39</f>
        <v>0</v>
      </c>
      <c r="K144" s="46">
        <f>+'فرع الزقازيق'!K39</f>
        <v>0</v>
      </c>
      <c r="L144" s="46">
        <f>+'فرع الزقازيق'!L39</f>
        <v>0</v>
      </c>
      <c r="M144" s="46">
        <f>+'فرع الزقازيق'!M39</f>
        <v>0</v>
      </c>
      <c r="N144" s="46">
        <f>+'فرع الزقازيق'!N39</f>
        <v>0</v>
      </c>
      <c r="O144" s="46">
        <f>+'فرع الزقازيق'!O39</f>
        <v>0</v>
      </c>
      <c r="P144" s="46">
        <f>+'فرع الزقازيق'!P39</f>
        <v>0</v>
      </c>
      <c r="Q144" s="46">
        <f>+'فرع الزقازيق'!Q39</f>
        <v>0</v>
      </c>
      <c r="R144" s="47">
        <f>+'فرع الزقازيق'!R39</f>
        <v>0</v>
      </c>
      <c r="S144" s="47">
        <f>+'فرع الزقازيق'!S39</f>
        <v>0</v>
      </c>
      <c r="T144" s="46">
        <f>+'فرع الزقازيق'!T39</f>
        <v>0</v>
      </c>
      <c r="U144" s="46">
        <f>+'فرع الزقازيق'!U39</f>
        <v>0</v>
      </c>
      <c r="V144" s="46">
        <f>+'فرع الزقازيق'!V39</f>
        <v>0</v>
      </c>
      <c r="W144" s="46">
        <f>+'فرع الزقازيق'!W39</f>
        <v>0</v>
      </c>
      <c r="X144" s="46">
        <f>+'فرع الزقازيق'!X39</f>
        <v>0</v>
      </c>
      <c r="Y144" s="46">
        <f>+'فرع الزقازيق'!Y39</f>
        <v>0</v>
      </c>
      <c r="Z144" s="46">
        <f>+'فرع الزقازيق'!Z39</f>
        <v>0</v>
      </c>
      <c r="AA144" s="46">
        <f>+'فرع الزقازيق'!AA39</f>
        <v>0</v>
      </c>
      <c r="AB144" s="46">
        <f>+'فرع الزقازيق'!AB39</f>
        <v>0</v>
      </c>
      <c r="AC144" s="46">
        <f>+'فرع الزقازيق'!AC39</f>
        <v>0</v>
      </c>
      <c r="AD144" s="46">
        <f>+'فرع الزقازيق'!AD39</f>
        <v>0</v>
      </c>
      <c r="AE144" s="46">
        <f>+'فرع الزقازيق'!AE39</f>
        <v>0</v>
      </c>
      <c r="AF144" s="46">
        <f>+'فرع الزقازيق'!AF39</f>
        <v>0</v>
      </c>
      <c r="AG144" s="46">
        <f>+'فرع الزقازيق'!AG39</f>
        <v>0</v>
      </c>
      <c r="AH144" s="46">
        <f>+'فرع الزقازيق'!AH39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+'فرع الزقازيق'!A40</f>
        <v>0</v>
      </c>
      <c r="B148" s="44">
        <f>+'فرع الزقازيق'!B40</f>
        <v>0</v>
      </c>
      <c r="C148" s="45">
        <f>+'فرع الزقازيق'!C40</f>
        <v>0</v>
      </c>
      <c r="D148" s="45">
        <f>+'فرع الزقازيق'!D40</f>
        <v>0</v>
      </c>
      <c r="E148" s="45">
        <f>+'فرع الزقازيق'!E40</f>
        <v>0</v>
      </c>
      <c r="F148" s="46">
        <f>+'فرع الزقازيق'!F40</f>
        <v>0</v>
      </c>
      <c r="G148" s="46">
        <f>+'فرع الزقازيق'!G40</f>
        <v>0</v>
      </c>
      <c r="H148" s="46">
        <f>+'فرع الزقازيق'!H40</f>
        <v>0</v>
      </c>
      <c r="I148" s="46">
        <f>+'فرع الزقازيق'!I40</f>
        <v>0</v>
      </c>
      <c r="J148" s="46">
        <f>+'فرع الزقازيق'!J40</f>
        <v>0</v>
      </c>
      <c r="K148" s="46">
        <f>+'فرع الزقازيق'!K40</f>
        <v>0</v>
      </c>
      <c r="L148" s="46">
        <f>+'فرع الزقازيق'!L40</f>
        <v>0</v>
      </c>
      <c r="M148" s="46">
        <f>+'فرع الزقازيق'!M40</f>
        <v>0</v>
      </c>
      <c r="N148" s="46">
        <f>+'فرع الزقازيق'!N40</f>
        <v>0</v>
      </c>
      <c r="O148" s="46">
        <f>+'فرع الزقازيق'!O40</f>
        <v>0</v>
      </c>
      <c r="P148" s="46">
        <f>+'فرع الزقازيق'!P40</f>
        <v>0</v>
      </c>
      <c r="Q148" s="46">
        <f>+'فرع الزقازيق'!Q40</f>
        <v>0</v>
      </c>
      <c r="R148" s="47">
        <f>+'فرع الزقازيق'!R40</f>
        <v>0</v>
      </c>
      <c r="S148" s="47">
        <f>+'فرع الزقازيق'!S40</f>
        <v>0</v>
      </c>
      <c r="T148" s="46">
        <f>+'فرع الزقازيق'!T40</f>
        <v>0</v>
      </c>
      <c r="U148" s="46">
        <f>+'فرع الزقازيق'!U40</f>
        <v>0</v>
      </c>
      <c r="V148" s="46">
        <f>+'فرع الزقازيق'!V40</f>
        <v>0</v>
      </c>
      <c r="W148" s="46">
        <f>+'فرع الزقازيق'!W40</f>
        <v>0</v>
      </c>
      <c r="X148" s="46">
        <f>+'فرع الزقازيق'!X40</f>
        <v>0</v>
      </c>
      <c r="Y148" s="46">
        <f>+'فرع الزقازيق'!Y40</f>
        <v>0</v>
      </c>
      <c r="Z148" s="46">
        <f>+'فرع الزقازيق'!Z40</f>
        <v>0</v>
      </c>
      <c r="AA148" s="46">
        <f>+'فرع الزقازيق'!AA40</f>
        <v>0</v>
      </c>
      <c r="AB148" s="46">
        <f>+'فرع الزقازيق'!AB40</f>
        <v>0</v>
      </c>
      <c r="AC148" s="46">
        <f>+'فرع الزقازيق'!AC40</f>
        <v>0</v>
      </c>
      <c r="AD148" s="46">
        <f>+'فرع الزقازيق'!AD40</f>
        <v>0</v>
      </c>
      <c r="AE148" s="46">
        <f>+'فرع الزقازيق'!AE40</f>
        <v>0</v>
      </c>
      <c r="AF148" s="46">
        <f>+'فرع الزقازيق'!AF40</f>
        <v>0</v>
      </c>
      <c r="AG148" s="46">
        <f>+'فرع الزقازيق'!AG40</f>
        <v>0</v>
      </c>
      <c r="AH148" s="46">
        <f>+'فرع الزقازيق'!AH40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+'فرع الزقازيق'!A41</f>
        <v>0</v>
      </c>
      <c r="B152" s="44">
        <f>+'فرع الزقازيق'!B41</f>
        <v>0</v>
      </c>
      <c r="C152" s="45">
        <f>+'فرع الزقازيق'!C41</f>
        <v>0</v>
      </c>
      <c r="D152" s="45">
        <f>+'فرع الزقازيق'!D41</f>
        <v>0</v>
      </c>
      <c r="E152" s="45">
        <f>+'فرع الزقازيق'!E41</f>
        <v>0</v>
      </c>
      <c r="F152" s="46">
        <f>+'فرع الزقازيق'!F41</f>
        <v>0</v>
      </c>
      <c r="G152" s="46">
        <f>+'فرع الزقازيق'!G41</f>
        <v>0</v>
      </c>
      <c r="H152" s="46">
        <f>+'فرع الزقازيق'!H41</f>
        <v>0</v>
      </c>
      <c r="I152" s="46">
        <f>+'فرع الزقازيق'!I41</f>
        <v>0</v>
      </c>
      <c r="J152" s="46">
        <f>+'فرع الزقازيق'!J41</f>
        <v>0</v>
      </c>
      <c r="K152" s="46">
        <f>+'فرع الزقازيق'!K41</f>
        <v>0</v>
      </c>
      <c r="L152" s="46">
        <f>+'فرع الزقازيق'!L41</f>
        <v>0</v>
      </c>
      <c r="M152" s="46">
        <f>+'فرع الزقازيق'!M41</f>
        <v>0</v>
      </c>
      <c r="N152" s="46">
        <f>+'فرع الزقازيق'!N41</f>
        <v>0</v>
      </c>
      <c r="O152" s="46">
        <f>+'فرع الزقازيق'!O41</f>
        <v>0</v>
      </c>
      <c r="P152" s="46">
        <f>+'فرع الزقازيق'!P41</f>
        <v>0</v>
      </c>
      <c r="Q152" s="46">
        <f>+'فرع الزقازيق'!Q41</f>
        <v>0</v>
      </c>
      <c r="R152" s="47">
        <f>+'فرع الزقازيق'!R41</f>
        <v>0</v>
      </c>
      <c r="S152" s="47">
        <f>+'فرع الزقازيق'!S41</f>
        <v>0</v>
      </c>
      <c r="T152" s="46">
        <f>+'فرع الزقازيق'!T41</f>
        <v>0</v>
      </c>
      <c r="U152" s="46">
        <f>+'فرع الزقازيق'!U41</f>
        <v>0</v>
      </c>
      <c r="V152" s="46">
        <f>+'فرع الزقازيق'!V41</f>
        <v>0</v>
      </c>
      <c r="W152" s="46">
        <f>+'فرع الزقازيق'!W41</f>
        <v>0</v>
      </c>
      <c r="X152" s="46">
        <f>+'فرع الزقازيق'!X41</f>
        <v>0</v>
      </c>
      <c r="Y152" s="46">
        <f>+'فرع الزقازيق'!Y41</f>
        <v>0</v>
      </c>
      <c r="Z152" s="46">
        <f>+'فرع الزقازيق'!Z41</f>
        <v>0</v>
      </c>
      <c r="AA152" s="46">
        <f>+'فرع الزقازيق'!AA41</f>
        <v>0</v>
      </c>
      <c r="AB152" s="46">
        <f>+'فرع الزقازيق'!AB41</f>
        <v>0</v>
      </c>
      <c r="AC152" s="46">
        <f>+'فرع الزقازيق'!AC41</f>
        <v>0</v>
      </c>
      <c r="AD152" s="46">
        <f>+'فرع الزقازيق'!AD41</f>
        <v>0</v>
      </c>
      <c r="AE152" s="46">
        <f>+'فرع الزقازيق'!AE41</f>
        <v>0</v>
      </c>
      <c r="AF152" s="46">
        <f>+'فرع الزقازيق'!AF41</f>
        <v>0</v>
      </c>
      <c r="AG152" s="46">
        <f>+'فرع الزقازيق'!AG41</f>
        <v>0</v>
      </c>
      <c r="AH152" s="46">
        <f>+'فرع الزقازيق'!AH41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+'فرع الزقازيق'!A42</f>
        <v>0</v>
      </c>
      <c r="B156" s="44">
        <f>+'فرع الزقازيق'!B42</f>
        <v>0</v>
      </c>
      <c r="C156" s="45">
        <f>+'فرع الزقازيق'!C42</f>
        <v>0</v>
      </c>
      <c r="D156" s="45">
        <f>+'فرع الزقازيق'!D42</f>
        <v>0</v>
      </c>
      <c r="E156" s="45">
        <f>+'فرع الزقازيق'!E42</f>
        <v>0</v>
      </c>
      <c r="F156" s="46">
        <f>'فرع الزقازيق'!F42</f>
        <v>0</v>
      </c>
      <c r="G156" s="46">
        <f>'فرع الزقازيق'!G42</f>
        <v>0</v>
      </c>
      <c r="H156" s="46">
        <f>'فرع الزقازيق'!H42</f>
        <v>0</v>
      </c>
      <c r="I156" s="46">
        <f>'فرع الزقازيق'!I42</f>
        <v>0</v>
      </c>
      <c r="J156" s="46">
        <f>'فرع الزقازيق'!J42</f>
        <v>0</v>
      </c>
      <c r="K156" s="46">
        <f>'فرع الزقازيق'!K42</f>
        <v>0</v>
      </c>
      <c r="L156" s="46">
        <f>'فرع الزقازيق'!L42</f>
        <v>0</v>
      </c>
      <c r="M156" s="46">
        <f>'فرع الزقازيق'!M42</f>
        <v>0</v>
      </c>
      <c r="N156" s="46">
        <f>'فرع الزقازيق'!N42</f>
        <v>0</v>
      </c>
      <c r="O156" s="46">
        <f>'فرع الزقازيق'!O42</f>
        <v>0</v>
      </c>
      <c r="P156" s="46">
        <f>'فرع الزقازيق'!P42</f>
        <v>0</v>
      </c>
      <c r="Q156" s="46">
        <f>'فرع الزقازيق'!Q42</f>
        <v>0</v>
      </c>
      <c r="R156" s="47">
        <f>'فرع الزقازيق'!R42</f>
        <v>0</v>
      </c>
      <c r="S156" s="47">
        <f>'فرع الزقازيق'!S42</f>
        <v>0</v>
      </c>
      <c r="T156" s="46">
        <f>'فرع الزقازيق'!T42</f>
        <v>0</v>
      </c>
      <c r="U156" s="46">
        <f>'فرع الزقازيق'!U42</f>
        <v>0</v>
      </c>
      <c r="V156" s="46">
        <f>'فرع الزقازيق'!V42</f>
        <v>0</v>
      </c>
      <c r="W156" s="46">
        <f>'فرع الزقازيق'!W42</f>
        <v>0</v>
      </c>
      <c r="X156" s="46">
        <f>'فرع الزقازيق'!X42</f>
        <v>0</v>
      </c>
      <c r="Y156" s="46">
        <f>'فرع الزقازيق'!Y42</f>
        <v>0</v>
      </c>
      <c r="Z156" s="46">
        <f>'فرع الزقازيق'!Z42</f>
        <v>0</v>
      </c>
      <c r="AA156" s="46">
        <f>'فرع الزقازيق'!AA42</f>
        <v>0</v>
      </c>
      <c r="AB156" s="46">
        <f>'فرع الزقازيق'!AB42</f>
        <v>0</v>
      </c>
      <c r="AC156" s="46">
        <f>'فرع الزقازيق'!AC42</f>
        <v>0</v>
      </c>
      <c r="AD156" s="46">
        <f>'فرع الزقازيق'!AD42</f>
        <v>0</v>
      </c>
      <c r="AE156" s="46">
        <f>'فرع الزقازيق'!AE42</f>
        <v>0</v>
      </c>
      <c r="AF156" s="46">
        <f>'فرع الزقازيق'!AF42</f>
        <v>0</v>
      </c>
      <c r="AG156" s="46">
        <f>'فرع الزقازيق'!AG42</f>
        <v>0</v>
      </c>
      <c r="AH156" s="46">
        <f>'فرع الزقازيق'!AH42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+'فرع الزقازيق'!A43</f>
        <v>0</v>
      </c>
      <c r="B160" s="44">
        <f>+'فرع الزقازيق'!B43</f>
        <v>0</v>
      </c>
      <c r="C160" s="45">
        <f>+'فرع الزقازيق'!C43</f>
        <v>0</v>
      </c>
      <c r="D160" s="45">
        <f>+'فرع الزقازيق'!D43</f>
        <v>0</v>
      </c>
      <c r="E160" s="45">
        <f>+'فرع الزقازيق'!E43</f>
        <v>0</v>
      </c>
      <c r="F160" s="46">
        <f>'فرع الزقازيق'!F43</f>
        <v>0</v>
      </c>
      <c r="G160" s="46">
        <f>'فرع الزقازيق'!G43</f>
        <v>0</v>
      </c>
      <c r="H160" s="46">
        <f>'فرع الزقازيق'!H43</f>
        <v>0</v>
      </c>
      <c r="I160" s="46">
        <f>'فرع الزقازيق'!I43</f>
        <v>0</v>
      </c>
      <c r="J160" s="46">
        <f>'فرع الزقازيق'!J43</f>
        <v>0</v>
      </c>
      <c r="K160" s="46">
        <f>'فرع الزقازيق'!K43</f>
        <v>0</v>
      </c>
      <c r="L160" s="46">
        <f>'فرع الزقازيق'!L43</f>
        <v>0</v>
      </c>
      <c r="M160" s="46">
        <f>'فرع الزقازيق'!M43</f>
        <v>0</v>
      </c>
      <c r="N160" s="46">
        <f>'فرع الزقازيق'!N43</f>
        <v>0</v>
      </c>
      <c r="O160" s="46">
        <f>'فرع الزقازيق'!O43</f>
        <v>0</v>
      </c>
      <c r="P160" s="46">
        <f>'فرع الزقازيق'!P43</f>
        <v>0</v>
      </c>
      <c r="Q160" s="46">
        <f>'فرع الزقازيق'!Q43</f>
        <v>0</v>
      </c>
      <c r="R160" s="47">
        <f>'فرع الزقازيق'!R43</f>
        <v>0</v>
      </c>
      <c r="S160" s="47">
        <f>'فرع الزقازيق'!S43</f>
        <v>0</v>
      </c>
      <c r="T160" s="46">
        <f>'فرع الزقازيق'!T43</f>
        <v>0</v>
      </c>
      <c r="U160" s="46">
        <f>'فرع الزقازيق'!U43</f>
        <v>0</v>
      </c>
      <c r="V160" s="46">
        <f>'فرع الزقازيق'!V43</f>
        <v>0</v>
      </c>
      <c r="W160" s="46">
        <f>'فرع الزقازيق'!W43</f>
        <v>0</v>
      </c>
      <c r="X160" s="46">
        <f>'فرع الزقازيق'!X43</f>
        <v>0</v>
      </c>
      <c r="Y160" s="46">
        <f>'فرع الزقازيق'!Y43</f>
        <v>0</v>
      </c>
      <c r="Z160" s="46">
        <f>'فرع الزقازيق'!Z43</f>
        <v>0</v>
      </c>
      <c r="AA160" s="46">
        <f>'فرع الزقازيق'!AA43</f>
        <v>0</v>
      </c>
      <c r="AB160" s="46">
        <f>'فرع الزقازيق'!AB43</f>
        <v>0</v>
      </c>
      <c r="AC160" s="46">
        <f>'فرع الزقازيق'!AC43</f>
        <v>0</v>
      </c>
      <c r="AD160" s="46">
        <f>'فرع الزقازيق'!AD43</f>
        <v>0</v>
      </c>
      <c r="AE160" s="46">
        <f>'فرع الزقازيق'!AE43</f>
        <v>0</v>
      </c>
      <c r="AF160" s="46">
        <f>'فرع الزقازيق'!AF43</f>
        <v>0</v>
      </c>
      <c r="AG160" s="46">
        <f>'فرع الزقازيق'!AG43</f>
        <v>0</v>
      </c>
      <c r="AH160" s="46">
        <f>'فرع الزقازيق'!AH43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+'فرع الزقازيق'!A44</f>
        <v>0</v>
      </c>
      <c r="B164" s="44">
        <f>+'فرع الزقازيق'!B44</f>
        <v>0</v>
      </c>
      <c r="C164" s="45">
        <f>+'فرع الزقازيق'!C44</f>
        <v>0</v>
      </c>
      <c r="D164" s="45">
        <f>+'فرع الزقازيق'!D44</f>
        <v>0</v>
      </c>
      <c r="E164" s="45">
        <f>+'فرع الزقازيق'!E44</f>
        <v>0</v>
      </c>
      <c r="F164" s="46">
        <f>'فرع الزقازيق'!F44</f>
        <v>0</v>
      </c>
      <c r="G164" s="46">
        <f>'فرع الزقازيق'!G44</f>
        <v>0</v>
      </c>
      <c r="H164" s="46">
        <f>'فرع الزقازيق'!H44</f>
        <v>0</v>
      </c>
      <c r="I164" s="46">
        <f>'فرع الزقازيق'!I44</f>
        <v>0</v>
      </c>
      <c r="J164" s="46">
        <f>'فرع الزقازيق'!J44</f>
        <v>0</v>
      </c>
      <c r="K164" s="46">
        <f>'فرع الزقازيق'!K44</f>
        <v>0</v>
      </c>
      <c r="L164" s="46">
        <f>'فرع الزقازيق'!L44</f>
        <v>0</v>
      </c>
      <c r="M164" s="46">
        <f>'فرع الزقازيق'!M44</f>
        <v>0</v>
      </c>
      <c r="N164" s="46">
        <f>'فرع الزقازيق'!N44</f>
        <v>0</v>
      </c>
      <c r="O164" s="46">
        <f>'فرع الزقازيق'!O44</f>
        <v>0</v>
      </c>
      <c r="P164" s="46">
        <f>'فرع الزقازيق'!P44</f>
        <v>0</v>
      </c>
      <c r="Q164" s="46">
        <f>'فرع الزقازيق'!Q44</f>
        <v>0</v>
      </c>
      <c r="R164" s="47">
        <f>'فرع الزقازيق'!R44</f>
        <v>0</v>
      </c>
      <c r="S164" s="47">
        <f>'فرع الزقازيق'!S44</f>
        <v>0</v>
      </c>
      <c r="T164" s="46">
        <f>'فرع الزقازيق'!T44</f>
        <v>0</v>
      </c>
      <c r="U164" s="46">
        <f>'فرع الزقازيق'!U44</f>
        <v>0</v>
      </c>
      <c r="V164" s="46">
        <f>'فرع الزقازيق'!V44</f>
        <v>0</v>
      </c>
      <c r="W164" s="46">
        <f>'فرع الزقازيق'!W44</f>
        <v>0</v>
      </c>
      <c r="X164" s="46">
        <f>'فرع الزقازيق'!X44</f>
        <v>0</v>
      </c>
      <c r="Y164" s="46">
        <f>'فرع الزقازيق'!Y44</f>
        <v>0</v>
      </c>
      <c r="Z164" s="46">
        <f>'فرع الزقازيق'!Z44</f>
        <v>0</v>
      </c>
      <c r="AA164" s="46">
        <f>'فرع الزقازيق'!AA44</f>
        <v>0</v>
      </c>
      <c r="AB164" s="46">
        <f>'فرع الزقازيق'!AB44</f>
        <v>0</v>
      </c>
      <c r="AC164" s="46">
        <f>'فرع الزقازيق'!AC44</f>
        <v>0</v>
      </c>
      <c r="AD164" s="46">
        <f>'فرع الزقازيق'!AD44</f>
        <v>0</v>
      </c>
      <c r="AE164" s="46">
        <f>'فرع الزقازيق'!AE44</f>
        <v>0</v>
      </c>
      <c r="AF164" s="46">
        <f>'فرع الزقازيق'!AF44</f>
        <v>0</v>
      </c>
      <c r="AG164" s="46">
        <f>'فرع الزقازيق'!AG44</f>
        <v>0</v>
      </c>
      <c r="AH164" s="46">
        <f>'فرع الزقازيق'!AH44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+'فرع الزقازيق'!A45</f>
        <v>0</v>
      </c>
      <c r="B168" s="44">
        <f>+'فرع الزقازيق'!B45</f>
        <v>0</v>
      </c>
      <c r="C168" s="45">
        <f>+'فرع الزقازيق'!C45</f>
        <v>0</v>
      </c>
      <c r="D168" s="45">
        <f>+'فرع الزقازيق'!D45</f>
        <v>0</v>
      </c>
      <c r="E168" s="45">
        <f>+'فرع الزقازيق'!E45</f>
        <v>0</v>
      </c>
      <c r="F168" s="46">
        <f>'فرع الزقازيق'!F45</f>
        <v>0</v>
      </c>
      <c r="G168" s="46">
        <f>'فرع الزقازيق'!G45</f>
        <v>0</v>
      </c>
      <c r="H168" s="46">
        <f>'فرع الزقازيق'!H45</f>
        <v>0</v>
      </c>
      <c r="I168" s="46">
        <f>'فرع الزقازيق'!I45</f>
        <v>0</v>
      </c>
      <c r="J168" s="46">
        <f>'فرع الزقازيق'!J45</f>
        <v>0</v>
      </c>
      <c r="K168" s="46">
        <f>'فرع الزقازيق'!K45</f>
        <v>0</v>
      </c>
      <c r="L168" s="46">
        <f>'فرع الزقازيق'!L45</f>
        <v>0</v>
      </c>
      <c r="M168" s="46">
        <f>'فرع الزقازيق'!M45</f>
        <v>0</v>
      </c>
      <c r="N168" s="46">
        <f>'فرع الزقازيق'!N45</f>
        <v>0</v>
      </c>
      <c r="O168" s="46">
        <f>'فرع الزقازيق'!O45</f>
        <v>0</v>
      </c>
      <c r="P168" s="46">
        <f>'فرع الزقازيق'!P45</f>
        <v>0</v>
      </c>
      <c r="Q168" s="46">
        <f>'فرع الزقازيق'!Q45</f>
        <v>0</v>
      </c>
      <c r="R168" s="47">
        <f>'فرع الزقازيق'!R45</f>
        <v>0</v>
      </c>
      <c r="S168" s="47">
        <f>'فرع الزقازيق'!S45</f>
        <v>0</v>
      </c>
      <c r="T168" s="46">
        <f>'فرع الزقازيق'!T45</f>
        <v>0</v>
      </c>
      <c r="U168" s="46">
        <f>'فرع الزقازيق'!U45</f>
        <v>0</v>
      </c>
      <c r="V168" s="46">
        <f>'فرع الزقازيق'!V45</f>
        <v>0</v>
      </c>
      <c r="W168" s="46">
        <f>'فرع الزقازيق'!W45</f>
        <v>0</v>
      </c>
      <c r="X168" s="46">
        <f>'فرع الزقازيق'!X45</f>
        <v>0</v>
      </c>
      <c r="Y168" s="46">
        <f>'فرع الزقازيق'!Y45</f>
        <v>0</v>
      </c>
      <c r="Z168" s="46">
        <f>'فرع الزقازيق'!Z45</f>
        <v>0</v>
      </c>
      <c r="AA168" s="46">
        <f>'فرع الزقازيق'!AA45</f>
        <v>0</v>
      </c>
      <c r="AB168" s="46">
        <f>'فرع الزقازيق'!AB45</f>
        <v>0</v>
      </c>
      <c r="AC168" s="46">
        <f>'فرع الزقازيق'!AC45</f>
        <v>0</v>
      </c>
      <c r="AD168" s="46">
        <f>'فرع الزقازيق'!AD45</f>
        <v>0</v>
      </c>
      <c r="AE168" s="46">
        <f>'فرع الزقازيق'!AE45</f>
        <v>0</v>
      </c>
      <c r="AF168" s="46">
        <f>'فرع الزقازيق'!AF45</f>
        <v>0</v>
      </c>
      <c r="AG168" s="46">
        <f>'فرع الزقازيق'!AG45</f>
        <v>0</v>
      </c>
      <c r="AH168" s="46">
        <f>'فرع الزقازيق'!AH45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+'فرع الزقازيق'!A46</f>
        <v>0</v>
      </c>
      <c r="B172" s="44">
        <f>+'فرع الزقازيق'!B46</f>
        <v>0</v>
      </c>
      <c r="C172" s="45">
        <f>+'فرع الزقازيق'!C46</f>
        <v>0</v>
      </c>
      <c r="D172" s="45">
        <f>+'فرع الزقازيق'!D46</f>
        <v>0</v>
      </c>
      <c r="E172" s="45">
        <f>+'فرع الزقازيق'!E46</f>
        <v>0</v>
      </c>
      <c r="F172" s="46">
        <f>'فرع الزقازيق'!F46</f>
        <v>0</v>
      </c>
      <c r="G172" s="46">
        <f>'فرع الزقازيق'!G46</f>
        <v>0</v>
      </c>
      <c r="H172" s="46">
        <f>'فرع الزقازيق'!H46</f>
        <v>0</v>
      </c>
      <c r="I172" s="46">
        <f>'فرع الزقازيق'!I46</f>
        <v>0</v>
      </c>
      <c r="J172" s="46">
        <f>'فرع الزقازيق'!J46</f>
        <v>0</v>
      </c>
      <c r="K172" s="46">
        <f>'فرع الزقازيق'!K46</f>
        <v>0</v>
      </c>
      <c r="L172" s="46">
        <f>'فرع الزقازيق'!L46</f>
        <v>0</v>
      </c>
      <c r="M172" s="46">
        <f>'فرع الزقازيق'!M46</f>
        <v>0</v>
      </c>
      <c r="N172" s="46">
        <f>'فرع الزقازيق'!N46</f>
        <v>0</v>
      </c>
      <c r="O172" s="46">
        <f>'فرع الزقازيق'!O46</f>
        <v>0</v>
      </c>
      <c r="P172" s="46">
        <f>'فرع الزقازيق'!P46</f>
        <v>0</v>
      </c>
      <c r="Q172" s="46">
        <f>'فرع الزقازيق'!Q46</f>
        <v>0</v>
      </c>
      <c r="R172" s="47">
        <f>'فرع الزقازيق'!R46</f>
        <v>0</v>
      </c>
      <c r="S172" s="47"/>
      <c r="T172" s="46">
        <f>'فرع الزقازيق'!T46</f>
        <v>0</v>
      </c>
      <c r="U172" s="46">
        <f>'فرع الزقازيق'!U46</f>
        <v>0</v>
      </c>
      <c r="V172" s="46">
        <f>'فرع الزقازيق'!V46</f>
        <v>0</v>
      </c>
      <c r="W172" s="46">
        <f>'فرع الزقازيق'!W46</f>
        <v>0</v>
      </c>
      <c r="X172" s="46">
        <f>'فرع الزقازيق'!X46</f>
        <v>0</v>
      </c>
      <c r="Y172" s="46">
        <f>'فرع الزقازيق'!Y46</f>
        <v>0</v>
      </c>
      <c r="Z172" s="46">
        <f>'فرع الزقازيق'!Z46</f>
        <v>0</v>
      </c>
      <c r="AA172" s="46">
        <f>'فرع الزقازيق'!AA46</f>
        <v>0</v>
      </c>
      <c r="AB172" s="46">
        <f>'فرع الزقازيق'!AB46</f>
        <v>0</v>
      </c>
      <c r="AC172" s="46">
        <f>'فرع الزقازيق'!AC46</f>
        <v>0</v>
      </c>
      <c r="AD172" s="46">
        <f>'فرع الزقازيق'!AD46</f>
        <v>0</v>
      </c>
      <c r="AE172" s="46">
        <f>'فرع الزقازيق'!AE46</f>
        <v>0</v>
      </c>
      <c r="AF172" s="46">
        <f>'فرع الزقازيق'!AF46</f>
        <v>0</v>
      </c>
      <c r="AG172" s="46">
        <f>'فرع الزقازيق'!AG46</f>
        <v>0</v>
      </c>
      <c r="AH172" s="46">
        <f>'فرع الزقازيق'!AH46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+'فرع الزقازيق'!A47</f>
        <v>0</v>
      </c>
      <c r="B176" s="44">
        <f>+'فرع الزقازيق'!B47</f>
        <v>0</v>
      </c>
      <c r="C176" s="45">
        <f>+'فرع الزقازيق'!C47</f>
        <v>0</v>
      </c>
      <c r="D176" s="45">
        <f>+'فرع الزقازيق'!D47</f>
        <v>0</v>
      </c>
      <c r="E176" s="45">
        <f>+'فرع الزقازيق'!E47</f>
        <v>0</v>
      </c>
      <c r="F176" s="46">
        <f>'فرع الزقازيق'!F47</f>
        <v>0</v>
      </c>
      <c r="G176" s="46">
        <f>'فرع الزقازيق'!G47</f>
        <v>0</v>
      </c>
      <c r="H176" s="46">
        <f>'فرع الزقازيق'!H47</f>
        <v>0</v>
      </c>
      <c r="I176" s="46">
        <f>'فرع الزقازيق'!I47</f>
        <v>0</v>
      </c>
      <c r="J176" s="46">
        <f>'فرع الزقازيق'!J47</f>
        <v>0</v>
      </c>
      <c r="K176" s="46">
        <f>'فرع الزقازيق'!K47</f>
        <v>0</v>
      </c>
      <c r="L176" s="46">
        <f>'فرع الزقازيق'!L47</f>
        <v>0</v>
      </c>
      <c r="M176" s="46">
        <f>'فرع الزقازيق'!M47</f>
        <v>0</v>
      </c>
      <c r="N176" s="46">
        <f>'فرع الزقازيق'!N47</f>
        <v>0</v>
      </c>
      <c r="O176" s="46">
        <f>'فرع الزقازيق'!O47</f>
        <v>0</v>
      </c>
      <c r="P176" s="46">
        <f>'فرع الزقازيق'!P47</f>
        <v>0</v>
      </c>
      <c r="Q176" s="46">
        <f>'فرع الزقازيق'!Q47</f>
        <v>0</v>
      </c>
      <c r="R176" s="47">
        <f>'فرع الزقازيق'!R47</f>
        <v>0</v>
      </c>
      <c r="S176" s="47">
        <f>'فرع الزقازيق'!S47</f>
        <v>0</v>
      </c>
      <c r="T176" s="46">
        <f>'فرع الزقازيق'!T47</f>
        <v>0</v>
      </c>
      <c r="U176" s="46">
        <f>'فرع الزقازيق'!U47</f>
        <v>0</v>
      </c>
      <c r="V176" s="46">
        <f>'فرع الزقازيق'!V47</f>
        <v>0</v>
      </c>
      <c r="W176" s="46">
        <f>'فرع الزقازيق'!W47</f>
        <v>0</v>
      </c>
      <c r="X176" s="46">
        <f>'فرع الزقازيق'!X47</f>
        <v>0</v>
      </c>
      <c r="Y176" s="46">
        <f>'فرع الزقازيق'!Y47</f>
        <v>0</v>
      </c>
      <c r="Z176" s="46">
        <f>'فرع الزقازيق'!Z47</f>
        <v>0</v>
      </c>
      <c r="AA176" s="46">
        <f>'فرع الزقازيق'!AA47</f>
        <v>0</v>
      </c>
      <c r="AB176" s="46">
        <f>'فرع الزقازيق'!AB47</f>
        <v>0</v>
      </c>
      <c r="AC176" s="46">
        <f>'فرع الزقازيق'!AC47</f>
        <v>0</v>
      </c>
      <c r="AD176" s="46">
        <f>'فرع الزقازيق'!AD47</f>
        <v>0</v>
      </c>
      <c r="AE176" s="46">
        <f>'فرع الزقازيق'!AE47</f>
        <v>0</v>
      </c>
      <c r="AF176" s="46">
        <f>'فرع الزقازيق'!AF47</f>
        <v>0</v>
      </c>
      <c r="AG176" s="46">
        <f>'فرع الزقازيق'!AG47</f>
        <v>0</v>
      </c>
      <c r="AH176" s="46">
        <f>'فرع الزقازيق'!AH47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+'فرع الزقازيق'!A48</f>
        <v>0</v>
      </c>
      <c r="B180" s="44">
        <f>+'فرع الزقازيق'!B48</f>
        <v>0</v>
      </c>
      <c r="C180" s="45">
        <f>+'فرع الزقازيق'!C48</f>
        <v>0</v>
      </c>
      <c r="D180" s="45">
        <f>+'فرع الزقازيق'!D48</f>
        <v>0</v>
      </c>
      <c r="E180" s="45">
        <f>+'فرع الزقازيق'!E48</f>
        <v>0</v>
      </c>
      <c r="F180" s="46">
        <f>'فرع الزقازيق'!F48</f>
        <v>0</v>
      </c>
      <c r="G180" s="46">
        <f>'فرع الزقازيق'!G48</f>
        <v>0</v>
      </c>
      <c r="H180" s="46">
        <f>'فرع الزقازيق'!H48</f>
        <v>0</v>
      </c>
      <c r="I180" s="46">
        <f>'فرع الزقازيق'!I48</f>
        <v>0</v>
      </c>
      <c r="J180" s="46">
        <f>'فرع الزقازيق'!J48</f>
        <v>0</v>
      </c>
      <c r="K180" s="46">
        <f>'فرع الزقازيق'!K48</f>
        <v>0</v>
      </c>
      <c r="L180" s="46">
        <f>'فرع الزقازيق'!L48</f>
        <v>0</v>
      </c>
      <c r="M180" s="46">
        <f>'فرع الزقازيق'!M48</f>
        <v>0</v>
      </c>
      <c r="N180" s="46">
        <f>'فرع الزقازيق'!N48</f>
        <v>0</v>
      </c>
      <c r="O180" s="46">
        <f>'فرع الزقازيق'!O48</f>
        <v>0</v>
      </c>
      <c r="P180" s="46">
        <f>'فرع الزقازيق'!P48</f>
        <v>0</v>
      </c>
      <c r="Q180" s="46">
        <f>'فرع الزقازيق'!Q48</f>
        <v>0</v>
      </c>
      <c r="R180" s="47">
        <f>'فرع الزقازيق'!R48</f>
        <v>0</v>
      </c>
      <c r="S180" s="47">
        <f>'فرع الزقازيق'!S48</f>
        <v>0</v>
      </c>
      <c r="T180" s="46">
        <f>'فرع الزقازيق'!T48</f>
        <v>0</v>
      </c>
      <c r="U180" s="46">
        <f>'فرع الزقازيق'!U48</f>
        <v>0</v>
      </c>
      <c r="V180" s="46">
        <f>'فرع الزقازيق'!V48</f>
        <v>0</v>
      </c>
      <c r="W180" s="46">
        <f>'فرع الزقازيق'!W48</f>
        <v>0</v>
      </c>
      <c r="X180" s="46">
        <f>'فرع الزقازيق'!X48</f>
        <v>0</v>
      </c>
      <c r="Y180" s="46">
        <f>'فرع الزقازيق'!Y48</f>
        <v>0</v>
      </c>
      <c r="Z180" s="46">
        <f>'فرع الزقازيق'!Z48</f>
        <v>0</v>
      </c>
      <c r="AA180" s="46">
        <f>'فرع الزقازيق'!AA48</f>
        <v>0</v>
      </c>
      <c r="AB180" s="46">
        <f>'فرع الزقازيق'!AB48</f>
        <v>0</v>
      </c>
      <c r="AC180" s="46">
        <f>'فرع الزقازيق'!AC48</f>
        <v>0</v>
      </c>
      <c r="AD180" s="46">
        <f>'فرع الزقازيق'!AD48</f>
        <v>0</v>
      </c>
      <c r="AE180" s="46">
        <f>'فرع الزقازيق'!AE48</f>
        <v>0</v>
      </c>
      <c r="AF180" s="46">
        <f>'فرع الزقازيق'!AF48</f>
        <v>0</v>
      </c>
      <c r="AG180" s="46">
        <f>'فرع الزقازيق'!AG48</f>
        <v>0</v>
      </c>
      <c r="AH180" s="46">
        <f>'فرع الزقازيق'!AH48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+'فرع الزقازيق'!A49</f>
        <v>0</v>
      </c>
      <c r="B184" s="44">
        <f>+'فرع الزقازيق'!B49</f>
        <v>0</v>
      </c>
      <c r="C184" s="45">
        <f>+'فرع الزقازيق'!C49</f>
        <v>0</v>
      </c>
      <c r="D184" s="45">
        <f>+'فرع الزقازيق'!D49</f>
        <v>0</v>
      </c>
      <c r="E184" s="45">
        <f>+'فرع الزقازيق'!E49</f>
        <v>0</v>
      </c>
      <c r="F184" s="46">
        <f>'فرع الزقازيق'!F49</f>
        <v>0</v>
      </c>
      <c r="G184" s="46">
        <f>'فرع الزقازيق'!G49</f>
        <v>0</v>
      </c>
      <c r="H184" s="46">
        <f>'فرع الزقازيق'!H49</f>
        <v>0</v>
      </c>
      <c r="I184" s="46">
        <f>'فرع الزقازيق'!I49</f>
        <v>0</v>
      </c>
      <c r="J184" s="46">
        <f>'فرع الزقازيق'!J49</f>
        <v>0</v>
      </c>
      <c r="K184" s="46">
        <f>'فرع الزقازيق'!K49</f>
        <v>0</v>
      </c>
      <c r="L184" s="46">
        <f>'فرع الزقازيق'!L49</f>
        <v>0</v>
      </c>
      <c r="M184" s="46">
        <f>'فرع الزقازيق'!M49</f>
        <v>0</v>
      </c>
      <c r="N184" s="46">
        <f>'فرع الزقازيق'!N49</f>
        <v>0</v>
      </c>
      <c r="O184" s="46">
        <f>'فرع الزقازيق'!O49</f>
        <v>0</v>
      </c>
      <c r="P184" s="46">
        <f>'فرع الزقازيق'!P49</f>
        <v>0</v>
      </c>
      <c r="Q184" s="46">
        <f>'فرع الزقازيق'!Q49</f>
        <v>0</v>
      </c>
      <c r="R184" s="47">
        <f>'فرع الزقازيق'!R49</f>
        <v>0</v>
      </c>
      <c r="S184" s="47">
        <f>'فرع الزقازيق'!S49</f>
        <v>0</v>
      </c>
      <c r="T184" s="46">
        <f>'فرع الزقازيق'!T49</f>
        <v>0</v>
      </c>
      <c r="U184" s="46">
        <f>'فرع الزقازيق'!U49</f>
        <v>0</v>
      </c>
      <c r="V184" s="46">
        <f>'فرع الزقازيق'!V49</f>
        <v>0</v>
      </c>
      <c r="W184" s="46">
        <f>'فرع الزقازيق'!W49</f>
        <v>0</v>
      </c>
      <c r="X184" s="46">
        <f>'فرع الزقازيق'!X49</f>
        <v>0</v>
      </c>
      <c r="Y184" s="46">
        <f>'فرع الزقازيق'!Y49</f>
        <v>0</v>
      </c>
      <c r="Z184" s="46">
        <f>'فرع الزقازيق'!Z49</f>
        <v>0</v>
      </c>
      <c r="AA184" s="46">
        <f>'فرع الزقازيق'!AA49</f>
        <v>0</v>
      </c>
      <c r="AB184" s="46">
        <f>'فرع الزقازيق'!AB49</f>
        <v>0</v>
      </c>
      <c r="AC184" s="46">
        <f>'فرع الزقازيق'!AC49</f>
        <v>0</v>
      </c>
      <c r="AD184" s="46">
        <f>'فرع الزقازيق'!AD49</f>
        <v>0</v>
      </c>
      <c r="AE184" s="46">
        <f>'فرع الزقازيق'!AE49</f>
        <v>0</v>
      </c>
      <c r="AF184" s="46">
        <f>'فرع الزقازيق'!AF49</f>
        <v>0</v>
      </c>
      <c r="AG184" s="46">
        <f>'فرع الزقازيق'!AG49</f>
        <v>0</v>
      </c>
      <c r="AH184" s="46">
        <f>'فرع الزقازيق'!AH49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+'فرع الزقازيق'!A50</f>
        <v>0</v>
      </c>
      <c r="B188" s="44">
        <f>+'فرع الزقازيق'!B50</f>
        <v>0</v>
      </c>
      <c r="C188" s="45">
        <f>+'فرع الزقازيق'!C50</f>
        <v>0</v>
      </c>
      <c r="D188" s="45">
        <f>+'فرع الزقازيق'!D50</f>
        <v>0</v>
      </c>
      <c r="E188" s="45">
        <f>+'فرع الزقازيق'!E50</f>
        <v>0</v>
      </c>
      <c r="F188" s="46">
        <f>'فرع الزقازيق'!F50</f>
        <v>0</v>
      </c>
      <c r="G188" s="46">
        <f>'فرع الزقازيق'!G50</f>
        <v>0</v>
      </c>
      <c r="H188" s="46">
        <f>'فرع الزقازيق'!H50</f>
        <v>0</v>
      </c>
      <c r="I188" s="46">
        <f>'فرع الزقازيق'!I50</f>
        <v>0</v>
      </c>
      <c r="J188" s="46">
        <f>'فرع الزقازيق'!J50</f>
        <v>0</v>
      </c>
      <c r="K188" s="46">
        <f>'فرع الزقازيق'!K50</f>
        <v>0</v>
      </c>
      <c r="L188" s="46">
        <f>'فرع الزقازيق'!L50</f>
        <v>0</v>
      </c>
      <c r="M188" s="46">
        <f>'فرع الزقازيق'!M50</f>
        <v>0</v>
      </c>
      <c r="N188" s="46">
        <f>'فرع الزقازيق'!N50</f>
        <v>0</v>
      </c>
      <c r="O188" s="46">
        <f>'فرع الزقازيق'!O50</f>
        <v>0</v>
      </c>
      <c r="P188" s="46">
        <f>'فرع الزقازيق'!P50</f>
        <v>0</v>
      </c>
      <c r="Q188" s="46">
        <f>'فرع الزقازيق'!Q50</f>
        <v>0</v>
      </c>
      <c r="R188" s="47">
        <f>'فرع الزقازيق'!R50</f>
        <v>0</v>
      </c>
      <c r="S188" s="47">
        <f>'فرع الزقازيق'!S50</f>
        <v>0</v>
      </c>
      <c r="T188" s="46">
        <f>'فرع الزقازيق'!T50</f>
        <v>0</v>
      </c>
      <c r="U188" s="46">
        <f>'فرع الزقازيق'!U50</f>
        <v>0</v>
      </c>
      <c r="V188" s="46">
        <f>'فرع الزقازيق'!V50</f>
        <v>0</v>
      </c>
      <c r="W188" s="46">
        <f>'فرع الزقازيق'!W50</f>
        <v>0</v>
      </c>
      <c r="X188" s="46">
        <f>'فرع الزقازيق'!X50</f>
        <v>0</v>
      </c>
      <c r="Y188" s="46">
        <f>'فرع الزقازيق'!Y50</f>
        <v>0</v>
      </c>
      <c r="Z188" s="46">
        <f>'فرع الزقازيق'!Z50</f>
        <v>0</v>
      </c>
      <c r="AA188" s="46">
        <f>'فرع الزقازيق'!AA50</f>
        <v>0</v>
      </c>
      <c r="AB188" s="46">
        <f>'فرع الزقازيق'!AB50</f>
        <v>0</v>
      </c>
      <c r="AC188" s="46">
        <f>'فرع الزقازيق'!AC50</f>
        <v>0</v>
      </c>
      <c r="AD188" s="46">
        <f>'فرع الزقازيق'!AD50</f>
        <v>0</v>
      </c>
      <c r="AE188" s="46">
        <f>'فرع الزقازيق'!AE50</f>
        <v>0</v>
      </c>
      <c r="AF188" s="46">
        <f>'فرع الزقازيق'!AF50</f>
        <v>0</v>
      </c>
      <c r="AG188" s="46">
        <f>'فرع الزقازيق'!AG50</f>
        <v>0</v>
      </c>
      <c r="AH188" s="46">
        <f>'فرع الزقازيق'!AH50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+'فرع الزقازيق'!A51</f>
        <v>0</v>
      </c>
      <c r="B192" s="44">
        <f>+'فرع الزقازيق'!B51</f>
        <v>0</v>
      </c>
      <c r="C192" s="45">
        <f>+'فرع الزقازيق'!C51</f>
        <v>0</v>
      </c>
      <c r="D192" s="45">
        <f>+'فرع الزقازيق'!D51</f>
        <v>0</v>
      </c>
      <c r="E192" s="45">
        <f>+'فرع الزقازيق'!E51</f>
        <v>0</v>
      </c>
      <c r="F192" s="46">
        <f>'فرع الزقازيق'!F51</f>
        <v>0</v>
      </c>
      <c r="G192" s="46">
        <f>'فرع الزقازيق'!G51</f>
        <v>0</v>
      </c>
      <c r="H192" s="46">
        <f>'فرع الزقازيق'!H51</f>
        <v>0</v>
      </c>
      <c r="I192" s="46">
        <f>'فرع الزقازيق'!I51</f>
        <v>0</v>
      </c>
      <c r="J192" s="46">
        <f>'فرع الزقازيق'!J51</f>
        <v>0</v>
      </c>
      <c r="K192" s="46">
        <f>'فرع الزقازيق'!K51</f>
        <v>0</v>
      </c>
      <c r="L192" s="46">
        <f>'فرع الزقازيق'!L51</f>
        <v>0</v>
      </c>
      <c r="M192" s="46">
        <f>'فرع الزقازيق'!M51</f>
        <v>0</v>
      </c>
      <c r="N192" s="46">
        <f>'فرع الزقازيق'!N51</f>
        <v>0</v>
      </c>
      <c r="O192" s="46">
        <f>'فرع الزقازيق'!O51</f>
        <v>0</v>
      </c>
      <c r="P192" s="46">
        <f>'فرع الزقازيق'!P51</f>
        <v>0</v>
      </c>
      <c r="Q192" s="46">
        <f>'فرع الزقازيق'!Q51</f>
        <v>0</v>
      </c>
      <c r="R192" s="47">
        <f>'فرع الزقازيق'!R51</f>
        <v>0</v>
      </c>
      <c r="S192" s="47">
        <f>'فرع الزقازيق'!S51</f>
        <v>0</v>
      </c>
      <c r="T192" s="46">
        <f>'فرع الزقازيق'!T51</f>
        <v>0</v>
      </c>
      <c r="U192" s="46">
        <f>'فرع الزقازيق'!U51</f>
        <v>0</v>
      </c>
      <c r="V192" s="46">
        <f>'فرع الزقازيق'!V51</f>
        <v>0</v>
      </c>
      <c r="W192" s="46">
        <f>'فرع الزقازيق'!W51</f>
        <v>0</v>
      </c>
      <c r="X192" s="46">
        <f>'فرع الزقازيق'!X51</f>
        <v>0</v>
      </c>
      <c r="Y192" s="46">
        <f>'فرع الزقازيق'!Y51</f>
        <v>0</v>
      </c>
      <c r="Z192" s="46">
        <f>'فرع الزقازيق'!Z51</f>
        <v>0</v>
      </c>
      <c r="AA192" s="46">
        <f>'فرع الزقازيق'!AA51</f>
        <v>0</v>
      </c>
      <c r="AB192" s="46">
        <f>'فرع الزقازيق'!AB51</f>
        <v>0</v>
      </c>
      <c r="AC192" s="46">
        <f>'فرع الزقازيق'!AC51</f>
        <v>0</v>
      </c>
      <c r="AD192" s="46">
        <f>'فرع الزقازيق'!AD51</f>
        <v>0</v>
      </c>
      <c r="AE192" s="46">
        <f>'فرع الزقازيق'!AE51</f>
        <v>0</v>
      </c>
      <c r="AF192" s="46">
        <f>'فرع الزقازيق'!AF51</f>
        <v>0</v>
      </c>
      <c r="AG192" s="46">
        <f>'فرع الزقازيق'!AG51</f>
        <v>0</v>
      </c>
      <c r="AH192" s="46">
        <f>'فرع الزقازيق'!AH51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+'فرع الزقازيق'!A52</f>
        <v>0</v>
      </c>
      <c r="B196" s="44">
        <f>+'فرع الزقازيق'!B52</f>
        <v>0</v>
      </c>
      <c r="C196" s="45">
        <f>+'فرع الزقازيق'!C52</f>
        <v>0</v>
      </c>
      <c r="D196" s="45">
        <f>+'فرع الزقازيق'!D52</f>
        <v>0</v>
      </c>
      <c r="E196" s="45">
        <f>+'فرع الزقازيق'!E52</f>
        <v>0</v>
      </c>
      <c r="F196" s="46">
        <f>'فرع الزقازيق'!F52</f>
        <v>0</v>
      </c>
      <c r="G196" s="46">
        <f>'فرع الزقازيق'!G52</f>
        <v>0</v>
      </c>
      <c r="H196" s="46">
        <f>'فرع الزقازيق'!H52</f>
        <v>0</v>
      </c>
      <c r="I196" s="46">
        <f>'فرع الزقازيق'!I52</f>
        <v>0</v>
      </c>
      <c r="J196" s="46">
        <f>'فرع الزقازيق'!J52</f>
        <v>0</v>
      </c>
      <c r="K196" s="46">
        <f>'فرع الزقازيق'!K52</f>
        <v>0</v>
      </c>
      <c r="L196" s="46">
        <f>'فرع الزقازيق'!L52</f>
        <v>0</v>
      </c>
      <c r="M196" s="46">
        <f>'فرع الزقازيق'!M52</f>
        <v>0</v>
      </c>
      <c r="N196" s="46">
        <f>'فرع الزقازيق'!N52</f>
        <v>0</v>
      </c>
      <c r="O196" s="46">
        <f>'فرع الزقازيق'!O52</f>
        <v>0</v>
      </c>
      <c r="P196" s="46">
        <f>'فرع الزقازيق'!P52</f>
        <v>0</v>
      </c>
      <c r="Q196" s="46">
        <f>'فرع الزقازيق'!Q52</f>
        <v>0</v>
      </c>
      <c r="R196" s="47">
        <f>'فرع الزقازيق'!R52</f>
        <v>0</v>
      </c>
      <c r="S196" s="47">
        <f>'فرع الزقازيق'!S52</f>
        <v>0</v>
      </c>
      <c r="T196" s="46">
        <f>'فرع الزقازيق'!T52</f>
        <v>0</v>
      </c>
      <c r="U196" s="46">
        <f>'فرع الزقازيق'!U52</f>
        <v>0</v>
      </c>
      <c r="V196" s="46">
        <f>'فرع الزقازيق'!V52</f>
        <v>0</v>
      </c>
      <c r="W196" s="46">
        <f>'فرع الزقازيق'!W52</f>
        <v>0</v>
      </c>
      <c r="X196" s="46">
        <f>'فرع الزقازيق'!X52</f>
        <v>0</v>
      </c>
      <c r="Y196" s="46">
        <f>'فرع الزقازيق'!Y52</f>
        <v>0</v>
      </c>
      <c r="Z196" s="46">
        <f>'فرع الزقازيق'!Z52</f>
        <v>0</v>
      </c>
      <c r="AA196" s="46">
        <f>'فرع الزقازيق'!AA52</f>
        <v>0</v>
      </c>
      <c r="AB196" s="46">
        <f>'فرع الزقازيق'!AB52</f>
        <v>0</v>
      </c>
      <c r="AC196" s="46">
        <f>'فرع الزقازيق'!AC52</f>
        <v>0</v>
      </c>
      <c r="AD196" s="46">
        <f>'فرع الزقازيق'!AD52</f>
        <v>0</v>
      </c>
      <c r="AE196" s="46">
        <f>'فرع الزقازيق'!AE52</f>
        <v>0</v>
      </c>
      <c r="AF196" s="46">
        <f>'فرع الزقازيق'!AF52</f>
        <v>0</v>
      </c>
      <c r="AG196" s="46">
        <f>'فرع الزقازيق'!AG52</f>
        <v>0</v>
      </c>
      <c r="AH196" s="46">
        <f>'فرع الزقازيق'!AH52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+'فرع الزقازيق'!A53</f>
        <v>0</v>
      </c>
      <c r="B200" s="44">
        <f>+'فرع الزقازيق'!B53</f>
        <v>0</v>
      </c>
      <c r="C200" s="45">
        <f>+'فرع الزقازيق'!C53</f>
        <v>0</v>
      </c>
      <c r="D200" s="45">
        <f>+'فرع الزقازيق'!D53</f>
        <v>0</v>
      </c>
      <c r="E200" s="45">
        <f>+'فرع الزقازيق'!E53</f>
        <v>0</v>
      </c>
      <c r="F200" s="46">
        <f>'فرع الزقازيق'!F53</f>
        <v>0</v>
      </c>
      <c r="G200" s="46">
        <f>'فرع الزقازيق'!G53</f>
        <v>0</v>
      </c>
      <c r="H200" s="46">
        <f>'فرع الزقازيق'!H53</f>
        <v>0</v>
      </c>
      <c r="I200" s="46">
        <f>'فرع الزقازيق'!I53</f>
        <v>0</v>
      </c>
      <c r="J200" s="46">
        <f>'فرع الزقازيق'!J53</f>
        <v>0</v>
      </c>
      <c r="K200" s="46">
        <f>'فرع الزقازيق'!K53</f>
        <v>0</v>
      </c>
      <c r="L200" s="46">
        <f>'فرع الزقازيق'!L53</f>
        <v>0</v>
      </c>
      <c r="M200" s="46">
        <f>'فرع الزقازيق'!M53</f>
        <v>0</v>
      </c>
      <c r="N200" s="46">
        <f>'فرع الزقازيق'!N53</f>
        <v>0</v>
      </c>
      <c r="O200" s="46">
        <f>'فرع الزقازيق'!O53</f>
        <v>0</v>
      </c>
      <c r="P200" s="46">
        <f>'فرع الزقازيق'!P53</f>
        <v>0</v>
      </c>
      <c r="Q200" s="46">
        <f>'فرع الزقازيق'!Q53</f>
        <v>0</v>
      </c>
      <c r="R200" s="47">
        <f>'فرع الزقازيق'!R53</f>
        <v>0</v>
      </c>
      <c r="S200" s="47">
        <f>'فرع الزقازيق'!S53</f>
        <v>0</v>
      </c>
      <c r="T200" s="46">
        <f>'فرع الزقازيق'!T53</f>
        <v>0</v>
      </c>
      <c r="U200" s="46">
        <f>'فرع الزقازيق'!U53</f>
        <v>0</v>
      </c>
      <c r="V200" s="46">
        <f>'فرع الزقازيق'!V53</f>
        <v>0</v>
      </c>
      <c r="W200" s="46">
        <f>'فرع الزقازيق'!W53</f>
        <v>0</v>
      </c>
      <c r="X200" s="46">
        <f>'فرع الزقازيق'!X53</f>
        <v>0</v>
      </c>
      <c r="Y200" s="46">
        <f>'فرع الزقازيق'!Y53</f>
        <v>0</v>
      </c>
      <c r="Z200" s="46">
        <f>'فرع الزقازيق'!Z53</f>
        <v>0</v>
      </c>
      <c r="AA200" s="46">
        <f>'فرع الزقازيق'!AA53</f>
        <v>0</v>
      </c>
      <c r="AB200" s="46">
        <f>'فرع الزقازيق'!AB53</f>
        <v>0</v>
      </c>
      <c r="AC200" s="46">
        <f>'فرع الزقازيق'!AC53</f>
        <v>0</v>
      </c>
      <c r="AD200" s="46">
        <f>'فرع الزقازيق'!AD53</f>
        <v>0</v>
      </c>
      <c r="AE200" s="46">
        <f>'فرع الزقازيق'!AE53</f>
        <v>0</v>
      </c>
      <c r="AF200" s="46">
        <f>'فرع الزقازيق'!AF53</f>
        <v>0</v>
      </c>
      <c r="AG200" s="46">
        <f>'فرع الزقازيق'!AG53</f>
        <v>0</v>
      </c>
      <c r="AH200" s="46">
        <f>'فرع الزقازيق'!AH53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+'فرع الزقازيق'!A54</f>
        <v>0</v>
      </c>
      <c r="B204" s="44">
        <f>+'فرع الزقازيق'!B54</f>
        <v>0</v>
      </c>
      <c r="C204" s="45">
        <f>+'فرع الزقازيق'!C54</f>
        <v>0</v>
      </c>
      <c r="D204" s="45">
        <f>+'فرع الزقازيق'!D54</f>
        <v>0</v>
      </c>
      <c r="E204" s="45">
        <f>+'فرع الزقازيق'!E54</f>
        <v>0</v>
      </c>
      <c r="F204" s="46">
        <f>'فرع الزقازيق'!F54</f>
        <v>0</v>
      </c>
      <c r="G204" s="46">
        <f>'فرع الزقازيق'!G54</f>
        <v>0</v>
      </c>
      <c r="H204" s="46">
        <f>'فرع الزقازيق'!H54</f>
        <v>0</v>
      </c>
      <c r="I204" s="46">
        <f>'فرع الزقازيق'!I54</f>
        <v>0</v>
      </c>
      <c r="J204" s="46">
        <f>'فرع الزقازيق'!J54</f>
        <v>0</v>
      </c>
      <c r="K204" s="46">
        <f>'فرع الزقازيق'!K54</f>
        <v>0</v>
      </c>
      <c r="L204" s="46">
        <f>'فرع الزقازيق'!L54</f>
        <v>0</v>
      </c>
      <c r="M204" s="46">
        <f>'فرع الزقازيق'!M54</f>
        <v>0</v>
      </c>
      <c r="N204" s="46">
        <f>'فرع الزقازيق'!N54</f>
        <v>0</v>
      </c>
      <c r="O204" s="46">
        <f>'فرع الزقازيق'!O54</f>
        <v>0</v>
      </c>
      <c r="P204" s="46">
        <f>'فرع الزقازيق'!P54</f>
        <v>0</v>
      </c>
      <c r="Q204" s="46">
        <f>'فرع الزقازيق'!Q54</f>
        <v>0</v>
      </c>
      <c r="R204" s="47">
        <f>'فرع الزقازيق'!R54</f>
        <v>0</v>
      </c>
      <c r="S204" s="47">
        <f>'فرع الزقازيق'!S54</f>
        <v>0</v>
      </c>
      <c r="T204" s="46">
        <f>'فرع الزقازيق'!T54</f>
        <v>0</v>
      </c>
      <c r="U204" s="46">
        <f>'فرع الزقازيق'!U54</f>
        <v>0</v>
      </c>
      <c r="V204" s="46">
        <f>'فرع الزقازيق'!V54</f>
        <v>0</v>
      </c>
      <c r="W204" s="46">
        <f>'فرع الزقازيق'!W54</f>
        <v>0</v>
      </c>
      <c r="X204" s="46">
        <f>'فرع الزقازيق'!X54</f>
        <v>0</v>
      </c>
      <c r="Y204" s="46">
        <f>'فرع الزقازيق'!Y54</f>
        <v>0</v>
      </c>
      <c r="Z204" s="46">
        <f>'فرع الزقازيق'!Z54</f>
        <v>0</v>
      </c>
      <c r="AA204" s="46">
        <f>'فرع الزقازيق'!AA54</f>
        <v>0</v>
      </c>
      <c r="AB204" s="46">
        <f>'فرع الزقازيق'!AB54</f>
        <v>0</v>
      </c>
      <c r="AC204" s="46">
        <f>'فرع الزقازيق'!AC54</f>
        <v>0</v>
      </c>
      <c r="AD204" s="46">
        <f>'فرع الزقازيق'!AD54</f>
        <v>0</v>
      </c>
      <c r="AE204" s="46">
        <f>'فرع الزقازيق'!AE54</f>
        <v>0</v>
      </c>
      <c r="AF204" s="46">
        <f>'فرع الزقازيق'!AF54</f>
        <v>0</v>
      </c>
      <c r="AG204" s="46">
        <f>'فرع الزقازيق'!AG54</f>
        <v>0</v>
      </c>
      <c r="AH204" s="46">
        <f>'فرع الزقازيق'!AH54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+'فرع الزقازيق'!A55</f>
        <v>0</v>
      </c>
      <c r="B208" s="44">
        <f>+'فرع الزقازيق'!B55</f>
        <v>0</v>
      </c>
      <c r="C208" s="45">
        <f>+'فرع الزقازيق'!C55</f>
        <v>0</v>
      </c>
      <c r="D208" s="45">
        <f>+'فرع الزقازيق'!D55</f>
        <v>0</v>
      </c>
      <c r="E208" s="45">
        <f>+'فرع الزقازيق'!E55</f>
        <v>0</v>
      </c>
      <c r="F208" s="46">
        <f>'فرع الزقازيق'!F55</f>
        <v>0</v>
      </c>
      <c r="G208" s="46">
        <f>'فرع الزقازيق'!G55</f>
        <v>0</v>
      </c>
      <c r="H208" s="46">
        <f>'فرع الزقازيق'!H55</f>
        <v>0</v>
      </c>
      <c r="I208" s="46">
        <f>'فرع الزقازيق'!I55</f>
        <v>0</v>
      </c>
      <c r="J208" s="46">
        <f>'فرع الزقازيق'!J55</f>
        <v>0</v>
      </c>
      <c r="K208" s="46">
        <f>'فرع الزقازيق'!K55</f>
        <v>0</v>
      </c>
      <c r="L208" s="46">
        <f>'فرع الزقازيق'!L55</f>
        <v>0</v>
      </c>
      <c r="M208" s="46">
        <f>'فرع الزقازيق'!M55</f>
        <v>0</v>
      </c>
      <c r="N208" s="46">
        <f>'فرع الزقازيق'!N55</f>
        <v>0</v>
      </c>
      <c r="O208" s="46">
        <f>'فرع الزقازيق'!O55</f>
        <v>0</v>
      </c>
      <c r="P208" s="46">
        <f>'فرع الزقازيق'!P55</f>
        <v>0</v>
      </c>
      <c r="Q208" s="46">
        <f>'فرع الزقازيق'!Q55</f>
        <v>0</v>
      </c>
      <c r="R208" s="47">
        <f>'فرع الزقازيق'!R55</f>
        <v>0</v>
      </c>
      <c r="S208" s="47">
        <f>'فرع الزقازيق'!S55</f>
        <v>0</v>
      </c>
      <c r="T208" s="46">
        <f>'فرع الزقازيق'!T55</f>
        <v>0</v>
      </c>
      <c r="U208" s="46">
        <f>'فرع الزقازيق'!U55</f>
        <v>0</v>
      </c>
      <c r="V208" s="46">
        <f>'فرع الزقازيق'!V55</f>
        <v>0</v>
      </c>
      <c r="W208" s="46">
        <f>'فرع الزقازيق'!W55</f>
        <v>0</v>
      </c>
      <c r="X208" s="46">
        <f>'فرع الزقازيق'!X55</f>
        <v>0</v>
      </c>
      <c r="Y208" s="46">
        <f>'فرع الزقازيق'!Y55</f>
        <v>0</v>
      </c>
      <c r="Z208" s="46">
        <f>'فرع الزقازيق'!Z55</f>
        <v>0</v>
      </c>
      <c r="AA208" s="46">
        <f>'فرع الزقازيق'!AA55</f>
        <v>0</v>
      </c>
      <c r="AB208" s="46">
        <f>'فرع الزقازيق'!AB55</f>
        <v>0</v>
      </c>
      <c r="AC208" s="46">
        <f>'فرع الزقازيق'!AC55</f>
        <v>0</v>
      </c>
      <c r="AD208" s="46">
        <f>'فرع الزقازيق'!AD55</f>
        <v>0</v>
      </c>
      <c r="AE208" s="46">
        <f>'فرع الزقازيق'!AE55</f>
        <v>0</v>
      </c>
      <c r="AF208" s="46">
        <f>'فرع الزقازيق'!AF55</f>
        <v>0</v>
      </c>
      <c r="AG208" s="46">
        <f>'فرع الزقازيق'!AG55</f>
        <v>0</v>
      </c>
      <c r="AH208" s="46">
        <f>'فرع الزقازيق'!AH55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+'فرع الزقازيق'!A56</f>
        <v>0</v>
      </c>
      <c r="B212" s="44">
        <f>+'فرع الزقازيق'!B56</f>
        <v>0</v>
      </c>
      <c r="C212" s="45">
        <f>+'فرع الزقازيق'!C56</f>
        <v>0</v>
      </c>
      <c r="D212" s="45">
        <f>+'فرع الزقازيق'!D56</f>
        <v>0</v>
      </c>
      <c r="E212" s="45">
        <f>+'فرع الزقازيق'!E56</f>
        <v>0</v>
      </c>
      <c r="F212" s="46">
        <f>'فرع الزقازيق'!F56</f>
        <v>0</v>
      </c>
      <c r="G212" s="46">
        <f>'فرع الزقازيق'!G56</f>
        <v>0</v>
      </c>
      <c r="H212" s="46">
        <f>'فرع الزقازيق'!H56</f>
        <v>0</v>
      </c>
      <c r="I212" s="46">
        <f>'فرع الزقازيق'!I56</f>
        <v>0</v>
      </c>
      <c r="J212" s="46">
        <f>'فرع الزقازيق'!J56</f>
        <v>0</v>
      </c>
      <c r="K212" s="46">
        <f>'فرع الزقازيق'!K56</f>
        <v>0</v>
      </c>
      <c r="L212" s="46">
        <f>'فرع الزقازيق'!L56</f>
        <v>0</v>
      </c>
      <c r="M212" s="46">
        <f>'فرع الزقازيق'!M56</f>
        <v>0</v>
      </c>
      <c r="N212" s="46">
        <f>'فرع الزقازيق'!N56</f>
        <v>0</v>
      </c>
      <c r="O212" s="46">
        <f>'فرع الزقازيق'!O56</f>
        <v>0</v>
      </c>
      <c r="P212" s="46">
        <f>'فرع الزقازيق'!P56</f>
        <v>0</v>
      </c>
      <c r="Q212" s="46">
        <f>'فرع الزقازيق'!Q56</f>
        <v>0</v>
      </c>
      <c r="R212" s="47">
        <f>'فرع الزقازيق'!R56</f>
        <v>0</v>
      </c>
      <c r="S212" s="47"/>
      <c r="T212" s="46">
        <f>'فرع الزقازيق'!T56</f>
        <v>0</v>
      </c>
      <c r="U212" s="46">
        <f>'فرع الزقازيق'!U56</f>
        <v>0</v>
      </c>
      <c r="V212" s="46">
        <f>'فرع الزقازيق'!V56</f>
        <v>0</v>
      </c>
      <c r="W212" s="46">
        <f>'فرع الزقازيق'!W56</f>
        <v>0</v>
      </c>
      <c r="X212" s="46">
        <f>'فرع الزقازيق'!X56</f>
        <v>0</v>
      </c>
      <c r="Y212" s="46">
        <f>'فرع الزقازيق'!Y56</f>
        <v>0</v>
      </c>
      <c r="Z212" s="46">
        <f>'فرع الزقازيق'!Z56</f>
        <v>0</v>
      </c>
      <c r="AA212" s="46">
        <f>'فرع الزقازيق'!AA56</f>
        <v>0</v>
      </c>
      <c r="AB212" s="46">
        <f>'فرع الزقازيق'!AB56</f>
        <v>0</v>
      </c>
      <c r="AC212" s="46">
        <f>'فرع الزقازيق'!AC56</f>
        <v>0</v>
      </c>
      <c r="AD212" s="46">
        <f>'فرع الزقازيق'!AD56</f>
        <v>0</v>
      </c>
      <c r="AE212" s="46">
        <f>'فرع الزقازيق'!AE56</f>
        <v>0</v>
      </c>
      <c r="AF212" s="46">
        <f>'فرع الزقازيق'!AF56</f>
        <v>0</v>
      </c>
      <c r="AG212" s="46">
        <f>'فرع الزقازيق'!AG56</f>
        <v>0</v>
      </c>
      <c r="AH212" s="46">
        <f>'فرع الزقازيق'!AH56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+'فرع الزقازيق'!A57</f>
        <v>0</v>
      </c>
      <c r="B216" s="44">
        <f>+'فرع الزقازيق'!B57</f>
        <v>0</v>
      </c>
      <c r="C216" s="45">
        <f>+'فرع الزقازيق'!C57</f>
        <v>0</v>
      </c>
      <c r="D216" s="45">
        <f>+'فرع الزقازيق'!D57</f>
        <v>0</v>
      </c>
      <c r="E216" s="45">
        <f>+'فرع الزقازيق'!E57</f>
        <v>0</v>
      </c>
      <c r="F216" s="46">
        <f>'فرع الزقازيق'!F57</f>
        <v>0</v>
      </c>
      <c r="G216" s="46">
        <f>'فرع الزقازيق'!G57</f>
        <v>0</v>
      </c>
      <c r="H216" s="46">
        <f>'فرع الزقازيق'!H57</f>
        <v>0</v>
      </c>
      <c r="I216" s="46">
        <f>'فرع الزقازيق'!I57</f>
        <v>0</v>
      </c>
      <c r="J216" s="46">
        <f>'فرع الزقازيق'!J57</f>
        <v>0</v>
      </c>
      <c r="K216" s="46">
        <f>'فرع الزقازيق'!K57</f>
        <v>0</v>
      </c>
      <c r="L216" s="46">
        <f>'فرع الزقازيق'!L57</f>
        <v>0</v>
      </c>
      <c r="M216" s="46">
        <f>'فرع الزقازيق'!M57</f>
        <v>0</v>
      </c>
      <c r="N216" s="46">
        <f>'فرع الزقازيق'!N57</f>
        <v>0</v>
      </c>
      <c r="O216" s="46">
        <f>'فرع الزقازيق'!O57</f>
        <v>0</v>
      </c>
      <c r="P216" s="46">
        <f>'فرع الزقازيق'!P57</f>
        <v>0</v>
      </c>
      <c r="Q216" s="46">
        <f>'فرع الزقازيق'!Q57</f>
        <v>0</v>
      </c>
      <c r="R216" s="47">
        <f>'فرع الزقازيق'!R57</f>
        <v>0</v>
      </c>
      <c r="S216" s="47">
        <f>'فرع الزقازيق'!S57</f>
        <v>0</v>
      </c>
      <c r="T216" s="46">
        <f>'فرع الزقازيق'!T57</f>
        <v>0</v>
      </c>
      <c r="U216" s="46">
        <f>'فرع الزقازيق'!U57</f>
        <v>0</v>
      </c>
      <c r="V216" s="46">
        <f>'فرع الزقازيق'!V57</f>
        <v>0</v>
      </c>
      <c r="W216" s="46">
        <f>'فرع الزقازيق'!W57</f>
        <v>0</v>
      </c>
      <c r="X216" s="46">
        <f>'فرع الزقازيق'!X57</f>
        <v>0</v>
      </c>
      <c r="Y216" s="46">
        <f>'فرع الزقازيق'!Y57</f>
        <v>0</v>
      </c>
      <c r="Z216" s="46">
        <f>'فرع الزقازيق'!Z57</f>
        <v>0</v>
      </c>
      <c r="AA216" s="46">
        <f>'فرع الزقازيق'!AA57</f>
        <v>0</v>
      </c>
      <c r="AB216" s="46">
        <f>'فرع الزقازيق'!AB57</f>
        <v>0</v>
      </c>
      <c r="AC216" s="46">
        <f>'فرع الزقازيق'!AC57</f>
        <v>0</v>
      </c>
      <c r="AD216" s="46">
        <f>'فرع الزقازيق'!AD57</f>
        <v>0</v>
      </c>
      <c r="AE216" s="46">
        <f>'فرع الزقازيق'!AE57</f>
        <v>0</v>
      </c>
      <c r="AF216" s="46">
        <f>'فرع الزقازيق'!AF57</f>
        <v>0</v>
      </c>
      <c r="AG216" s="46">
        <f>'فرع الزقازيق'!AG57</f>
        <v>0</v>
      </c>
      <c r="AH216" s="46">
        <f>'فرع الزقازيق'!AH57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+'فرع الزقازيق'!A58</f>
        <v>0</v>
      </c>
      <c r="B220" s="44">
        <f>+'فرع الزقازيق'!B58</f>
        <v>0</v>
      </c>
      <c r="C220" s="45">
        <f>+'فرع الزقازيق'!C58</f>
        <v>0</v>
      </c>
      <c r="D220" s="45">
        <f>+'فرع الزقازيق'!D58</f>
        <v>0</v>
      </c>
      <c r="E220" s="45">
        <f>+'فرع الزقازيق'!E58</f>
        <v>0</v>
      </c>
      <c r="F220" s="46">
        <f>'فرع الزقازيق'!F58</f>
        <v>0</v>
      </c>
      <c r="G220" s="46">
        <f>'فرع الزقازيق'!G58</f>
        <v>0</v>
      </c>
      <c r="H220" s="46">
        <f>'فرع الزقازيق'!H58</f>
        <v>0</v>
      </c>
      <c r="I220" s="46">
        <f>'فرع الزقازيق'!I58</f>
        <v>0</v>
      </c>
      <c r="J220" s="46">
        <f>'فرع الزقازيق'!J58</f>
        <v>0</v>
      </c>
      <c r="K220" s="46">
        <f>'فرع الزقازيق'!K58</f>
        <v>0</v>
      </c>
      <c r="L220" s="46">
        <f>'فرع الزقازيق'!L58</f>
        <v>0</v>
      </c>
      <c r="M220" s="46">
        <f>'فرع الزقازيق'!M58</f>
        <v>0</v>
      </c>
      <c r="N220" s="46">
        <f>'فرع الزقازيق'!N58</f>
        <v>0</v>
      </c>
      <c r="O220" s="46">
        <f>'فرع الزقازيق'!O58</f>
        <v>0</v>
      </c>
      <c r="P220" s="46">
        <f>'فرع الزقازيق'!P58</f>
        <v>0</v>
      </c>
      <c r="Q220" s="46">
        <f>'فرع الزقازيق'!Q58</f>
        <v>0</v>
      </c>
      <c r="R220" s="47">
        <f>'فرع الزقازيق'!R58</f>
        <v>0</v>
      </c>
      <c r="S220" s="47">
        <f>'فرع الزقازيق'!S58</f>
        <v>0</v>
      </c>
      <c r="T220" s="46">
        <f>'فرع الزقازيق'!T58</f>
        <v>0</v>
      </c>
      <c r="U220" s="46">
        <f>'فرع الزقازيق'!U58</f>
        <v>0</v>
      </c>
      <c r="V220" s="46">
        <f>'فرع الزقازيق'!V58</f>
        <v>0</v>
      </c>
      <c r="W220" s="46">
        <f>'فرع الزقازيق'!W58</f>
        <v>0</v>
      </c>
      <c r="X220" s="46">
        <f>'فرع الزقازيق'!X58</f>
        <v>0</v>
      </c>
      <c r="Y220" s="46">
        <f>'فرع الزقازيق'!Y58</f>
        <v>0</v>
      </c>
      <c r="Z220" s="46">
        <f>'فرع الزقازيق'!Z58</f>
        <v>0</v>
      </c>
      <c r="AA220" s="46">
        <f>'فرع الزقازيق'!AA58</f>
        <v>0</v>
      </c>
      <c r="AB220" s="46">
        <f>'فرع الزقازيق'!AB58</f>
        <v>0</v>
      </c>
      <c r="AC220" s="46">
        <f>'فرع الزقازيق'!AC58</f>
        <v>0</v>
      </c>
      <c r="AD220" s="46">
        <f>'فرع الزقازيق'!AD58</f>
        <v>0</v>
      </c>
      <c r="AE220" s="46">
        <f>'فرع الزقازيق'!AE58</f>
        <v>0</v>
      </c>
      <c r="AF220" s="46">
        <f>'فرع الزقازيق'!AF58</f>
        <v>0</v>
      </c>
      <c r="AG220" s="46">
        <f>'فرع الزقازيق'!AG58</f>
        <v>0</v>
      </c>
      <c r="AH220" s="46">
        <f>'فرع الزقازيق'!AH58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+'فرع الزقازيق'!A59</f>
        <v>0</v>
      </c>
      <c r="B224" s="44">
        <f>+'فرع الزقازيق'!B59</f>
        <v>0</v>
      </c>
      <c r="C224" s="45">
        <f>+'فرع الزقازيق'!C59</f>
        <v>0</v>
      </c>
      <c r="D224" s="45">
        <f>+'فرع الزقازيق'!D59</f>
        <v>0</v>
      </c>
      <c r="E224" s="45">
        <f>+'فرع الزقازيق'!E59</f>
        <v>0</v>
      </c>
      <c r="F224" s="46">
        <f>'فرع الزقازيق'!F59</f>
        <v>0</v>
      </c>
      <c r="G224" s="46">
        <f>'فرع الزقازيق'!G59</f>
        <v>0</v>
      </c>
      <c r="H224" s="46">
        <f>'فرع الزقازيق'!H59</f>
        <v>0</v>
      </c>
      <c r="I224" s="46">
        <f>'فرع الزقازيق'!I59</f>
        <v>0</v>
      </c>
      <c r="J224" s="46">
        <f>'فرع الزقازيق'!J59</f>
        <v>0</v>
      </c>
      <c r="K224" s="46">
        <f>'فرع الزقازيق'!K59</f>
        <v>0</v>
      </c>
      <c r="L224" s="46">
        <f>'فرع الزقازيق'!L59</f>
        <v>0</v>
      </c>
      <c r="M224" s="46">
        <f>'فرع الزقازيق'!M59</f>
        <v>0</v>
      </c>
      <c r="N224" s="46">
        <f>'فرع الزقازيق'!N59</f>
        <v>0</v>
      </c>
      <c r="O224" s="46">
        <f>'فرع الزقازيق'!O59</f>
        <v>0</v>
      </c>
      <c r="P224" s="46">
        <f>'فرع الزقازيق'!P59</f>
        <v>0</v>
      </c>
      <c r="Q224" s="46">
        <f>'فرع الزقازيق'!Q59</f>
        <v>0</v>
      </c>
      <c r="R224" s="47">
        <f>'فرع الزقازيق'!R59</f>
        <v>0</v>
      </c>
      <c r="S224" s="47"/>
      <c r="T224" s="46">
        <f>'فرع الزقازيق'!T59</f>
        <v>0</v>
      </c>
      <c r="U224" s="46">
        <f>'فرع الزقازيق'!U59</f>
        <v>0</v>
      </c>
      <c r="V224" s="46">
        <f>'فرع الزقازيق'!V59</f>
        <v>0</v>
      </c>
      <c r="W224" s="46">
        <f>'فرع الزقازيق'!W59</f>
        <v>0</v>
      </c>
      <c r="X224" s="46">
        <f>'فرع الزقازيق'!X59</f>
        <v>0</v>
      </c>
      <c r="Y224" s="46">
        <f>'فرع الزقازيق'!Y59</f>
        <v>0</v>
      </c>
      <c r="Z224" s="46">
        <f>'فرع الزقازيق'!Z59</f>
        <v>0</v>
      </c>
      <c r="AA224" s="46">
        <f>'فرع الزقازيق'!AA59</f>
        <v>0</v>
      </c>
      <c r="AB224" s="46">
        <f>'فرع الزقازيق'!AB59</f>
        <v>0</v>
      </c>
      <c r="AC224" s="46">
        <f>'فرع الزقازيق'!AC59</f>
        <v>0</v>
      </c>
      <c r="AD224" s="46">
        <f>'فرع الزقازيق'!AD59</f>
        <v>0</v>
      </c>
      <c r="AE224" s="46">
        <f>'فرع الزقازيق'!AE59</f>
        <v>0</v>
      </c>
      <c r="AF224" s="46">
        <f>'فرع الزقازيق'!AF59</f>
        <v>0</v>
      </c>
      <c r="AG224" s="46">
        <f>'فرع الزقازيق'!AG59</f>
        <v>0</v>
      </c>
      <c r="AH224" s="46">
        <f>'فرع الزقازيق'!AH59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+'فرع الزقازيق'!A60</f>
        <v>0</v>
      </c>
      <c r="B228" s="44">
        <f>+'فرع الزقازيق'!B60</f>
        <v>0</v>
      </c>
      <c r="C228" s="45">
        <f>+'فرع الزقازيق'!C60</f>
        <v>0</v>
      </c>
      <c r="D228" s="45">
        <f>+'فرع الزقازيق'!D60</f>
        <v>0</v>
      </c>
      <c r="E228" s="45">
        <f>+'فرع الزقازيق'!E60</f>
        <v>0</v>
      </c>
      <c r="F228" s="46">
        <f>'فرع الزقازيق'!F60</f>
        <v>0</v>
      </c>
      <c r="G228" s="46">
        <f>'فرع الزقازيق'!G60</f>
        <v>0</v>
      </c>
      <c r="H228" s="46">
        <f>'فرع الزقازيق'!H60</f>
        <v>0</v>
      </c>
      <c r="I228" s="46">
        <f>'فرع الزقازيق'!I60</f>
        <v>0</v>
      </c>
      <c r="J228" s="46">
        <f>'فرع الزقازيق'!J60</f>
        <v>0</v>
      </c>
      <c r="K228" s="46">
        <f>'فرع الزقازيق'!K60</f>
        <v>0</v>
      </c>
      <c r="L228" s="46">
        <f>'فرع الزقازيق'!L60</f>
        <v>0</v>
      </c>
      <c r="M228" s="46">
        <f>'فرع الزقازيق'!M60</f>
        <v>0</v>
      </c>
      <c r="N228" s="46">
        <f>'فرع الزقازيق'!N60</f>
        <v>0</v>
      </c>
      <c r="O228" s="46">
        <f>'فرع الزقازيق'!O60</f>
        <v>0</v>
      </c>
      <c r="P228" s="46">
        <f>'فرع الزقازيق'!P60</f>
        <v>0</v>
      </c>
      <c r="Q228" s="46">
        <f>'فرع الزقازيق'!Q60</f>
        <v>0</v>
      </c>
      <c r="R228" s="47">
        <f>'فرع الزقازيق'!R60</f>
        <v>0</v>
      </c>
      <c r="S228" s="47">
        <f>'فرع الزقازيق'!S60</f>
        <v>0</v>
      </c>
      <c r="T228" s="46">
        <f>'فرع الزقازيق'!T60</f>
        <v>0</v>
      </c>
      <c r="U228" s="46">
        <f>'فرع الزقازيق'!U60</f>
        <v>0</v>
      </c>
      <c r="V228" s="46">
        <f>'فرع الزقازيق'!V60</f>
        <v>0</v>
      </c>
      <c r="W228" s="46">
        <f>'فرع الزقازيق'!W60</f>
        <v>0</v>
      </c>
      <c r="X228" s="46">
        <f>'فرع الزقازيق'!X60</f>
        <v>0</v>
      </c>
      <c r="Y228" s="46">
        <f>'فرع الزقازيق'!Y60</f>
        <v>0</v>
      </c>
      <c r="Z228" s="46">
        <f>'فرع الزقازيق'!Z60</f>
        <v>0</v>
      </c>
      <c r="AA228" s="46">
        <f>'فرع الزقازيق'!AA60</f>
        <v>0</v>
      </c>
      <c r="AB228" s="46">
        <f>'فرع الزقازيق'!AB60</f>
        <v>0</v>
      </c>
      <c r="AC228" s="46">
        <f>'فرع الزقازيق'!AC60</f>
        <v>0</v>
      </c>
      <c r="AD228" s="46">
        <f>'فرع الزقازيق'!AD60</f>
        <v>0</v>
      </c>
      <c r="AE228" s="46">
        <f>'فرع الزقازيق'!AE60</f>
        <v>0</v>
      </c>
      <c r="AF228" s="46">
        <f>'فرع الزقازيق'!AF60</f>
        <v>0</v>
      </c>
      <c r="AG228" s="46">
        <f>'فرع الزقازيق'!AG60</f>
        <v>0</v>
      </c>
      <c r="AH228" s="46">
        <f>'فرع الزقازيق'!AH60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+'فرع الزقازيق'!A61</f>
        <v>0</v>
      </c>
      <c r="B232" s="44">
        <f>+'فرع الزقازيق'!B61</f>
        <v>0</v>
      </c>
      <c r="C232" s="45">
        <f>+'فرع الزقازيق'!C61</f>
        <v>0</v>
      </c>
      <c r="D232" s="45">
        <f>+'فرع الزقازيق'!D61</f>
        <v>0</v>
      </c>
      <c r="E232" s="45">
        <f>+'فرع الزقازيق'!E61</f>
        <v>0</v>
      </c>
      <c r="F232" s="46">
        <f>'فرع الزقازيق'!F61</f>
        <v>0</v>
      </c>
      <c r="G232" s="46">
        <f>'فرع الزقازيق'!G61</f>
        <v>0</v>
      </c>
      <c r="H232" s="46">
        <f>'فرع الزقازيق'!H61</f>
        <v>0</v>
      </c>
      <c r="I232" s="46">
        <f>'فرع الزقازيق'!I61</f>
        <v>0</v>
      </c>
      <c r="J232" s="46">
        <f>'فرع الزقازيق'!J61</f>
        <v>0</v>
      </c>
      <c r="K232" s="46">
        <f>'فرع الزقازيق'!K61</f>
        <v>0</v>
      </c>
      <c r="L232" s="46">
        <f>'فرع الزقازيق'!L61</f>
        <v>0</v>
      </c>
      <c r="M232" s="46">
        <f>'فرع الزقازيق'!M61</f>
        <v>0</v>
      </c>
      <c r="N232" s="46">
        <f>'فرع الزقازيق'!N61</f>
        <v>0</v>
      </c>
      <c r="O232" s="46">
        <f>'فرع الزقازيق'!O61</f>
        <v>0</v>
      </c>
      <c r="P232" s="46">
        <f>'فرع الزقازيق'!P61</f>
        <v>0</v>
      </c>
      <c r="Q232" s="46">
        <f>'فرع الزقازيق'!Q61</f>
        <v>0</v>
      </c>
      <c r="R232" s="47">
        <f>'فرع الزقازيق'!R61</f>
        <v>0</v>
      </c>
      <c r="S232" s="47">
        <f>'فرع الزقازيق'!S61</f>
        <v>0</v>
      </c>
      <c r="T232" s="46">
        <f>'فرع الزقازيق'!T61</f>
        <v>0</v>
      </c>
      <c r="U232" s="46">
        <f>'فرع الزقازيق'!U61</f>
        <v>0</v>
      </c>
      <c r="V232" s="46">
        <f>'فرع الزقازيق'!V61</f>
        <v>0</v>
      </c>
      <c r="W232" s="46">
        <f>'فرع الزقازيق'!W61</f>
        <v>0</v>
      </c>
      <c r="X232" s="46">
        <f>'فرع الزقازيق'!X61</f>
        <v>0</v>
      </c>
      <c r="Y232" s="46">
        <f>'فرع الزقازيق'!Y61</f>
        <v>0</v>
      </c>
      <c r="Z232" s="46">
        <f>'فرع الزقازيق'!Z61</f>
        <v>0</v>
      </c>
      <c r="AA232" s="46">
        <f>'فرع الزقازيق'!AA61</f>
        <v>0</v>
      </c>
      <c r="AB232" s="46">
        <f>'فرع الزقازيق'!AB61</f>
        <v>0</v>
      </c>
      <c r="AC232" s="46">
        <f>'فرع الزقازيق'!AC61</f>
        <v>0</v>
      </c>
      <c r="AD232" s="46">
        <f>'فرع الزقازيق'!AD61</f>
        <v>0</v>
      </c>
      <c r="AE232" s="46">
        <f>'فرع الزقازيق'!AE61</f>
        <v>0</v>
      </c>
      <c r="AF232" s="46">
        <f>'فرع الزقازيق'!AF61</f>
        <v>0</v>
      </c>
      <c r="AG232" s="46">
        <f>'فرع الزقازيق'!AG61</f>
        <v>0</v>
      </c>
      <c r="AH232" s="46">
        <f>'فرع الزقازيق'!AH61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+'فرع الزقازيق'!A62</f>
        <v>0</v>
      </c>
      <c r="B236" s="44">
        <f>+'فرع الزقازيق'!B62</f>
        <v>0</v>
      </c>
      <c r="C236" s="45">
        <f>+'فرع الزقازيق'!C62</f>
        <v>0</v>
      </c>
      <c r="D236" s="45">
        <f>+'فرع الزقازيق'!D62</f>
        <v>0</v>
      </c>
      <c r="E236" s="45">
        <f>+'فرع الزقازيق'!E62</f>
        <v>0</v>
      </c>
      <c r="F236" s="46">
        <f>'فرع الزقازيق'!F62</f>
        <v>0</v>
      </c>
      <c r="G236" s="46">
        <f>'فرع الزقازيق'!G62</f>
        <v>0</v>
      </c>
      <c r="H236" s="46">
        <f>'فرع الزقازيق'!H62</f>
        <v>0</v>
      </c>
      <c r="I236" s="46">
        <f>'فرع الزقازيق'!I62</f>
        <v>0</v>
      </c>
      <c r="J236" s="46">
        <f>'فرع الزقازيق'!J62</f>
        <v>0</v>
      </c>
      <c r="K236" s="46">
        <f>'فرع الزقازيق'!K62</f>
        <v>0</v>
      </c>
      <c r="L236" s="46">
        <f>'فرع الزقازيق'!L62</f>
        <v>0</v>
      </c>
      <c r="M236" s="46">
        <f>'فرع الزقازيق'!M62</f>
        <v>0</v>
      </c>
      <c r="N236" s="46">
        <f>'فرع الزقازيق'!N62</f>
        <v>0</v>
      </c>
      <c r="O236" s="46">
        <f>'فرع الزقازيق'!O62</f>
        <v>0</v>
      </c>
      <c r="P236" s="46">
        <f>'فرع الزقازيق'!P62</f>
        <v>0</v>
      </c>
      <c r="Q236" s="46">
        <f>'فرع الزقازيق'!Q62</f>
        <v>0</v>
      </c>
      <c r="R236" s="47">
        <f>'فرع الزقازيق'!R62</f>
        <v>0</v>
      </c>
      <c r="S236" s="47">
        <f>'فرع الزقازيق'!S62</f>
        <v>0</v>
      </c>
      <c r="T236" s="46">
        <f>'فرع الزقازيق'!T62</f>
        <v>0</v>
      </c>
      <c r="U236" s="46">
        <f>'فرع الزقازيق'!U62</f>
        <v>0</v>
      </c>
      <c r="V236" s="46">
        <f>'فرع الزقازيق'!V62</f>
        <v>0</v>
      </c>
      <c r="W236" s="46">
        <f>'فرع الزقازيق'!W62</f>
        <v>0</v>
      </c>
      <c r="X236" s="46">
        <f>'فرع الزقازيق'!X62</f>
        <v>0</v>
      </c>
      <c r="Y236" s="46">
        <f>'فرع الزقازيق'!Y62</f>
        <v>0</v>
      </c>
      <c r="Z236" s="46">
        <f>'فرع الزقازيق'!Z62</f>
        <v>0</v>
      </c>
      <c r="AA236" s="46">
        <f>'فرع الزقازيق'!AA62</f>
        <v>0</v>
      </c>
      <c r="AB236" s="46">
        <f>'فرع الزقازيق'!AB62</f>
        <v>0</v>
      </c>
      <c r="AC236" s="46">
        <f>'فرع الزقازيق'!AC62</f>
        <v>0</v>
      </c>
      <c r="AD236" s="46">
        <f>'فرع الزقازيق'!AD62</f>
        <v>0</v>
      </c>
      <c r="AE236" s="46">
        <f>'فرع الزقازيق'!AE62</f>
        <v>0</v>
      </c>
      <c r="AF236" s="46">
        <f>'فرع الزقازيق'!AF62</f>
        <v>0</v>
      </c>
      <c r="AG236" s="46">
        <f>'فرع الزقازيق'!AG62</f>
        <v>0</v>
      </c>
      <c r="AH236" s="46">
        <f>'فرع الزقازيق'!AH62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+'فرع الزقازيق'!A63</f>
        <v>0</v>
      </c>
      <c r="B240" s="44">
        <f>+'فرع الزقازيق'!B63</f>
        <v>0</v>
      </c>
      <c r="C240" s="45">
        <f>+'فرع الزقازيق'!C63</f>
        <v>0</v>
      </c>
      <c r="D240" s="45">
        <f>+'فرع الزقازيق'!D63</f>
        <v>0</v>
      </c>
      <c r="E240" s="45">
        <f>+'فرع الزقازيق'!E63</f>
        <v>0</v>
      </c>
      <c r="F240" s="46">
        <f>'فرع الزقازيق'!F63</f>
        <v>0</v>
      </c>
      <c r="G240" s="46">
        <f>'فرع الزقازيق'!G63</f>
        <v>0</v>
      </c>
      <c r="H240" s="46">
        <f>'فرع الزقازيق'!H63</f>
        <v>0</v>
      </c>
      <c r="I240" s="46">
        <f>'فرع الزقازيق'!I63</f>
        <v>0</v>
      </c>
      <c r="J240" s="46">
        <f>'فرع الزقازيق'!J63</f>
        <v>0</v>
      </c>
      <c r="K240" s="46">
        <f>'فرع الزقازيق'!K63</f>
        <v>0</v>
      </c>
      <c r="L240" s="46">
        <f>'فرع الزقازيق'!L63</f>
        <v>0</v>
      </c>
      <c r="M240" s="46">
        <f>'فرع الزقازيق'!M63</f>
        <v>0</v>
      </c>
      <c r="N240" s="46">
        <f>'فرع الزقازيق'!N63</f>
        <v>0</v>
      </c>
      <c r="O240" s="46">
        <f>'فرع الزقازيق'!O63</f>
        <v>0</v>
      </c>
      <c r="P240" s="46">
        <f>'فرع الزقازيق'!P63</f>
        <v>0</v>
      </c>
      <c r="Q240" s="46">
        <f>'فرع الزقازيق'!Q63</f>
        <v>0</v>
      </c>
      <c r="R240" s="47">
        <f>'فرع الزقازيق'!R63</f>
        <v>0</v>
      </c>
      <c r="S240" s="47">
        <f>'فرع الزقازيق'!S63</f>
        <v>0</v>
      </c>
      <c r="T240" s="46">
        <f>'فرع الزقازيق'!T63</f>
        <v>0</v>
      </c>
      <c r="U240" s="46">
        <f>'فرع الزقازيق'!U63</f>
        <v>0</v>
      </c>
      <c r="V240" s="46">
        <f>'فرع الزقازيق'!V63</f>
        <v>0</v>
      </c>
      <c r="W240" s="46">
        <f>'فرع الزقازيق'!W63</f>
        <v>0</v>
      </c>
      <c r="X240" s="46">
        <f>'فرع الزقازيق'!X63</f>
        <v>0</v>
      </c>
      <c r="Y240" s="46">
        <f>'فرع الزقازيق'!Y63</f>
        <v>0</v>
      </c>
      <c r="Z240" s="46">
        <f>'فرع الزقازيق'!Z63</f>
        <v>0</v>
      </c>
      <c r="AA240" s="46">
        <f>'فرع الزقازيق'!AA63</f>
        <v>0</v>
      </c>
      <c r="AB240" s="46">
        <f>'فرع الزقازيق'!AB63</f>
        <v>0</v>
      </c>
      <c r="AC240" s="46">
        <f>'فرع الزقازيق'!AC63</f>
        <v>0</v>
      </c>
      <c r="AD240" s="46">
        <f>'فرع الزقازيق'!AD63</f>
        <v>0</v>
      </c>
      <c r="AE240" s="46">
        <f>'فرع الزقازيق'!AE63</f>
        <v>0</v>
      </c>
      <c r="AF240" s="46">
        <f>'فرع الزقازيق'!AF63</f>
        <v>0</v>
      </c>
      <c r="AG240" s="46">
        <f>'فرع الزقازيق'!AG63</f>
        <v>0</v>
      </c>
      <c r="AH240" s="46">
        <f>'فرع الزقازيق'!AH63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+'فرع الزقازيق'!A64</f>
        <v>0</v>
      </c>
      <c r="B244" s="44">
        <f>+'فرع الزقازيق'!B64</f>
        <v>0</v>
      </c>
      <c r="C244" s="45">
        <f>+'فرع الزقازيق'!C64</f>
        <v>0</v>
      </c>
      <c r="D244" s="45">
        <f>+'فرع الزقازيق'!D64</f>
        <v>0</v>
      </c>
      <c r="E244" s="45">
        <f>+'فرع الزقازيق'!E64</f>
        <v>0</v>
      </c>
      <c r="F244" s="46">
        <f>'فرع الزقازيق'!F64</f>
        <v>0</v>
      </c>
      <c r="G244" s="46">
        <f>'فرع الزقازيق'!G64</f>
        <v>0</v>
      </c>
      <c r="H244" s="46">
        <f>'فرع الزقازيق'!H64</f>
        <v>0</v>
      </c>
      <c r="I244" s="46">
        <f>'فرع الزقازيق'!I64</f>
        <v>0</v>
      </c>
      <c r="J244" s="46">
        <f>'فرع الزقازيق'!J64</f>
        <v>0</v>
      </c>
      <c r="K244" s="46">
        <f>'فرع الزقازيق'!K64</f>
        <v>0</v>
      </c>
      <c r="L244" s="46">
        <f>'فرع الزقازيق'!L64</f>
        <v>0</v>
      </c>
      <c r="M244" s="46">
        <f>'فرع الزقازيق'!M64</f>
        <v>0</v>
      </c>
      <c r="N244" s="46">
        <f>'فرع الزقازيق'!N64</f>
        <v>0</v>
      </c>
      <c r="O244" s="46">
        <f>'فرع الزقازيق'!O64</f>
        <v>0</v>
      </c>
      <c r="P244" s="46">
        <f>'فرع الزقازيق'!P64</f>
        <v>0</v>
      </c>
      <c r="Q244" s="46">
        <f>'فرع الزقازيق'!Q64</f>
        <v>0</v>
      </c>
      <c r="R244" s="47">
        <f>'فرع الزقازيق'!R64</f>
        <v>0</v>
      </c>
      <c r="S244" s="47">
        <f>'فرع الزقازيق'!S64</f>
        <v>0</v>
      </c>
      <c r="T244" s="46">
        <f>'فرع الزقازيق'!T64</f>
        <v>0</v>
      </c>
      <c r="U244" s="46">
        <f>'فرع الزقازيق'!U64</f>
        <v>0</v>
      </c>
      <c r="V244" s="46">
        <f>'فرع الزقازيق'!V64</f>
        <v>0</v>
      </c>
      <c r="W244" s="46">
        <f>'فرع الزقازيق'!W64</f>
        <v>0</v>
      </c>
      <c r="X244" s="46">
        <f>'فرع الزقازيق'!X64</f>
        <v>0</v>
      </c>
      <c r="Y244" s="46">
        <f>'فرع الزقازيق'!Y64</f>
        <v>0</v>
      </c>
      <c r="Z244" s="46">
        <f>'فرع الزقازيق'!Z64</f>
        <v>0</v>
      </c>
      <c r="AA244" s="46">
        <f>'فرع الزقازيق'!AA64</f>
        <v>0</v>
      </c>
      <c r="AB244" s="46">
        <f>'فرع الزقازيق'!AB64</f>
        <v>0</v>
      </c>
      <c r="AC244" s="46">
        <f>'فرع الزقازيق'!AC64</f>
        <v>0</v>
      </c>
      <c r="AD244" s="46">
        <f>'فرع الزقازيق'!AD64</f>
        <v>0</v>
      </c>
      <c r="AE244" s="46">
        <f>'فرع الزقازيق'!AE64</f>
        <v>0</v>
      </c>
      <c r="AF244" s="46">
        <f>'فرع الزقازيق'!AF64</f>
        <v>0</v>
      </c>
      <c r="AG244" s="46">
        <f>'فرع الزقازيق'!AG64</f>
        <v>0</v>
      </c>
      <c r="AH244" s="46">
        <f>'فرع الزقازيق'!AH64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+'فرع الزقازيق'!A65</f>
        <v>0</v>
      </c>
      <c r="B248" s="44">
        <f>+'فرع الزقازيق'!B65</f>
        <v>0</v>
      </c>
      <c r="C248" s="45">
        <f>+'فرع الزقازيق'!C65</f>
        <v>0</v>
      </c>
      <c r="D248" s="45">
        <f>+'فرع الزقازيق'!D65</f>
        <v>0</v>
      </c>
      <c r="E248" s="45">
        <f>+'فرع الزقازيق'!E65</f>
        <v>0</v>
      </c>
      <c r="F248" s="46">
        <f>'فرع الزقازيق'!F65</f>
        <v>0</v>
      </c>
      <c r="G248" s="46">
        <f>'فرع الزقازيق'!G65</f>
        <v>0</v>
      </c>
      <c r="H248" s="46">
        <f>'فرع الزقازيق'!H65</f>
        <v>0</v>
      </c>
      <c r="I248" s="46">
        <f>'فرع الزقازيق'!I65</f>
        <v>0</v>
      </c>
      <c r="J248" s="46">
        <f>'فرع الزقازيق'!J65</f>
        <v>0</v>
      </c>
      <c r="K248" s="46">
        <f>'فرع الزقازيق'!K65</f>
        <v>0</v>
      </c>
      <c r="L248" s="46">
        <f>'فرع الزقازيق'!L65</f>
        <v>0</v>
      </c>
      <c r="M248" s="46">
        <f>'فرع الزقازيق'!M65</f>
        <v>0</v>
      </c>
      <c r="N248" s="46">
        <f>'فرع الزقازيق'!N65</f>
        <v>0</v>
      </c>
      <c r="O248" s="46">
        <f>'فرع الزقازيق'!O65</f>
        <v>0</v>
      </c>
      <c r="P248" s="46">
        <f>'فرع الزقازيق'!P65</f>
        <v>0</v>
      </c>
      <c r="Q248" s="46">
        <f>'فرع الزقازيق'!Q65</f>
        <v>0</v>
      </c>
      <c r="R248" s="47">
        <f>'فرع الزقازيق'!R65</f>
        <v>0</v>
      </c>
      <c r="S248" s="47">
        <f>'فرع الزقازيق'!S65</f>
        <v>0</v>
      </c>
      <c r="T248" s="46">
        <f>'فرع الزقازيق'!T65</f>
        <v>0</v>
      </c>
      <c r="U248" s="46">
        <f>'فرع الزقازيق'!U65</f>
        <v>0</v>
      </c>
      <c r="V248" s="46">
        <f>'فرع الزقازيق'!V65</f>
        <v>0</v>
      </c>
      <c r="W248" s="46">
        <f>'فرع الزقازيق'!W65</f>
        <v>0</v>
      </c>
      <c r="X248" s="46">
        <f>'فرع الزقازيق'!X65</f>
        <v>0</v>
      </c>
      <c r="Y248" s="46">
        <f>'فرع الزقازيق'!Y65</f>
        <v>0</v>
      </c>
      <c r="Z248" s="46">
        <f>'فرع الزقازيق'!Z65</f>
        <v>0</v>
      </c>
      <c r="AA248" s="46">
        <f>'فرع الزقازيق'!AA65</f>
        <v>0</v>
      </c>
      <c r="AB248" s="46">
        <f>'فرع الزقازيق'!AB65</f>
        <v>0</v>
      </c>
      <c r="AC248" s="46">
        <f>'فرع الزقازيق'!AC65</f>
        <v>0</v>
      </c>
      <c r="AD248" s="46">
        <f>'فرع الزقازيق'!AD65</f>
        <v>0</v>
      </c>
      <c r="AE248" s="46">
        <f>'فرع الزقازيق'!AE65</f>
        <v>0</v>
      </c>
      <c r="AF248" s="46">
        <f>'فرع الزقازيق'!AF65</f>
        <v>0</v>
      </c>
      <c r="AG248" s="46">
        <f>'فرع الزقازيق'!AG65</f>
        <v>0</v>
      </c>
      <c r="AH248" s="46">
        <f>'فرع الزقازيق'!AH65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+'فرع الزقازيق'!A66</f>
        <v>0</v>
      </c>
      <c r="B252" s="44">
        <f>+'فرع الزقازيق'!B66</f>
        <v>0</v>
      </c>
      <c r="C252" s="45">
        <f>+'فرع الزقازيق'!C66</f>
        <v>0</v>
      </c>
      <c r="D252" s="45">
        <f>+'فرع الزقازيق'!D66</f>
        <v>0</v>
      </c>
      <c r="E252" s="45">
        <f>+'فرع الزقازيق'!E66</f>
        <v>0</v>
      </c>
      <c r="F252" s="46">
        <f>'فرع الزقازيق'!F66</f>
        <v>0</v>
      </c>
      <c r="G252" s="46">
        <f>'فرع الزقازيق'!G66</f>
        <v>0</v>
      </c>
      <c r="H252" s="46">
        <f>'فرع الزقازيق'!H66</f>
        <v>0</v>
      </c>
      <c r="I252" s="46">
        <f>'فرع الزقازيق'!I66</f>
        <v>0</v>
      </c>
      <c r="J252" s="46">
        <f>'فرع الزقازيق'!J66</f>
        <v>0</v>
      </c>
      <c r="K252" s="46">
        <f>'فرع الزقازيق'!K66</f>
        <v>0</v>
      </c>
      <c r="L252" s="46">
        <f>'فرع الزقازيق'!L66</f>
        <v>0</v>
      </c>
      <c r="M252" s="46">
        <f>'فرع الزقازيق'!M66</f>
        <v>0</v>
      </c>
      <c r="N252" s="46">
        <f>'فرع الزقازيق'!N66</f>
        <v>0</v>
      </c>
      <c r="O252" s="46">
        <f>'فرع الزقازيق'!O66</f>
        <v>0</v>
      </c>
      <c r="P252" s="46">
        <f>'فرع الزقازيق'!P66</f>
        <v>0</v>
      </c>
      <c r="Q252" s="46">
        <f>'فرع الزقازيق'!Q66</f>
        <v>0</v>
      </c>
      <c r="R252" s="47">
        <f>'فرع الزقازيق'!R66</f>
        <v>0</v>
      </c>
      <c r="S252" s="47">
        <f>'فرع الزقازيق'!S66</f>
        <v>0</v>
      </c>
      <c r="T252" s="46">
        <f>'فرع الزقازيق'!T66</f>
        <v>0</v>
      </c>
      <c r="U252" s="46">
        <f>'فرع الزقازيق'!U66</f>
        <v>0</v>
      </c>
      <c r="V252" s="46">
        <f>'فرع الزقازيق'!V66</f>
        <v>0</v>
      </c>
      <c r="W252" s="46">
        <f>'فرع الزقازيق'!W66</f>
        <v>0</v>
      </c>
      <c r="X252" s="46">
        <f>'فرع الزقازيق'!X66</f>
        <v>0</v>
      </c>
      <c r="Y252" s="46">
        <f>'فرع الزقازيق'!Y66</f>
        <v>0</v>
      </c>
      <c r="Z252" s="46">
        <f>'فرع الزقازيق'!Z66</f>
        <v>0</v>
      </c>
      <c r="AA252" s="46">
        <f>'فرع الزقازيق'!AA66</f>
        <v>0</v>
      </c>
      <c r="AB252" s="46">
        <f>'فرع الزقازيق'!AB66</f>
        <v>0</v>
      </c>
      <c r="AC252" s="46">
        <f>'فرع الزقازيق'!AC66</f>
        <v>0</v>
      </c>
      <c r="AD252" s="46">
        <f>'فرع الزقازيق'!AD66</f>
        <v>0</v>
      </c>
      <c r="AE252" s="46">
        <f>'فرع الزقازيق'!AE66</f>
        <v>0</v>
      </c>
      <c r="AF252" s="46">
        <f>'فرع الزقازيق'!AF66</f>
        <v>0</v>
      </c>
      <c r="AG252" s="46">
        <f>'فرع الزقازيق'!AG66</f>
        <v>0</v>
      </c>
      <c r="AH252" s="46">
        <f>'فرع الزقازيق'!AH66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+'فرع الزقازيق'!A67</f>
        <v>0</v>
      </c>
      <c r="B256" s="44">
        <f>+'فرع الزقازيق'!B67</f>
        <v>0</v>
      </c>
      <c r="C256" s="45">
        <f>+'فرع الزقازيق'!C67</f>
        <v>0</v>
      </c>
      <c r="D256" s="45">
        <f>+'فرع الزقازيق'!D67</f>
        <v>0</v>
      </c>
      <c r="E256" s="45">
        <f>+'فرع الزقازيق'!E67</f>
        <v>0</v>
      </c>
      <c r="F256" s="46">
        <f>'فرع الزقازيق'!F67</f>
        <v>0</v>
      </c>
      <c r="G256" s="46">
        <f>'فرع الزقازيق'!G67</f>
        <v>0</v>
      </c>
      <c r="H256" s="46">
        <f>'فرع الزقازيق'!H67</f>
        <v>0</v>
      </c>
      <c r="I256" s="46">
        <f>'فرع الزقازيق'!I67</f>
        <v>0</v>
      </c>
      <c r="J256" s="46">
        <f>'فرع الزقازيق'!J67</f>
        <v>0</v>
      </c>
      <c r="K256" s="46">
        <f>'فرع الزقازيق'!K67</f>
        <v>0</v>
      </c>
      <c r="L256" s="46">
        <f>'فرع الزقازيق'!L67</f>
        <v>0</v>
      </c>
      <c r="M256" s="46">
        <f>'فرع الزقازيق'!M67</f>
        <v>0</v>
      </c>
      <c r="N256" s="46">
        <f>'فرع الزقازيق'!N67</f>
        <v>0</v>
      </c>
      <c r="O256" s="46">
        <f>'فرع الزقازيق'!O67</f>
        <v>0</v>
      </c>
      <c r="P256" s="46">
        <f>'فرع الزقازيق'!P67</f>
        <v>0</v>
      </c>
      <c r="Q256" s="46">
        <f>'فرع الزقازيق'!Q67</f>
        <v>0</v>
      </c>
      <c r="R256" s="47">
        <f>'فرع الزقازيق'!R67</f>
        <v>0</v>
      </c>
      <c r="S256" s="47">
        <f>'فرع الزقازيق'!S67</f>
        <v>0</v>
      </c>
      <c r="T256" s="46">
        <f>'فرع الزقازيق'!T67</f>
        <v>0</v>
      </c>
      <c r="U256" s="46">
        <f>'فرع الزقازيق'!U67</f>
        <v>0</v>
      </c>
      <c r="V256" s="46">
        <f>'فرع الزقازيق'!V67</f>
        <v>0</v>
      </c>
      <c r="W256" s="46">
        <f>'فرع الزقازيق'!W67</f>
        <v>0</v>
      </c>
      <c r="X256" s="46">
        <f>'فرع الزقازيق'!X67</f>
        <v>0</v>
      </c>
      <c r="Y256" s="46">
        <f>'فرع الزقازيق'!Y67</f>
        <v>0</v>
      </c>
      <c r="Z256" s="46">
        <f>'فرع الزقازيق'!Z67</f>
        <v>0</v>
      </c>
      <c r="AA256" s="46">
        <f>'فرع الزقازيق'!AA67</f>
        <v>0</v>
      </c>
      <c r="AB256" s="46">
        <f>'فرع الزقازيق'!AB67</f>
        <v>0</v>
      </c>
      <c r="AC256" s="46">
        <f>'فرع الزقازيق'!AC67</f>
        <v>0</v>
      </c>
      <c r="AD256" s="46">
        <f>'فرع الزقازيق'!AD67</f>
        <v>0</v>
      </c>
      <c r="AE256" s="46">
        <f>'فرع الزقازيق'!AE67</f>
        <v>0</v>
      </c>
      <c r="AF256" s="46">
        <f>'فرع الزقازيق'!AF67</f>
        <v>0</v>
      </c>
      <c r="AG256" s="46">
        <f>'فرع الزقازيق'!AG67</f>
        <v>0</v>
      </c>
      <c r="AH256" s="46">
        <f>'فرع الزقازيق'!AH67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+'فرع الزقازيق'!A68</f>
        <v>0</v>
      </c>
      <c r="B260" s="44">
        <f>+'فرع الزقازيق'!B68</f>
        <v>0</v>
      </c>
      <c r="C260" s="45">
        <f>+'فرع الزقازيق'!C68</f>
        <v>0</v>
      </c>
      <c r="D260" s="45">
        <f>+'فرع الزقازيق'!D68</f>
        <v>0</v>
      </c>
      <c r="E260" s="45">
        <f>+'فرع الزقازيق'!E68</f>
        <v>0</v>
      </c>
      <c r="F260" s="46">
        <f>'فرع الزقازيق'!F68</f>
        <v>0</v>
      </c>
      <c r="G260" s="46">
        <f>'فرع الزقازيق'!G68</f>
        <v>0</v>
      </c>
      <c r="H260" s="46">
        <f>'فرع الزقازيق'!H68</f>
        <v>0</v>
      </c>
      <c r="I260" s="46">
        <f>'فرع الزقازيق'!I68</f>
        <v>0</v>
      </c>
      <c r="J260" s="46">
        <f>'فرع الزقازيق'!J68</f>
        <v>0</v>
      </c>
      <c r="K260" s="46">
        <f>'فرع الزقازيق'!K68</f>
        <v>0</v>
      </c>
      <c r="L260" s="46">
        <f>'فرع الزقازيق'!L68</f>
        <v>0</v>
      </c>
      <c r="M260" s="46">
        <f>'فرع الزقازيق'!M68</f>
        <v>0</v>
      </c>
      <c r="N260" s="46">
        <f>'فرع الزقازيق'!N68</f>
        <v>0</v>
      </c>
      <c r="O260" s="46">
        <f>'فرع الزقازيق'!O68</f>
        <v>0</v>
      </c>
      <c r="P260" s="46">
        <f>'فرع الزقازيق'!P68</f>
        <v>0</v>
      </c>
      <c r="Q260" s="46">
        <f>'فرع الزقازيق'!Q68</f>
        <v>0</v>
      </c>
      <c r="R260" s="47">
        <f>'فرع الزقازيق'!R68</f>
        <v>0</v>
      </c>
      <c r="S260" s="47">
        <f>'فرع الزقازيق'!S68</f>
        <v>0</v>
      </c>
      <c r="T260" s="46">
        <f>'فرع الزقازيق'!T68</f>
        <v>0</v>
      </c>
      <c r="U260" s="46">
        <f>'فرع الزقازيق'!U68</f>
        <v>0</v>
      </c>
      <c r="V260" s="46">
        <f>'فرع الزقازيق'!V68</f>
        <v>0</v>
      </c>
      <c r="W260" s="46">
        <f>'فرع الزقازيق'!W68</f>
        <v>0</v>
      </c>
      <c r="X260" s="46">
        <f>'فرع الزقازيق'!X68</f>
        <v>0</v>
      </c>
      <c r="Y260" s="46">
        <f>'فرع الزقازيق'!Y68</f>
        <v>0</v>
      </c>
      <c r="Z260" s="46">
        <f>'فرع الزقازيق'!Z68</f>
        <v>0</v>
      </c>
      <c r="AA260" s="46">
        <f>'فرع الزقازيق'!AA68</f>
        <v>0</v>
      </c>
      <c r="AB260" s="46">
        <f>'فرع الزقازيق'!AB68</f>
        <v>0</v>
      </c>
      <c r="AC260" s="46">
        <f>'فرع الزقازيق'!AC68</f>
        <v>0</v>
      </c>
      <c r="AD260" s="46">
        <f>'فرع الزقازيق'!AD68</f>
        <v>0</v>
      </c>
      <c r="AE260" s="46">
        <f>'فرع الزقازيق'!AE68</f>
        <v>0</v>
      </c>
      <c r="AF260" s="46">
        <f>'فرع الزقازيق'!AF68</f>
        <v>0</v>
      </c>
      <c r="AG260" s="46">
        <f>'فرع الزقازيق'!AG68</f>
        <v>0</v>
      </c>
      <c r="AH260" s="46">
        <f>'فرع الزقازيق'!AH68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+'فرع الزقازيق'!A69</f>
        <v>0</v>
      </c>
      <c r="B264" s="44">
        <f>+'فرع الزقازيق'!B69</f>
        <v>0</v>
      </c>
      <c r="C264" s="45">
        <f>+'فرع الزقازيق'!C69</f>
        <v>0</v>
      </c>
      <c r="D264" s="45">
        <f>+'فرع الزقازيق'!D69</f>
        <v>0</v>
      </c>
      <c r="E264" s="45">
        <f>+'فرع الزقازيق'!E69</f>
        <v>0</v>
      </c>
      <c r="F264" s="46">
        <f>'فرع الزقازيق'!F69</f>
        <v>0</v>
      </c>
      <c r="G264" s="46">
        <f>'فرع الزقازيق'!G69</f>
        <v>0</v>
      </c>
      <c r="H264" s="46">
        <f>'فرع الزقازيق'!H69</f>
        <v>0</v>
      </c>
      <c r="I264" s="46">
        <f>'فرع الزقازيق'!I69</f>
        <v>0</v>
      </c>
      <c r="J264" s="46">
        <f>'فرع الزقازيق'!J69</f>
        <v>0</v>
      </c>
      <c r="K264" s="46">
        <f>'فرع الزقازيق'!K69</f>
        <v>0</v>
      </c>
      <c r="L264" s="46">
        <f>'فرع الزقازيق'!L69</f>
        <v>0</v>
      </c>
      <c r="M264" s="46">
        <f>'فرع الزقازيق'!M69</f>
        <v>0</v>
      </c>
      <c r="N264" s="46">
        <f>'فرع الزقازيق'!N69</f>
        <v>0</v>
      </c>
      <c r="O264" s="46">
        <f>'فرع الزقازيق'!O69</f>
        <v>0</v>
      </c>
      <c r="P264" s="46">
        <f>'فرع الزقازيق'!P69</f>
        <v>0</v>
      </c>
      <c r="Q264" s="46">
        <f>'فرع الزقازيق'!Q69</f>
        <v>0</v>
      </c>
      <c r="R264" s="47">
        <f>'فرع الزقازيق'!R69</f>
        <v>0</v>
      </c>
      <c r="S264" s="47">
        <f>'فرع الزقازيق'!S69</f>
        <v>0</v>
      </c>
      <c r="T264" s="46">
        <f>'فرع الزقازيق'!T69</f>
        <v>0</v>
      </c>
      <c r="U264" s="46">
        <f>'فرع الزقازيق'!U69</f>
        <v>0</v>
      </c>
      <c r="V264" s="46">
        <f>'فرع الزقازيق'!V69</f>
        <v>0</v>
      </c>
      <c r="W264" s="46">
        <f>'فرع الزقازيق'!W69</f>
        <v>0</v>
      </c>
      <c r="X264" s="46">
        <f>'فرع الزقازيق'!X69</f>
        <v>0</v>
      </c>
      <c r="Y264" s="46">
        <f>'فرع الزقازيق'!Y69</f>
        <v>0</v>
      </c>
      <c r="Z264" s="46">
        <f>'فرع الزقازيق'!Z69</f>
        <v>0</v>
      </c>
      <c r="AA264" s="46">
        <f>'فرع الزقازيق'!AA69</f>
        <v>0</v>
      </c>
      <c r="AB264" s="46">
        <f>'فرع الزقازيق'!AB69</f>
        <v>0</v>
      </c>
      <c r="AC264" s="46">
        <f>'فرع الزقازيق'!AC69</f>
        <v>0</v>
      </c>
      <c r="AD264" s="46">
        <f>'فرع الزقازيق'!AD69</f>
        <v>0</v>
      </c>
      <c r="AE264" s="46">
        <f>'فرع الزقازيق'!AE69</f>
        <v>0</v>
      </c>
      <c r="AF264" s="46">
        <f>'فرع الزقازيق'!AF69</f>
        <v>0</v>
      </c>
      <c r="AG264" s="46">
        <f>'فرع الزقازيق'!AG69</f>
        <v>0</v>
      </c>
      <c r="AH264" s="46">
        <f>'فرع الزقازيق'!AH69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+'فرع الزقازيق'!A70</f>
        <v>0</v>
      </c>
      <c r="B268" s="44">
        <f>+'فرع الزقازيق'!B70</f>
        <v>0</v>
      </c>
      <c r="C268" s="45">
        <f>+'فرع الزقازيق'!C70</f>
        <v>0</v>
      </c>
      <c r="D268" s="45">
        <f>+'فرع الزقازيق'!D70</f>
        <v>0</v>
      </c>
      <c r="E268" s="45">
        <f>+'فرع الزقازيق'!E70</f>
        <v>0</v>
      </c>
      <c r="F268" s="46">
        <f>'فرع الزقازيق'!F70</f>
        <v>0</v>
      </c>
      <c r="G268" s="46">
        <f>'فرع الزقازيق'!G70</f>
        <v>0</v>
      </c>
      <c r="H268" s="46">
        <f>'فرع الزقازيق'!H70</f>
        <v>0</v>
      </c>
      <c r="I268" s="46">
        <f>'فرع الزقازيق'!I70</f>
        <v>0</v>
      </c>
      <c r="J268" s="46">
        <f>'فرع الزقازيق'!J70</f>
        <v>0</v>
      </c>
      <c r="K268" s="46">
        <f>'فرع الزقازيق'!K70</f>
        <v>0</v>
      </c>
      <c r="L268" s="46">
        <f>'فرع الزقازيق'!L70</f>
        <v>0</v>
      </c>
      <c r="M268" s="46">
        <f>'فرع الزقازيق'!M70</f>
        <v>0</v>
      </c>
      <c r="N268" s="46">
        <f>'فرع الزقازيق'!N70</f>
        <v>0</v>
      </c>
      <c r="O268" s="46">
        <f>'فرع الزقازيق'!O70</f>
        <v>0</v>
      </c>
      <c r="P268" s="46">
        <f>'فرع الزقازيق'!P70</f>
        <v>0</v>
      </c>
      <c r="Q268" s="46">
        <f>'فرع الزقازيق'!Q70</f>
        <v>0</v>
      </c>
      <c r="R268" s="47">
        <f>'فرع الزقازيق'!R70</f>
        <v>0</v>
      </c>
      <c r="S268" s="47">
        <f>'فرع الزقازيق'!S70</f>
        <v>0</v>
      </c>
      <c r="T268" s="46">
        <f>'فرع الزقازيق'!T70</f>
        <v>0</v>
      </c>
      <c r="U268" s="46">
        <f>'فرع الزقازيق'!U70</f>
        <v>0</v>
      </c>
      <c r="V268" s="46">
        <f>'فرع الزقازيق'!V70</f>
        <v>0</v>
      </c>
      <c r="W268" s="46">
        <f>'فرع الزقازيق'!W70</f>
        <v>0</v>
      </c>
      <c r="X268" s="46">
        <f>'فرع الزقازيق'!X70</f>
        <v>0</v>
      </c>
      <c r="Y268" s="46">
        <f>'فرع الزقازيق'!Y70</f>
        <v>0</v>
      </c>
      <c r="Z268" s="46">
        <f>'فرع الزقازيق'!Z70</f>
        <v>0</v>
      </c>
      <c r="AA268" s="46">
        <f>'فرع الزقازيق'!AA70</f>
        <v>0</v>
      </c>
      <c r="AB268" s="46">
        <f>'فرع الزقازيق'!AB70</f>
        <v>0</v>
      </c>
      <c r="AC268" s="46">
        <f>'فرع الزقازيق'!AC70</f>
        <v>0</v>
      </c>
      <c r="AD268" s="46">
        <f>'فرع الزقازيق'!AD70</f>
        <v>0</v>
      </c>
      <c r="AE268" s="46">
        <f>'فرع الزقازيق'!AE70</f>
        <v>0</v>
      </c>
      <c r="AF268" s="46">
        <f>'فرع الزقازيق'!AF70</f>
        <v>0</v>
      </c>
      <c r="AG268" s="46">
        <f>'فرع الزقازيق'!AG70</f>
        <v>0</v>
      </c>
      <c r="AH268" s="46">
        <f>'فرع الزقازيق'!AH70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+'فرع الزقازيق'!A71</f>
        <v>0</v>
      </c>
      <c r="B272" s="44">
        <f>+'فرع الزقازيق'!B71</f>
        <v>0</v>
      </c>
      <c r="C272" s="45">
        <f>+'فرع الزقازيق'!C71</f>
        <v>0</v>
      </c>
      <c r="D272" s="45">
        <f>+'فرع الزقازيق'!D71</f>
        <v>0</v>
      </c>
      <c r="E272" s="45">
        <f>+'فرع الزقازيق'!E71</f>
        <v>0</v>
      </c>
      <c r="F272" s="46">
        <f>'فرع الزقازيق'!F71</f>
        <v>0</v>
      </c>
      <c r="G272" s="46">
        <f>'فرع الزقازيق'!G71</f>
        <v>0</v>
      </c>
      <c r="H272" s="46">
        <f>'فرع الزقازيق'!H71</f>
        <v>0</v>
      </c>
      <c r="I272" s="46">
        <f>'فرع الزقازيق'!I71</f>
        <v>0</v>
      </c>
      <c r="J272" s="46">
        <f>'فرع الزقازيق'!J71</f>
        <v>0</v>
      </c>
      <c r="K272" s="46">
        <f>'فرع الزقازيق'!K71</f>
        <v>0</v>
      </c>
      <c r="L272" s="46">
        <f>'فرع الزقازيق'!L71</f>
        <v>0</v>
      </c>
      <c r="M272" s="46">
        <f>'فرع الزقازيق'!M71</f>
        <v>0</v>
      </c>
      <c r="N272" s="46">
        <f>'فرع الزقازيق'!N71</f>
        <v>0</v>
      </c>
      <c r="O272" s="46">
        <f>'فرع الزقازيق'!O71</f>
        <v>0</v>
      </c>
      <c r="P272" s="46">
        <f>'فرع الزقازيق'!P71</f>
        <v>0</v>
      </c>
      <c r="Q272" s="46">
        <f>'فرع الزقازيق'!Q71</f>
        <v>0</v>
      </c>
      <c r="R272" s="47">
        <f>'فرع الزقازيق'!R71</f>
        <v>0</v>
      </c>
      <c r="S272" s="47">
        <f>'فرع الزقازيق'!S71</f>
        <v>0</v>
      </c>
      <c r="T272" s="46">
        <f>'فرع الزقازيق'!T71</f>
        <v>0</v>
      </c>
      <c r="U272" s="46">
        <f>'فرع الزقازيق'!U71</f>
        <v>0</v>
      </c>
      <c r="V272" s="46">
        <f>'فرع الزقازيق'!V71</f>
        <v>0</v>
      </c>
      <c r="W272" s="46">
        <f>'فرع الزقازيق'!W71</f>
        <v>0</v>
      </c>
      <c r="X272" s="46">
        <f>'فرع الزقازيق'!X71</f>
        <v>0</v>
      </c>
      <c r="Y272" s="46">
        <f>'فرع الزقازيق'!Y71</f>
        <v>0</v>
      </c>
      <c r="Z272" s="46">
        <f>'فرع الزقازيق'!Z71</f>
        <v>0</v>
      </c>
      <c r="AA272" s="46">
        <f>'فرع الزقازيق'!AA71</f>
        <v>0</v>
      </c>
      <c r="AB272" s="46">
        <f>'فرع الزقازيق'!AB71</f>
        <v>0</v>
      </c>
      <c r="AC272" s="46">
        <f>'فرع الزقازيق'!AC71</f>
        <v>0</v>
      </c>
      <c r="AD272" s="46">
        <f>'فرع الزقازيق'!AD71</f>
        <v>0</v>
      </c>
      <c r="AE272" s="46">
        <f>'فرع الزقازيق'!AE71</f>
        <v>0</v>
      </c>
      <c r="AF272" s="46">
        <f>'فرع الزقازيق'!AF71</f>
        <v>0</v>
      </c>
      <c r="AG272" s="46">
        <f>'فرع الزقازيق'!AG71</f>
        <v>0</v>
      </c>
      <c r="AH272" s="46">
        <f>'فرع الزقازيق'!AH71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+'فرع الزقازيق'!A72</f>
        <v>0</v>
      </c>
      <c r="B276" s="44">
        <f>+'فرع الزقازيق'!B72</f>
        <v>0</v>
      </c>
      <c r="C276" s="45">
        <f>+'فرع الزقازيق'!C72</f>
        <v>0</v>
      </c>
      <c r="D276" s="45">
        <f>+'فرع الزقازيق'!D72</f>
        <v>0</v>
      </c>
      <c r="E276" s="45">
        <f>+'فرع الزقازيق'!E72</f>
        <v>0</v>
      </c>
      <c r="F276" s="46">
        <f>'فرع الزقازيق'!F72</f>
        <v>0</v>
      </c>
      <c r="G276" s="46">
        <f>'فرع الزقازيق'!G72</f>
        <v>0</v>
      </c>
      <c r="H276" s="46">
        <f>'فرع الزقازيق'!H72</f>
        <v>0</v>
      </c>
      <c r="I276" s="46">
        <f>'فرع الزقازيق'!I72</f>
        <v>0</v>
      </c>
      <c r="J276" s="46">
        <f>'فرع الزقازيق'!J72</f>
        <v>0</v>
      </c>
      <c r="K276" s="46">
        <f>'فرع الزقازيق'!K72</f>
        <v>0</v>
      </c>
      <c r="L276" s="46">
        <f>'فرع الزقازيق'!L72</f>
        <v>0</v>
      </c>
      <c r="M276" s="46">
        <f>'فرع الزقازيق'!M72</f>
        <v>0</v>
      </c>
      <c r="N276" s="46">
        <f>'فرع الزقازيق'!N72</f>
        <v>0</v>
      </c>
      <c r="O276" s="46">
        <f>'فرع الزقازيق'!O72</f>
        <v>0</v>
      </c>
      <c r="P276" s="46">
        <f>'فرع الزقازيق'!P72</f>
        <v>0</v>
      </c>
      <c r="Q276" s="46">
        <f>'فرع الزقازيق'!Q72</f>
        <v>0</v>
      </c>
      <c r="R276" s="47">
        <f>'فرع الزقازيق'!R72</f>
        <v>0</v>
      </c>
      <c r="S276" s="47">
        <f>'فرع الزقازيق'!S72</f>
        <v>0</v>
      </c>
      <c r="T276" s="46">
        <f>'فرع الزقازيق'!T72</f>
        <v>0</v>
      </c>
      <c r="U276" s="46">
        <f>'فرع الزقازيق'!U72</f>
        <v>0</v>
      </c>
      <c r="V276" s="46">
        <f>'فرع الزقازيق'!V72</f>
        <v>0</v>
      </c>
      <c r="W276" s="46">
        <f>'فرع الزقازيق'!W72</f>
        <v>0</v>
      </c>
      <c r="X276" s="46">
        <f>'فرع الزقازيق'!X72</f>
        <v>0</v>
      </c>
      <c r="Y276" s="46">
        <f>'فرع الزقازيق'!Y72</f>
        <v>0</v>
      </c>
      <c r="Z276" s="46">
        <f>'فرع الزقازيق'!Z72</f>
        <v>0</v>
      </c>
      <c r="AA276" s="46">
        <f>'فرع الزقازيق'!AA72</f>
        <v>0</v>
      </c>
      <c r="AB276" s="46">
        <f>'فرع الزقازيق'!AB72</f>
        <v>0</v>
      </c>
      <c r="AC276" s="46">
        <f>'فرع الزقازيق'!AC72</f>
        <v>0</v>
      </c>
      <c r="AD276" s="46">
        <f>'فرع الزقازيق'!AD72</f>
        <v>0</v>
      </c>
      <c r="AE276" s="46">
        <f>'فرع الزقازيق'!AE72</f>
        <v>0</v>
      </c>
      <c r="AF276" s="46">
        <f>'فرع الزقازيق'!AF72</f>
        <v>0</v>
      </c>
      <c r="AG276" s="46">
        <f>'فرع الزقازيق'!AG72</f>
        <v>0</v>
      </c>
      <c r="AH276" s="46">
        <f>'فرع الزقازيق'!AH72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+'فرع الزقازيق'!A73</f>
        <v>0</v>
      </c>
      <c r="B280" s="44">
        <f>+'فرع الزقازيق'!B73</f>
        <v>0</v>
      </c>
      <c r="C280" s="45">
        <f>+'فرع الزقازيق'!C73</f>
        <v>0</v>
      </c>
      <c r="D280" s="45">
        <f>+'فرع الزقازيق'!D73</f>
        <v>0</v>
      </c>
      <c r="E280" s="45">
        <f>+'فرع الزقازيق'!E73</f>
        <v>0</v>
      </c>
      <c r="F280" s="46">
        <f>'فرع الزقازيق'!F73</f>
        <v>0</v>
      </c>
      <c r="G280" s="46">
        <f>'فرع الزقازيق'!G73</f>
        <v>0</v>
      </c>
      <c r="H280" s="46">
        <f>'فرع الزقازيق'!H73</f>
        <v>0</v>
      </c>
      <c r="I280" s="46">
        <f>'فرع الزقازيق'!I73</f>
        <v>0</v>
      </c>
      <c r="J280" s="46">
        <f>'فرع الزقازيق'!J73</f>
        <v>0</v>
      </c>
      <c r="K280" s="46">
        <f>'فرع الزقازيق'!K73</f>
        <v>0</v>
      </c>
      <c r="L280" s="46">
        <f>'فرع الزقازيق'!L73</f>
        <v>0</v>
      </c>
      <c r="M280" s="46">
        <f>'فرع الزقازيق'!M73</f>
        <v>0</v>
      </c>
      <c r="N280" s="46">
        <f>'فرع الزقازيق'!N73</f>
        <v>0</v>
      </c>
      <c r="O280" s="46">
        <f>'فرع الزقازيق'!O73</f>
        <v>0</v>
      </c>
      <c r="P280" s="46">
        <f>'فرع الزقازيق'!P73</f>
        <v>0</v>
      </c>
      <c r="Q280" s="46">
        <f>'فرع الزقازيق'!Q73</f>
        <v>0</v>
      </c>
      <c r="R280" s="47">
        <f>'فرع الزقازيق'!R73</f>
        <v>0</v>
      </c>
      <c r="S280" s="47">
        <f>'فرع الزقازيق'!S73</f>
        <v>0</v>
      </c>
      <c r="T280" s="46">
        <f>'فرع الزقازيق'!T73</f>
        <v>0</v>
      </c>
      <c r="U280" s="46">
        <f>'فرع الزقازيق'!U73</f>
        <v>0</v>
      </c>
      <c r="V280" s="46">
        <f>'فرع الزقازيق'!V73</f>
        <v>0</v>
      </c>
      <c r="W280" s="46">
        <f>'فرع الزقازيق'!W73</f>
        <v>0</v>
      </c>
      <c r="X280" s="46">
        <f>'فرع الزقازيق'!X73</f>
        <v>0</v>
      </c>
      <c r="Y280" s="46">
        <f>'فرع الزقازيق'!Y73</f>
        <v>0</v>
      </c>
      <c r="Z280" s="46">
        <f>'فرع الزقازيق'!Z73</f>
        <v>0</v>
      </c>
      <c r="AA280" s="46">
        <f>'فرع الزقازيق'!AA73</f>
        <v>0</v>
      </c>
      <c r="AB280" s="46">
        <f>'فرع الزقازيق'!AB73</f>
        <v>0</v>
      </c>
      <c r="AC280" s="46">
        <f>'فرع الزقازيق'!AC73</f>
        <v>0</v>
      </c>
      <c r="AD280" s="46">
        <f>'فرع الزقازيق'!AD73</f>
        <v>0</v>
      </c>
      <c r="AE280" s="46">
        <f>'فرع الزقازيق'!AE73</f>
        <v>0</v>
      </c>
      <c r="AF280" s="46">
        <f>'فرع الزقازيق'!AF73</f>
        <v>0</v>
      </c>
      <c r="AG280" s="46">
        <f>'فرع الزقازيق'!AG73</f>
        <v>0</v>
      </c>
      <c r="AH280" s="46">
        <f>'فرع الزقازيق'!AH73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+'فرع الزقازيق'!A74</f>
        <v>0</v>
      </c>
      <c r="B284" s="44">
        <f>+'فرع الزقازيق'!B74</f>
        <v>0</v>
      </c>
      <c r="C284" s="45">
        <f>+'فرع الزقازيق'!C74</f>
        <v>0</v>
      </c>
      <c r="D284" s="45">
        <f>+'فرع الزقازيق'!D74</f>
        <v>0</v>
      </c>
      <c r="E284" s="45">
        <f>+'فرع الزقازيق'!E74</f>
        <v>0</v>
      </c>
      <c r="F284" s="46">
        <f>'فرع الزقازيق'!F74</f>
        <v>0</v>
      </c>
      <c r="G284" s="46">
        <f>'فرع الزقازيق'!G74</f>
        <v>0</v>
      </c>
      <c r="H284" s="46">
        <f>'فرع الزقازيق'!H74</f>
        <v>0</v>
      </c>
      <c r="I284" s="46">
        <f>'فرع الزقازيق'!I74</f>
        <v>0</v>
      </c>
      <c r="J284" s="46">
        <f>'فرع الزقازيق'!J74</f>
        <v>0</v>
      </c>
      <c r="K284" s="46">
        <f>'فرع الزقازيق'!K74</f>
        <v>0</v>
      </c>
      <c r="L284" s="46">
        <f>'فرع الزقازيق'!L74</f>
        <v>0</v>
      </c>
      <c r="M284" s="46">
        <f>'فرع الزقازيق'!M74</f>
        <v>0</v>
      </c>
      <c r="N284" s="46">
        <f>'فرع الزقازيق'!N74</f>
        <v>0</v>
      </c>
      <c r="O284" s="46">
        <f>'فرع الزقازيق'!O74</f>
        <v>0</v>
      </c>
      <c r="P284" s="46">
        <f>'فرع الزقازيق'!P74</f>
        <v>0</v>
      </c>
      <c r="Q284" s="46">
        <f>'فرع الزقازيق'!Q74</f>
        <v>0</v>
      </c>
      <c r="R284" s="47">
        <f>'فرع الزقازيق'!R74</f>
        <v>0</v>
      </c>
      <c r="S284" s="47">
        <f>'فرع الزقازيق'!S74</f>
        <v>0</v>
      </c>
      <c r="T284" s="46">
        <f>'فرع الزقازيق'!T74</f>
        <v>0</v>
      </c>
      <c r="U284" s="46">
        <f>'فرع الزقازيق'!U74</f>
        <v>0</v>
      </c>
      <c r="V284" s="46">
        <f>'فرع الزقازيق'!V74</f>
        <v>0</v>
      </c>
      <c r="W284" s="46">
        <f>'فرع الزقازيق'!W74</f>
        <v>0</v>
      </c>
      <c r="X284" s="46">
        <f>'فرع الزقازيق'!X74</f>
        <v>0</v>
      </c>
      <c r="Y284" s="46">
        <f>'فرع الزقازيق'!Y74</f>
        <v>0</v>
      </c>
      <c r="Z284" s="46">
        <f>'فرع الزقازيق'!Z74</f>
        <v>0</v>
      </c>
      <c r="AA284" s="46">
        <f>'فرع الزقازيق'!AA74</f>
        <v>0</v>
      </c>
      <c r="AB284" s="46">
        <f>'فرع الزقازيق'!AB74</f>
        <v>0</v>
      </c>
      <c r="AC284" s="46">
        <f>'فرع الزقازيق'!AC74</f>
        <v>0</v>
      </c>
      <c r="AD284" s="46">
        <f>'فرع الزقازيق'!AD74</f>
        <v>0</v>
      </c>
      <c r="AE284" s="46">
        <f>'فرع الزقازيق'!AE74</f>
        <v>0</v>
      </c>
      <c r="AF284" s="46">
        <f>'فرع الزقازيق'!AF74</f>
        <v>0</v>
      </c>
      <c r="AG284" s="46">
        <f>'فرع الزقازيق'!AG74</f>
        <v>0</v>
      </c>
      <c r="AH284" s="46">
        <f>'فرع الزقازيق'!AH74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+'فرع الزقازيق'!A75</f>
        <v>0</v>
      </c>
      <c r="B288" s="44">
        <f>+'فرع الزقازيق'!B75</f>
        <v>0</v>
      </c>
      <c r="C288" s="45">
        <f>+'فرع الزقازيق'!C75</f>
        <v>0</v>
      </c>
      <c r="D288" s="45">
        <f>+'فرع الزقازيق'!D75</f>
        <v>0</v>
      </c>
      <c r="E288" s="45">
        <f>+'فرع الزقازيق'!E75</f>
        <v>0</v>
      </c>
      <c r="F288" s="46">
        <f>'فرع الزقازيق'!F75</f>
        <v>0</v>
      </c>
      <c r="G288" s="46">
        <f>'فرع الزقازيق'!G75</f>
        <v>0</v>
      </c>
      <c r="H288" s="46">
        <f>'فرع الزقازيق'!H75</f>
        <v>0</v>
      </c>
      <c r="I288" s="46">
        <f>'فرع الزقازيق'!I75</f>
        <v>0</v>
      </c>
      <c r="J288" s="46">
        <f>'فرع الزقازيق'!J75</f>
        <v>0</v>
      </c>
      <c r="K288" s="46">
        <f>'فرع الزقازيق'!K75</f>
        <v>0</v>
      </c>
      <c r="L288" s="46">
        <f>'فرع الزقازيق'!L75</f>
        <v>0</v>
      </c>
      <c r="M288" s="46">
        <f>'فرع الزقازيق'!M75</f>
        <v>0</v>
      </c>
      <c r="N288" s="46">
        <f>'فرع الزقازيق'!N75</f>
        <v>0</v>
      </c>
      <c r="O288" s="46">
        <f>'فرع الزقازيق'!O75</f>
        <v>0</v>
      </c>
      <c r="P288" s="46">
        <f>'فرع الزقازيق'!P75</f>
        <v>0</v>
      </c>
      <c r="Q288" s="46">
        <f>'فرع الزقازيق'!Q75</f>
        <v>0</v>
      </c>
      <c r="R288" s="47">
        <f>'فرع الزقازيق'!R75</f>
        <v>0</v>
      </c>
      <c r="S288" s="47">
        <f>'فرع الزقازيق'!S75</f>
        <v>0</v>
      </c>
      <c r="T288" s="46">
        <f>'فرع الزقازيق'!T75</f>
        <v>0</v>
      </c>
      <c r="U288" s="46">
        <f>'فرع الزقازيق'!U75</f>
        <v>0</v>
      </c>
      <c r="V288" s="46">
        <f>'فرع الزقازيق'!V75</f>
        <v>0</v>
      </c>
      <c r="W288" s="46">
        <f>'فرع الزقازيق'!W75</f>
        <v>0</v>
      </c>
      <c r="X288" s="46">
        <f>'فرع الزقازيق'!X75</f>
        <v>0</v>
      </c>
      <c r="Y288" s="46">
        <f>'فرع الزقازيق'!Y75</f>
        <v>0</v>
      </c>
      <c r="Z288" s="46">
        <f>'فرع الزقازيق'!Z75</f>
        <v>0</v>
      </c>
      <c r="AA288" s="46">
        <f>'فرع الزقازيق'!AA75</f>
        <v>0</v>
      </c>
      <c r="AB288" s="46">
        <f>'فرع الزقازيق'!AB75</f>
        <v>0</v>
      </c>
      <c r="AC288" s="46">
        <f>'فرع الزقازيق'!AC75</f>
        <v>0</v>
      </c>
      <c r="AD288" s="46">
        <f>'فرع الزقازيق'!AD75</f>
        <v>0</v>
      </c>
      <c r="AE288" s="46">
        <f>'فرع الزقازيق'!AE75</f>
        <v>0</v>
      </c>
      <c r="AF288" s="46">
        <f>'فرع الزقازيق'!AF75</f>
        <v>0</v>
      </c>
      <c r="AG288" s="46">
        <f>'فرع الزقازيق'!AG75</f>
        <v>0</v>
      </c>
      <c r="AH288" s="46">
        <f>'فرع الزقازيق'!AH75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+'فرع الزقازيق'!A76</f>
        <v>0</v>
      </c>
      <c r="B292" s="44">
        <f>+'فرع الزقازيق'!B76</f>
        <v>0</v>
      </c>
      <c r="C292" s="45">
        <f>+'فرع الزقازيق'!C76</f>
        <v>0</v>
      </c>
      <c r="D292" s="45">
        <f>+'فرع الزقازيق'!D76</f>
        <v>0</v>
      </c>
      <c r="E292" s="45">
        <f>+'فرع الزقازيق'!E76</f>
        <v>0</v>
      </c>
      <c r="F292" s="46">
        <f>'فرع الزقازيق'!F76</f>
        <v>0</v>
      </c>
      <c r="G292" s="46">
        <f>'فرع الزقازيق'!G76</f>
        <v>0</v>
      </c>
      <c r="H292" s="46">
        <f>'فرع الزقازيق'!H76</f>
        <v>0</v>
      </c>
      <c r="I292" s="46">
        <f>'فرع الزقازيق'!I76</f>
        <v>0</v>
      </c>
      <c r="J292" s="46">
        <f>'فرع الزقازيق'!J76</f>
        <v>0</v>
      </c>
      <c r="K292" s="46">
        <f>'فرع الزقازيق'!K76</f>
        <v>0</v>
      </c>
      <c r="L292" s="46">
        <f>'فرع الزقازيق'!L76</f>
        <v>0</v>
      </c>
      <c r="M292" s="46">
        <f>'فرع الزقازيق'!M76</f>
        <v>0</v>
      </c>
      <c r="N292" s="46">
        <f>'فرع الزقازيق'!N76</f>
        <v>0</v>
      </c>
      <c r="O292" s="46">
        <f>'فرع الزقازيق'!O76</f>
        <v>0</v>
      </c>
      <c r="P292" s="46">
        <f>'فرع الزقازيق'!P76</f>
        <v>0</v>
      </c>
      <c r="Q292" s="46">
        <f>'فرع الزقازيق'!Q76</f>
        <v>0</v>
      </c>
      <c r="R292" s="47">
        <f>'فرع الزقازيق'!R76</f>
        <v>0</v>
      </c>
      <c r="S292" s="47">
        <f>'فرع الزقازيق'!S76</f>
        <v>0</v>
      </c>
      <c r="T292" s="46">
        <f>'فرع الزقازيق'!T76</f>
        <v>0</v>
      </c>
      <c r="U292" s="46">
        <f>'فرع الزقازيق'!U76</f>
        <v>0</v>
      </c>
      <c r="V292" s="46">
        <f>'فرع الزقازيق'!V76</f>
        <v>0</v>
      </c>
      <c r="W292" s="46">
        <f>'فرع الزقازيق'!W76</f>
        <v>0</v>
      </c>
      <c r="X292" s="46">
        <f>'فرع الزقازيق'!X76</f>
        <v>0</v>
      </c>
      <c r="Y292" s="46">
        <f>'فرع الزقازيق'!Y76</f>
        <v>0</v>
      </c>
      <c r="Z292" s="46">
        <f>'فرع الزقازيق'!Z76</f>
        <v>0</v>
      </c>
      <c r="AA292" s="46">
        <f>'فرع الزقازيق'!AA76</f>
        <v>0</v>
      </c>
      <c r="AB292" s="46">
        <f>'فرع الزقازيق'!AB76</f>
        <v>0</v>
      </c>
      <c r="AC292" s="46">
        <f>'فرع الزقازيق'!AC76</f>
        <v>0</v>
      </c>
      <c r="AD292" s="46">
        <f>'فرع الزقازيق'!AD76</f>
        <v>0</v>
      </c>
      <c r="AE292" s="46">
        <f>'فرع الزقازيق'!AE76</f>
        <v>0</v>
      </c>
      <c r="AF292" s="46">
        <f>'فرع الزقازيق'!AF76</f>
        <v>0</v>
      </c>
      <c r="AG292" s="46">
        <f>'فرع الزقازيق'!AG76</f>
        <v>0</v>
      </c>
      <c r="AH292" s="46">
        <f>'فرع الزقازيق'!AH76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+'فرع الزقازيق'!A77</f>
        <v>0</v>
      </c>
      <c r="B296" s="44">
        <f>+'فرع الزقازيق'!B77</f>
        <v>0</v>
      </c>
      <c r="C296" s="45">
        <f>+'فرع الزقازيق'!C77</f>
        <v>0</v>
      </c>
      <c r="D296" s="45">
        <f>+'فرع الزقازيق'!D77</f>
        <v>0</v>
      </c>
      <c r="E296" s="45">
        <f>+'فرع الزقازيق'!E77</f>
        <v>0</v>
      </c>
      <c r="F296" s="46">
        <f>'فرع الزقازيق'!F77</f>
        <v>0</v>
      </c>
      <c r="G296" s="46">
        <f>'فرع الزقازيق'!G77</f>
        <v>0</v>
      </c>
      <c r="H296" s="46">
        <f>'فرع الزقازيق'!H77</f>
        <v>0</v>
      </c>
      <c r="I296" s="46">
        <f>'فرع الزقازيق'!I77</f>
        <v>0</v>
      </c>
      <c r="J296" s="46">
        <f>'فرع الزقازيق'!J77</f>
        <v>0</v>
      </c>
      <c r="K296" s="46">
        <f>'فرع الزقازيق'!K77</f>
        <v>0</v>
      </c>
      <c r="L296" s="46">
        <f>'فرع الزقازيق'!L77</f>
        <v>0</v>
      </c>
      <c r="M296" s="46">
        <f>'فرع الزقازيق'!M77</f>
        <v>0</v>
      </c>
      <c r="N296" s="46">
        <f>'فرع الزقازيق'!N77</f>
        <v>0</v>
      </c>
      <c r="O296" s="46">
        <f>'فرع الزقازيق'!O77</f>
        <v>0</v>
      </c>
      <c r="P296" s="46">
        <f>'فرع الزقازيق'!P77</f>
        <v>0</v>
      </c>
      <c r="Q296" s="46">
        <f>'فرع الزقازيق'!Q77</f>
        <v>0</v>
      </c>
      <c r="R296" s="47">
        <f>'فرع الزقازيق'!R77</f>
        <v>0</v>
      </c>
      <c r="S296" s="47">
        <f>'فرع الزقازيق'!S77</f>
        <v>0</v>
      </c>
      <c r="T296" s="46">
        <f>'فرع الزقازيق'!T77</f>
        <v>0</v>
      </c>
      <c r="U296" s="46">
        <f>'فرع الزقازيق'!U77</f>
        <v>0</v>
      </c>
      <c r="V296" s="46">
        <f>'فرع الزقازيق'!V77</f>
        <v>0</v>
      </c>
      <c r="W296" s="46">
        <f>'فرع الزقازيق'!W77</f>
        <v>0</v>
      </c>
      <c r="X296" s="46">
        <f>'فرع الزقازيق'!X77</f>
        <v>0</v>
      </c>
      <c r="Y296" s="46">
        <f>'فرع الزقازيق'!Y77</f>
        <v>0</v>
      </c>
      <c r="Z296" s="46">
        <f>'فرع الزقازيق'!Z77</f>
        <v>0</v>
      </c>
      <c r="AA296" s="46">
        <f>'فرع الزقازيق'!AA77</f>
        <v>0</v>
      </c>
      <c r="AB296" s="46">
        <f>'فرع الزقازيق'!AB77</f>
        <v>0</v>
      </c>
      <c r="AC296" s="46">
        <f>'فرع الزقازيق'!AC77</f>
        <v>0</v>
      </c>
      <c r="AD296" s="46">
        <f>'فرع الزقازيق'!AD77</f>
        <v>0</v>
      </c>
      <c r="AE296" s="46">
        <f>'فرع الزقازيق'!AE77</f>
        <v>0</v>
      </c>
      <c r="AF296" s="46">
        <f>'فرع الزقازيق'!AF77</f>
        <v>0</v>
      </c>
      <c r="AG296" s="46">
        <f>'فرع الزقازيق'!AG77</f>
        <v>0</v>
      </c>
      <c r="AH296" s="46">
        <f>'فرع الزقازيق'!AH77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+'فرع الزقازيق'!A78</f>
        <v>0</v>
      </c>
      <c r="B300" s="44">
        <f>+'فرع الزقازيق'!B78</f>
        <v>0</v>
      </c>
      <c r="C300" s="45">
        <f>+'فرع الزقازيق'!C78</f>
        <v>0</v>
      </c>
      <c r="D300" s="45">
        <f>+'فرع الزقازيق'!D78</f>
        <v>0</v>
      </c>
      <c r="E300" s="45">
        <f>+'فرع الزقازيق'!E78</f>
        <v>0</v>
      </c>
      <c r="F300" s="46">
        <f>'فرع الزقازيق'!F78</f>
        <v>0</v>
      </c>
      <c r="G300" s="46">
        <f>'فرع الزقازيق'!G78</f>
        <v>0</v>
      </c>
      <c r="H300" s="46">
        <f>'فرع الزقازيق'!H78</f>
        <v>0</v>
      </c>
      <c r="I300" s="46">
        <f>'فرع الزقازيق'!I78</f>
        <v>0</v>
      </c>
      <c r="J300" s="46">
        <f>'فرع الزقازيق'!J78</f>
        <v>0</v>
      </c>
      <c r="K300" s="46">
        <f>'فرع الزقازيق'!K78</f>
        <v>0</v>
      </c>
      <c r="L300" s="46">
        <f>'فرع الزقازيق'!L78</f>
        <v>0</v>
      </c>
      <c r="M300" s="46">
        <f>'فرع الزقازيق'!M78</f>
        <v>0</v>
      </c>
      <c r="N300" s="46">
        <f>'فرع الزقازيق'!N78</f>
        <v>0</v>
      </c>
      <c r="O300" s="46">
        <f>'فرع الزقازيق'!O78</f>
        <v>0</v>
      </c>
      <c r="P300" s="46">
        <f>'فرع الزقازيق'!P78</f>
        <v>0</v>
      </c>
      <c r="Q300" s="46">
        <f>'فرع الزقازيق'!Q78</f>
        <v>0</v>
      </c>
      <c r="R300" s="47">
        <f>'فرع الزقازيق'!R78</f>
        <v>0</v>
      </c>
      <c r="S300" s="47">
        <f>'فرع الزقازيق'!S78</f>
        <v>0</v>
      </c>
      <c r="T300" s="46">
        <f>'فرع الزقازيق'!T78</f>
        <v>0</v>
      </c>
      <c r="U300" s="46">
        <f>'فرع الزقازيق'!U78</f>
        <v>0</v>
      </c>
      <c r="V300" s="46">
        <f>'فرع الزقازيق'!V78</f>
        <v>0</v>
      </c>
      <c r="W300" s="46">
        <f>'فرع الزقازيق'!W78</f>
        <v>0</v>
      </c>
      <c r="X300" s="46">
        <f>'فرع الزقازيق'!X78</f>
        <v>0</v>
      </c>
      <c r="Y300" s="46">
        <f>'فرع الزقازيق'!Y78</f>
        <v>0</v>
      </c>
      <c r="Z300" s="46">
        <f>'فرع الزقازيق'!Z78</f>
        <v>0</v>
      </c>
      <c r="AA300" s="46">
        <f>'فرع الزقازيق'!AA78</f>
        <v>0</v>
      </c>
      <c r="AB300" s="46">
        <f>'فرع الزقازيق'!AB78</f>
        <v>0</v>
      </c>
      <c r="AC300" s="46">
        <f>'فرع الزقازيق'!AC78</f>
        <v>0</v>
      </c>
      <c r="AD300" s="46">
        <f>'فرع الزقازيق'!AD78</f>
        <v>0</v>
      </c>
      <c r="AE300" s="46">
        <f>'فرع الزقازيق'!AE78</f>
        <v>0</v>
      </c>
      <c r="AF300" s="46">
        <f>'فرع الزقازيق'!AF78</f>
        <v>0</v>
      </c>
      <c r="AG300" s="46">
        <f>'فرع الزقازيق'!AG78</f>
        <v>0</v>
      </c>
      <c r="AH300" s="46">
        <f>'فرع الزقازيق'!AH78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+'فرع الزقازيق'!A79</f>
        <v>0</v>
      </c>
      <c r="B304" s="44">
        <f>+'فرع الزقازيق'!B79</f>
        <v>0</v>
      </c>
      <c r="C304" s="45">
        <f>+'فرع الزقازيق'!C79</f>
        <v>0</v>
      </c>
      <c r="D304" s="45">
        <f>+'فرع الزقازيق'!D79</f>
        <v>0</v>
      </c>
      <c r="E304" s="45">
        <f>+'فرع الزقازيق'!E79</f>
        <v>0</v>
      </c>
      <c r="F304" s="46">
        <f>'فرع الزقازيق'!F79</f>
        <v>0</v>
      </c>
      <c r="G304" s="46">
        <f>'فرع الزقازيق'!G79</f>
        <v>0</v>
      </c>
      <c r="H304" s="46">
        <f>'فرع الزقازيق'!H79</f>
        <v>0</v>
      </c>
      <c r="I304" s="46">
        <f>'فرع الزقازيق'!I79</f>
        <v>0</v>
      </c>
      <c r="J304" s="46">
        <f>'فرع الزقازيق'!J79</f>
        <v>0</v>
      </c>
      <c r="K304" s="46">
        <f>'فرع الزقازيق'!K79</f>
        <v>0</v>
      </c>
      <c r="L304" s="46">
        <f>'فرع الزقازيق'!L79</f>
        <v>0</v>
      </c>
      <c r="M304" s="46">
        <f>'فرع الزقازيق'!M79</f>
        <v>0</v>
      </c>
      <c r="N304" s="46">
        <f>'فرع الزقازيق'!N79</f>
        <v>0</v>
      </c>
      <c r="O304" s="46">
        <f>'فرع الزقازيق'!O79</f>
        <v>0</v>
      </c>
      <c r="P304" s="46">
        <f>'فرع الزقازيق'!P79</f>
        <v>0</v>
      </c>
      <c r="Q304" s="46">
        <f>'فرع الزقازيق'!Q79</f>
        <v>0</v>
      </c>
      <c r="R304" s="47">
        <f>'فرع الزقازيق'!R79</f>
        <v>0</v>
      </c>
      <c r="S304" s="47">
        <f>'فرع الزقازيق'!S79</f>
        <v>0</v>
      </c>
      <c r="T304" s="46">
        <f>'فرع الزقازيق'!T79</f>
        <v>0</v>
      </c>
      <c r="U304" s="46">
        <f>'فرع الزقازيق'!U79</f>
        <v>0</v>
      </c>
      <c r="V304" s="46">
        <f>'فرع الزقازيق'!V79</f>
        <v>0</v>
      </c>
      <c r="W304" s="46">
        <f>'فرع الزقازيق'!W79</f>
        <v>0</v>
      </c>
      <c r="X304" s="46">
        <f>'فرع الزقازيق'!X79</f>
        <v>0</v>
      </c>
      <c r="Y304" s="46">
        <f>'فرع الزقازيق'!Y79</f>
        <v>0</v>
      </c>
      <c r="Z304" s="46">
        <f>'فرع الزقازيق'!Z79</f>
        <v>0</v>
      </c>
      <c r="AA304" s="46">
        <f>'فرع الزقازيق'!AA79</f>
        <v>0</v>
      </c>
      <c r="AB304" s="46">
        <f>'فرع الزقازيق'!AB79</f>
        <v>0</v>
      </c>
      <c r="AC304" s="46">
        <f>'فرع الزقازيق'!AC79</f>
        <v>0</v>
      </c>
      <c r="AD304" s="46">
        <f>'فرع الزقازيق'!AD79</f>
        <v>0</v>
      </c>
      <c r="AE304" s="46">
        <f>'فرع الزقازيق'!AE79</f>
        <v>0</v>
      </c>
      <c r="AF304" s="46">
        <f>'فرع الزقازيق'!AF79</f>
        <v>0</v>
      </c>
      <c r="AG304" s="46">
        <f>'فرع الزقازيق'!AG79</f>
        <v>0</v>
      </c>
      <c r="AH304" s="46">
        <f>'فرع الزقازيق'!AH79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+'فرع الزقازيق'!A80</f>
        <v>0</v>
      </c>
      <c r="B308" s="44">
        <f>+'فرع الزقازيق'!B80</f>
        <v>0</v>
      </c>
      <c r="C308" s="45">
        <f>+'فرع الزقازيق'!C80</f>
        <v>0</v>
      </c>
      <c r="D308" s="45">
        <f>+'فرع الزقازيق'!D80</f>
        <v>0</v>
      </c>
      <c r="E308" s="45">
        <f>+'فرع الزقازيق'!E80</f>
        <v>0</v>
      </c>
      <c r="F308" s="46">
        <f>'فرع الزقازيق'!F80</f>
        <v>0</v>
      </c>
      <c r="G308" s="46">
        <f>'فرع الزقازيق'!G80</f>
        <v>0</v>
      </c>
      <c r="H308" s="46">
        <f>'فرع الزقازيق'!H80</f>
        <v>0</v>
      </c>
      <c r="I308" s="46">
        <f>'فرع الزقازيق'!I80</f>
        <v>0</v>
      </c>
      <c r="J308" s="46">
        <f>'فرع الزقازيق'!J80</f>
        <v>0</v>
      </c>
      <c r="K308" s="46">
        <f>'فرع الزقازيق'!K80</f>
        <v>0</v>
      </c>
      <c r="L308" s="46">
        <f>'فرع الزقازيق'!L80</f>
        <v>0</v>
      </c>
      <c r="M308" s="46">
        <f>'فرع الزقازيق'!M80</f>
        <v>0</v>
      </c>
      <c r="N308" s="46">
        <f>'فرع الزقازيق'!N80</f>
        <v>0</v>
      </c>
      <c r="O308" s="46">
        <f>'فرع الزقازيق'!O80</f>
        <v>0</v>
      </c>
      <c r="P308" s="46">
        <f>'فرع الزقازيق'!P80</f>
        <v>0</v>
      </c>
      <c r="Q308" s="46">
        <f>'فرع الزقازيق'!Q80</f>
        <v>0</v>
      </c>
      <c r="R308" s="47">
        <f>'فرع الزقازيق'!R80</f>
        <v>0</v>
      </c>
      <c r="S308" s="47">
        <f>'فرع الزقازيق'!S80</f>
        <v>0</v>
      </c>
      <c r="T308" s="46">
        <f>'فرع الزقازيق'!T80</f>
        <v>0</v>
      </c>
      <c r="U308" s="46">
        <f>'فرع الزقازيق'!U80</f>
        <v>0</v>
      </c>
      <c r="V308" s="46">
        <f>'فرع الزقازيق'!V80</f>
        <v>0</v>
      </c>
      <c r="W308" s="46">
        <f>'فرع الزقازيق'!W80</f>
        <v>0</v>
      </c>
      <c r="X308" s="46">
        <f>'فرع الزقازيق'!X80</f>
        <v>0</v>
      </c>
      <c r="Y308" s="46">
        <f>'فرع الزقازيق'!Y80</f>
        <v>0</v>
      </c>
      <c r="Z308" s="46">
        <f>'فرع الزقازيق'!Z80</f>
        <v>0</v>
      </c>
      <c r="AA308" s="46">
        <f>'فرع الزقازيق'!AA80</f>
        <v>0</v>
      </c>
      <c r="AB308" s="46">
        <f>'فرع الزقازيق'!AB80</f>
        <v>0</v>
      </c>
      <c r="AC308" s="46">
        <f>'فرع الزقازيق'!AC80</f>
        <v>0</v>
      </c>
      <c r="AD308" s="46">
        <f>'فرع الزقازيق'!AD80</f>
        <v>0</v>
      </c>
      <c r="AE308" s="46">
        <f>'فرع الزقازيق'!AE80</f>
        <v>0</v>
      </c>
      <c r="AF308" s="46">
        <f>'فرع الزقازيق'!AF80</f>
        <v>0</v>
      </c>
      <c r="AG308" s="46">
        <f>'فرع الزقازيق'!AG80</f>
        <v>0</v>
      </c>
      <c r="AH308" s="46">
        <f>'فرع الزقازيق'!AH80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</mergeCells>
  <pageMargins left="0" right="0.5" top="0" bottom="0" header="0" footer="0"/>
  <pageSetup paperSize="9" scale="3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H309"/>
  <sheetViews>
    <sheetView rightToLeft="1" topLeftCell="A82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+'فرع السلام'!A4</f>
        <v>0</v>
      </c>
      <c r="B4" s="44">
        <f>+'فرع السلام'!B4</f>
        <v>0</v>
      </c>
      <c r="C4" s="45">
        <f>+'فرع السلام'!C4</f>
        <v>0</v>
      </c>
      <c r="D4" s="45">
        <f>+'فرع السلام'!D4</f>
        <v>0</v>
      </c>
      <c r="E4" s="45">
        <f>+'فرع السلام'!E4</f>
        <v>0</v>
      </c>
      <c r="F4" s="46">
        <f>'فرع السلام'!F4</f>
        <v>0</v>
      </c>
      <c r="G4" s="46">
        <f>'فرع السلام'!G4</f>
        <v>0</v>
      </c>
      <c r="H4" s="46">
        <f>'فرع السلام'!H4</f>
        <v>0</v>
      </c>
      <c r="I4" s="46">
        <f>'فرع السلام'!I4</f>
        <v>0</v>
      </c>
      <c r="J4" s="46">
        <f>'فرع السلام'!J4</f>
        <v>0</v>
      </c>
      <c r="K4" s="46">
        <f>'فرع السلام'!K4</f>
        <v>0</v>
      </c>
      <c r="L4" s="46">
        <f>'فرع السلام'!L4</f>
        <v>0</v>
      </c>
      <c r="M4" s="46">
        <f>'فرع السلام'!M4</f>
        <v>0</v>
      </c>
      <c r="N4" s="46">
        <f>'فرع السلام'!N4</f>
        <v>0</v>
      </c>
      <c r="O4" s="46">
        <f>'فرع السلام'!O4</f>
        <v>0</v>
      </c>
      <c r="P4" s="46">
        <f>'فرع السلام'!P4</f>
        <v>0</v>
      </c>
      <c r="Q4" s="46">
        <f>'فرع السلام'!Q4</f>
        <v>0</v>
      </c>
      <c r="R4" s="47">
        <f>'فرع السلام'!R4</f>
        <v>0</v>
      </c>
      <c r="S4" s="47">
        <f>'فرع السلام'!S4</f>
        <v>0</v>
      </c>
      <c r="T4" s="46">
        <f>'فرع السلام'!T4</f>
        <v>0</v>
      </c>
      <c r="U4" s="46">
        <f>'فرع السلام'!U4</f>
        <v>0</v>
      </c>
      <c r="V4" s="46">
        <f>'فرع السلام'!V4</f>
        <v>0</v>
      </c>
      <c r="W4" s="46">
        <f>'فرع السلام'!W4</f>
        <v>0</v>
      </c>
      <c r="X4" s="46">
        <f>'فرع السلام'!X4</f>
        <v>0</v>
      </c>
      <c r="Y4" s="46">
        <f>'فرع السلام'!Y4</f>
        <v>0</v>
      </c>
      <c r="Z4" s="46">
        <f>'فرع السلام'!Z4</f>
        <v>0</v>
      </c>
      <c r="AA4" s="46">
        <f>'فرع السلام'!AA4</f>
        <v>0</v>
      </c>
      <c r="AB4" s="46">
        <f>'فرع السلام'!AB4</f>
        <v>0</v>
      </c>
      <c r="AC4" s="46">
        <f>'فرع السلام'!AC4</f>
        <v>0</v>
      </c>
      <c r="AD4" s="46">
        <f>'فرع السلام'!AD4</f>
        <v>0</v>
      </c>
      <c r="AE4" s="46">
        <f>'فرع السلام'!AE4</f>
        <v>0</v>
      </c>
      <c r="AF4" s="46">
        <f>'فرع السلام'!AF4</f>
        <v>0</v>
      </c>
      <c r="AG4" s="46">
        <f>'فرع السلام'!AG4</f>
        <v>0</v>
      </c>
      <c r="AH4" s="46">
        <f>'فرع السلام'!AH4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+'فرع السلام'!A5</f>
        <v>0</v>
      </c>
      <c r="B8" s="44">
        <f>+'فرع السلام'!B5</f>
        <v>0</v>
      </c>
      <c r="C8" s="45">
        <f>+'فرع السلام'!C5</f>
        <v>0</v>
      </c>
      <c r="D8" s="45">
        <f>+'فرع السلام'!D5</f>
        <v>0</v>
      </c>
      <c r="E8" s="45">
        <f>+'فرع السلام'!E5</f>
        <v>0</v>
      </c>
      <c r="F8" s="46">
        <f>+'فرع السلام'!F5</f>
        <v>0</v>
      </c>
      <c r="G8" s="46">
        <f>+'فرع السلام'!G5</f>
        <v>0</v>
      </c>
      <c r="H8" s="46">
        <f>+'فرع السلام'!H5</f>
        <v>0</v>
      </c>
      <c r="I8" s="46">
        <f>+'فرع السلام'!I5</f>
        <v>0</v>
      </c>
      <c r="J8" s="46">
        <f>+'فرع السلام'!J5</f>
        <v>0</v>
      </c>
      <c r="K8" s="46">
        <f>+'فرع السلام'!K5</f>
        <v>0</v>
      </c>
      <c r="L8" s="46">
        <f>+'فرع السلام'!L5</f>
        <v>0</v>
      </c>
      <c r="M8" s="46">
        <f>+'فرع السلام'!M5</f>
        <v>0</v>
      </c>
      <c r="N8" s="46">
        <f>+'فرع السلام'!N5</f>
        <v>0</v>
      </c>
      <c r="O8" s="46">
        <f>+'فرع السلام'!O5</f>
        <v>0</v>
      </c>
      <c r="P8" s="46">
        <f>+'فرع السلام'!P5</f>
        <v>0</v>
      </c>
      <c r="Q8" s="46">
        <f>+'فرع السلام'!Q5</f>
        <v>0</v>
      </c>
      <c r="R8" s="47">
        <f>+'فرع السلام'!R5</f>
        <v>0</v>
      </c>
      <c r="S8" s="47">
        <f>+'فرع السلام'!S5</f>
        <v>0</v>
      </c>
      <c r="T8" s="46">
        <f>+'فرع السلام'!T5</f>
        <v>0</v>
      </c>
      <c r="U8" s="46">
        <f>+'فرع السلام'!U5</f>
        <v>0</v>
      </c>
      <c r="V8" s="46">
        <f>+'فرع السلام'!V5</f>
        <v>0</v>
      </c>
      <c r="W8" s="46">
        <f>+'فرع السلام'!W5</f>
        <v>0</v>
      </c>
      <c r="X8" s="46">
        <f>+'فرع السلام'!X5</f>
        <v>0</v>
      </c>
      <c r="Y8" s="46">
        <f>+'فرع السلام'!Y5</f>
        <v>0</v>
      </c>
      <c r="Z8" s="46">
        <f>+'فرع السلام'!Z5</f>
        <v>0</v>
      </c>
      <c r="AA8" s="46">
        <f>+'فرع السلام'!AA5</f>
        <v>0</v>
      </c>
      <c r="AB8" s="46">
        <f>+'فرع السلام'!AB5</f>
        <v>0</v>
      </c>
      <c r="AC8" s="46">
        <f>+'فرع السلام'!AC5</f>
        <v>0</v>
      </c>
      <c r="AD8" s="46">
        <f>+'فرع السلام'!AD5</f>
        <v>0</v>
      </c>
      <c r="AE8" s="46">
        <f>+'فرع السلام'!AE5</f>
        <v>0</v>
      </c>
      <c r="AF8" s="46">
        <f>+'فرع السلام'!AF5</f>
        <v>0</v>
      </c>
      <c r="AG8" s="46">
        <f>+'فرع السلام'!AG5</f>
        <v>0</v>
      </c>
      <c r="AH8" s="46">
        <f>+'فرع السلام'!AH5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+'فرع السلام'!A6</f>
        <v>0</v>
      </c>
      <c r="B12" s="44">
        <f>+'فرع السلام'!B6</f>
        <v>0</v>
      </c>
      <c r="C12" s="45">
        <f>+'فرع السلام'!C6</f>
        <v>0</v>
      </c>
      <c r="D12" s="45">
        <f>+'فرع السلام'!D6</f>
        <v>0</v>
      </c>
      <c r="E12" s="45">
        <f>+'فرع السلام'!E6</f>
        <v>0</v>
      </c>
      <c r="F12" s="46">
        <f>+'فرع السلام'!F6</f>
        <v>0</v>
      </c>
      <c r="G12" s="46">
        <f>+'فرع السلام'!G6</f>
        <v>0</v>
      </c>
      <c r="H12" s="46">
        <f>+'فرع السلام'!H6</f>
        <v>0</v>
      </c>
      <c r="I12" s="46">
        <f>+'فرع السلام'!I6</f>
        <v>0</v>
      </c>
      <c r="J12" s="46">
        <f>+'فرع السلام'!J6</f>
        <v>0</v>
      </c>
      <c r="K12" s="46">
        <f>+'فرع السلام'!K6</f>
        <v>0</v>
      </c>
      <c r="L12" s="46">
        <f>+'فرع السلام'!L6</f>
        <v>0</v>
      </c>
      <c r="M12" s="46">
        <f>+'فرع السلام'!M6</f>
        <v>0</v>
      </c>
      <c r="N12" s="46">
        <f>+'فرع السلام'!N6</f>
        <v>0</v>
      </c>
      <c r="O12" s="46">
        <f>+'فرع السلام'!O6</f>
        <v>0</v>
      </c>
      <c r="P12" s="46">
        <f>+'فرع السلام'!P6</f>
        <v>0</v>
      </c>
      <c r="Q12" s="46">
        <f>+'فرع السلام'!Q6</f>
        <v>0</v>
      </c>
      <c r="R12" s="47">
        <f>+'فرع السلام'!R6</f>
        <v>0</v>
      </c>
      <c r="S12" s="47">
        <f>+'فرع السلام'!S6</f>
        <v>0</v>
      </c>
      <c r="T12" s="46">
        <f>+'فرع السلام'!T6</f>
        <v>0</v>
      </c>
      <c r="U12" s="46">
        <f>+'فرع السلام'!U6</f>
        <v>0</v>
      </c>
      <c r="V12" s="46">
        <f>+'فرع السلام'!V6</f>
        <v>0</v>
      </c>
      <c r="W12" s="46">
        <f>+'فرع السلام'!W6</f>
        <v>0</v>
      </c>
      <c r="X12" s="46">
        <f>+'فرع السلام'!X6</f>
        <v>0</v>
      </c>
      <c r="Y12" s="46">
        <f>+'فرع السلام'!Y6</f>
        <v>0</v>
      </c>
      <c r="Z12" s="46">
        <f>+'فرع السلام'!Z6</f>
        <v>0</v>
      </c>
      <c r="AA12" s="46">
        <f>+'فرع السلام'!AA6</f>
        <v>0</v>
      </c>
      <c r="AB12" s="46">
        <f>+'فرع السلام'!AB6</f>
        <v>0</v>
      </c>
      <c r="AC12" s="46">
        <f>+'فرع السلام'!AC6</f>
        <v>0</v>
      </c>
      <c r="AD12" s="46">
        <f>+'فرع السلام'!AD6</f>
        <v>0</v>
      </c>
      <c r="AE12" s="46">
        <f>+'فرع السلام'!AE6</f>
        <v>0</v>
      </c>
      <c r="AF12" s="46">
        <f>+'فرع السلام'!AF6</f>
        <v>0</v>
      </c>
      <c r="AG12" s="46">
        <f>+'فرع السلام'!AG6</f>
        <v>0</v>
      </c>
      <c r="AH12" s="46">
        <f>+'فرع السلام'!AH6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+'فرع السلام'!A7</f>
        <v>0</v>
      </c>
      <c r="B16" s="44">
        <f>+'فرع السلام'!B7</f>
        <v>0</v>
      </c>
      <c r="C16" s="45">
        <f>+'فرع السلام'!C7</f>
        <v>0</v>
      </c>
      <c r="D16" s="45">
        <f>+'فرع السلام'!D7</f>
        <v>0</v>
      </c>
      <c r="E16" s="45">
        <f>+'فرع السلام'!E7</f>
        <v>0</v>
      </c>
      <c r="F16" s="46">
        <f>+'فرع السلام'!F7</f>
        <v>0</v>
      </c>
      <c r="G16" s="46">
        <f>+'فرع السلام'!G7</f>
        <v>0</v>
      </c>
      <c r="H16" s="46">
        <f>+'فرع السلام'!H7</f>
        <v>0</v>
      </c>
      <c r="I16" s="46">
        <f>+'فرع السلام'!I7</f>
        <v>0</v>
      </c>
      <c r="J16" s="46">
        <f>+'فرع السلام'!J7</f>
        <v>0</v>
      </c>
      <c r="K16" s="46">
        <f>+'فرع السلام'!K7</f>
        <v>0</v>
      </c>
      <c r="L16" s="46">
        <f>+'فرع السلام'!L7</f>
        <v>0</v>
      </c>
      <c r="M16" s="46">
        <f>+'فرع السلام'!M7</f>
        <v>0</v>
      </c>
      <c r="N16" s="46">
        <f>+'فرع السلام'!N7</f>
        <v>0</v>
      </c>
      <c r="O16" s="46">
        <f>+'فرع السلام'!O7</f>
        <v>0</v>
      </c>
      <c r="P16" s="46">
        <f>+'فرع السلام'!P7</f>
        <v>0</v>
      </c>
      <c r="Q16" s="46">
        <f>+'فرع السلام'!Q7</f>
        <v>0</v>
      </c>
      <c r="R16" s="47">
        <f>+'فرع السلام'!R7</f>
        <v>0</v>
      </c>
      <c r="S16" s="47">
        <f>+'فرع السلام'!S7</f>
        <v>0</v>
      </c>
      <c r="T16" s="46">
        <f>+'فرع السلام'!T7</f>
        <v>0</v>
      </c>
      <c r="U16" s="46">
        <f>+'فرع السلام'!U7</f>
        <v>0</v>
      </c>
      <c r="V16" s="46">
        <f>+'فرع السلام'!V7</f>
        <v>0</v>
      </c>
      <c r="W16" s="46">
        <f>+'فرع السلام'!W7</f>
        <v>0</v>
      </c>
      <c r="X16" s="46">
        <f>+'فرع السلام'!X7</f>
        <v>0</v>
      </c>
      <c r="Y16" s="46">
        <f>+'فرع السلام'!Y7</f>
        <v>0</v>
      </c>
      <c r="Z16" s="46">
        <f>+'فرع السلام'!Z7</f>
        <v>0</v>
      </c>
      <c r="AA16" s="46">
        <f>+'فرع السلام'!AA7</f>
        <v>0</v>
      </c>
      <c r="AB16" s="46">
        <f>+'فرع السلام'!AB7</f>
        <v>0</v>
      </c>
      <c r="AC16" s="46">
        <f>+'فرع السلام'!AC7</f>
        <v>0</v>
      </c>
      <c r="AD16" s="46">
        <f>+'فرع السلام'!AD7</f>
        <v>0</v>
      </c>
      <c r="AE16" s="46">
        <f>+'فرع السلام'!AE7</f>
        <v>0</v>
      </c>
      <c r="AF16" s="46">
        <f>+'فرع السلام'!AF7</f>
        <v>0</v>
      </c>
      <c r="AG16" s="46">
        <f>+'فرع السلام'!AG7</f>
        <v>0</v>
      </c>
      <c r="AH16" s="46">
        <f>+'فرع السلام'!AH7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+'فرع السلام'!A8</f>
        <v>0</v>
      </c>
      <c r="B20" s="44">
        <f>+'فرع السلام'!B8</f>
        <v>0</v>
      </c>
      <c r="C20" s="45">
        <f>+'فرع السلام'!C8</f>
        <v>0</v>
      </c>
      <c r="D20" s="45">
        <f>+'فرع السلام'!D8</f>
        <v>0</v>
      </c>
      <c r="E20" s="45">
        <f>+'فرع السلام'!E8</f>
        <v>0</v>
      </c>
      <c r="F20" s="46">
        <f>+'فرع السلام'!F8</f>
        <v>0</v>
      </c>
      <c r="G20" s="46">
        <f>+'فرع السلام'!G8</f>
        <v>0</v>
      </c>
      <c r="H20" s="46">
        <f>+'فرع السلام'!H8</f>
        <v>0</v>
      </c>
      <c r="I20" s="46">
        <f>+'فرع السلام'!I8</f>
        <v>0</v>
      </c>
      <c r="J20" s="46">
        <f>+'فرع السلام'!J8</f>
        <v>0</v>
      </c>
      <c r="K20" s="46">
        <f>+'فرع السلام'!K8</f>
        <v>0</v>
      </c>
      <c r="L20" s="46">
        <f>+'فرع السلام'!L8</f>
        <v>0</v>
      </c>
      <c r="M20" s="46">
        <f>+'فرع السلام'!M8</f>
        <v>0</v>
      </c>
      <c r="N20" s="46">
        <f>+'فرع السلام'!N8</f>
        <v>0</v>
      </c>
      <c r="O20" s="46">
        <f>+'فرع السلام'!O8</f>
        <v>0</v>
      </c>
      <c r="P20" s="46">
        <f>+'فرع السلام'!P8</f>
        <v>0</v>
      </c>
      <c r="Q20" s="46">
        <f>+'فرع السلام'!Q8</f>
        <v>0</v>
      </c>
      <c r="R20" s="47">
        <f>+'فرع السلام'!R8</f>
        <v>0</v>
      </c>
      <c r="S20" s="47">
        <f>+'فرع السلام'!S8</f>
        <v>0</v>
      </c>
      <c r="T20" s="46">
        <f>+'فرع السلام'!T8</f>
        <v>0</v>
      </c>
      <c r="U20" s="46">
        <f>+'فرع السلام'!U8</f>
        <v>0</v>
      </c>
      <c r="V20" s="46">
        <f>+'فرع السلام'!V8</f>
        <v>0</v>
      </c>
      <c r="W20" s="46">
        <f>+'فرع السلام'!W8</f>
        <v>0</v>
      </c>
      <c r="X20" s="46">
        <f>+'فرع السلام'!X8</f>
        <v>0</v>
      </c>
      <c r="Y20" s="46">
        <f>+'فرع السلام'!Y8</f>
        <v>0</v>
      </c>
      <c r="Z20" s="46">
        <f>+'فرع السلام'!Z8</f>
        <v>0</v>
      </c>
      <c r="AA20" s="46">
        <f>+'فرع السلام'!AA8</f>
        <v>0</v>
      </c>
      <c r="AB20" s="46">
        <f>+'فرع السلام'!AB8</f>
        <v>0</v>
      </c>
      <c r="AC20" s="46">
        <f>+'فرع السلام'!AC8</f>
        <v>0</v>
      </c>
      <c r="AD20" s="46">
        <f>+'فرع السلام'!AD8</f>
        <v>0</v>
      </c>
      <c r="AE20" s="46">
        <f>+'فرع السلام'!AE8</f>
        <v>0</v>
      </c>
      <c r="AF20" s="46">
        <f>+'فرع السلام'!AF8</f>
        <v>0</v>
      </c>
      <c r="AG20" s="46">
        <f>+'فرع السلام'!AG8</f>
        <v>0</v>
      </c>
      <c r="AH20" s="46">
        <f>+'فرع السلام'!AH8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+'فرع السلام'!A9</f>
        <v>0</v>
      </c>
      <c r="B24" s="44">
        <f>+'فرع السلام'!B9</f>
        <v>0</v>
      </c>
      <c r="C24" s="45">
        <f>+'فرع السلام'!C9</f>
        <v>0</v>
      </c>
      <c r="D24" s="45">
        <f>+'فرع السلام'!D9</f>
        <v>0</v>
      </c>
      <c r="E24" s="45">
        <f>+'فرع السلام'!E9</f>
        <v>0</v>
      </c>
      <c r="F24" s="46">
        <f>+'فرع السلام'!F9</f>
        <v>0</v>
      </c>
      <c r="G24" s="46">
        <f>+'فرع السلام'!G9</f>
        <v>0</v>
      </c>
      <c r="H24" s="46">
        <f>+'فرع السلام'!H9</f>
        <v>0</v>
      </c>
      <c r="I24" s="46">
        <f>+'فرع السلام'!I9</f>
        <v>0</v>
      </c>
      <c r="J24" s="46">
        <f>+'فرع السلام'!J9</f>
        <v>0</v>
      </c>
      <c r="K24" s="46">
        <f>+'فرع السلام'!K9</f>
        <v>0</v>
      </c>
      <c r="L24" s="46">
        <f>+'فرع السلام'!L9</f>
        <v>0</v>
      </c>
      <c r="M24" s="46">
        <f>+'فرع السلام'!M9</f>
        <v>0</v>
      </c>
      <c r="N24" s="46">
        <f>+'فرع السلام'!N9</f>
        <v>0</v>
      </c>
      <c r="O24" s="46">
        <f>+'فرع السلام'!O9</f>
        <v>0</v>
      </c>
      <c r="P24" s="46">
        <f>+'فرع السلام'!P9</f>
        <v>0</v>
      </c>
      <c r="Q24" s="46">
        <f>+'فرع السلام'!Q9</f>
        <v>0</v>
      </c>
      <c r="R24" s="47">
        <f>+'فرع السلام'!R9</f>
        <v>0</v>
      </c>
      <c r="S24" s="47">
        <f>+'فرع السلام'!S9</f>
        <v>0</v>
      </c>
      <c r="T24" s="46">
        <f>+'فرع السلام'!T9</f>
        <v>0</v>
      </c>
      <c r="U24" s="46">
        <f>+'فرع السلام'!U9</f>
        <v>0</v>
      </c>
      <c r="V24" s="46">
        <f>+'فرع السلام'!V9</f>
        <v>0</v>
      </c>
      <c r="W24" s="46">
        <f>+'فرع السلام'!W9</f>
        <v>0</v>
      </c>
      <c r="X24" s="46">
        <f>+'فرع السلام'!X9</f>
        <v>0</v>
      </c>
      <c r="Y24" s="46">
        <f>+'فرع السلام'!Y9</f>
        <v>0</v>
      </c>
      <c r="Z24" s="46">
        <f>+'فرع السلام'!Z9</f>
        <v>0</v>
      </c>
      <c r="AA24" s="46">
        <f>+'فرع السلام'!AA9</f>
        <v>0</v>
      </c>
      <c r="AB24" s="46">
        <f>+'فرع السلام'!AB9</f>
        <v>0</v>
      </c>
      <c r="AC24" s="46">
        <f>+'فرع السلام'!AC9</f>
        <v>0</v>
      </c>
      <c r="AD24" s="46">
        <f>+'فرع السلام'!AD9</f>
        <v>0</v>
      </c>
      <c r="AE24" s="46">
        <f>+'فرع السلام'!AE9</f>
        <v>0</v>
      </c>
      <c r="AF24" s="46">
        <f>+'فرع السلام'!AF9</f>
        <v>0</v>
      </c>
      <c r="AG24" s="46">
        <f>+'فرع السلام'!AG9</f>
        <v>0</v>
      </c>
      <c r="AH24" s="46">
        <f>+'فرع السلام'!AH9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+'فرع السلام'!A10</f>
        <v>0</v>
      </c>
      <c r="B28" s="44">
        <f>+'فرع السلام'!B10</f>
        <v>0</v>
      </c>
      <c r="C28" s="45">
        <f>+'فرع السلام'!C10</f>
        <v>0</v>
      </c>
      <c r="D28" s="45">
        <f>+'فرع السلام'!D10</f>
        <v>0</v>
      </c>
      <c r="E28" s="45">
        <f>+'فرع السلام'!E10</f>
        <v>0</v>
      </c>
      <c r="F28" s="46">
        <f>+'فرع السلام'!F10</f>
        <v>0</v>
      </c>
      <c r="G28" s="46">
        <f>+'فرع السلام'!G10</f>
        <v>0</v>
      </c>
      <c r="H28" s="46">
        <f>+'فرع السلام'!H10</f>
        <v>0</v>
      </c>
      <c r="I28" s="46">
        <f>+'فرع السلام'!I10</f>
        <v>0</v>
      </c>
      <c r="J28" s="46">
        <f>+'فرع السلام'!J10</f>
        <v>0</v>
      </c>
      <c r="K28" s="46">
        <f>+'فرع السلام'!K10</f>
        <v>0</v>
      </c>
      <c r="L28" s="46">
        <f>+'فرع السلام'!L10</f>
        <v>0</v>
      </c>
      <c r="M28" s="46">
        <f>+'فرع السلام'!M10</f>
        <v>0</v>
      </c>
      <c r="N28" s="46">
        <f>+'فرع السلام'!N10</f>
        <v>0</v>
      </c>
      <c r="O28" s="46">
        <f>+'فرع السلام'!O10</f>
        <v>0</v>
      </c>
      <c r="P28" s="46">
        <f>+'فرع السلام'!P10</f>
        <v>0</v>
      </c>
      <c r="Q28" s="46">
        <f>+'فرع السلام'!Q10</f>
        <v>0</v>
      </c>
      <c r="R28" s="47">
        <f>+'فرع السلام'!R10</f>
        <v>0</v>
      </c>
      <c r="S28" s="47">
        <f>+'فرع السلام'!S10</f>
        <v>0</v>
      </c>
      <c r="T28" s="46">
        <f>+'فرع السلام'!T10</f>
        <v>0</v>
      </c>
      <c r="U28" s="46">
        <f>+'فرع السلام'!U10</f>
        <v>0</v>
      </c>
      <c r="V28" s="46">
        <f>+'فرع السلام'!V10</f>
        <v>0</v>
      </c>
      <c r="W28" s="46">
        <f>+'فرع السلام'!W10</f>
        <v>0</v>
      </c>
      <c r="X28" s="46">
        <f>+'فرع السلام'!X10</f>
        <v>0</v>
      </c>
      <c r="Y28" s="46">
        <f>+'فرع السلام'!Y10</f>
        <v>0</v>
      </c>
      <c r="Z28" s="46">
        <f>+'فرع السلام'!Z10</f>
        <v>0</v>
      </c>
      <c r="AA28" s="46">
        <f>+'فرع السلام'!AA10</f>
        <v>0</v>
      </c>
      <c r="AB28" s="46">
        <f>+'فرع السلام'!AB10</f>
        <v>0</v>
      </c>
      <c r="AC28" s="46">
        <f>+'فرع السلام'!AC10</f>
        <v>0</v>
      </c>
      <c r="AD28" s="46">
        <f>+'فرع السلام'!AD10</f>
        <v>0</v>
      </c>
      <c r="AE28" s="46">
        <f>+'فرع السلام'!AE10</f>
        <v>0</v>
      </c>
      <c r="AF28" s="46">
        <f>+'فرع السلام'!AF10</f>
        <v>0</v>
      </c>
      <c r="AG28" s="46">
        <f>+'فرع السلام'!AG10</f>
        <v>0</v>
      </c>
      <c r="AH28" s="46">
        <f>+'فرع السلام'!AH10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+'فرع السلام'!A11</f>
        <v>0</v>
      </c>
      <c r="B32" s="44">
        <f>+'فرع السلام'!B11</f>
        <v>0</v>
      </c>
      <c r="C32" s="45">
        <f>+'فرع السلام'!C11</f>
        <v>0</v>
      </c>
      <c r="D32" s="45">
        <f>+'فرع السلام'!D11</f>
        <v>0</v>
      </c>
      <c r="E32" s="45">
        <f>+'فرع السلام'!E11</f>
        <v>0</v>
      </c>
      <c r="F32" s="46">
        <f>+'فرع السلام'!F11</f>
        <v>0</v>
      </c>
      <c r="G32" s="46">
        <f>+'فرع السلام'!G11</f>
        <v>0</v>
      </c>
      <c r="H32" s="46">
        <f>+'فرع السلام'!H11</f>
        <v>0</v>
      </c>
      <c r="I32" s="46">
        <f>+'فرع السلام'!I11</f>
        <v>0</v>
      </c>
      <c r="J32" s="46">
        <f>+'فرع السلام'!J11</f>
        <v>0</v>
      </c>
      <c r="K32" s="46">
        <f>+'فرع السلام'!K11</f>
        <v>0</v>
      </c>
      <c r="L32" s="46">
        <f>+'فرع السلام'!L11</f>
        <v>0</v>
      </c>
      <c r="M32" s="46">
        <f>+'فرع السلام'!M11</f>
        <v>0</v>
      </c>
      <c r="N32" s="46">
        <f>+'فرع السلام'!N11</f>
        <v>0</v>
      </c>
      <c r="O32" s="46">
        <f>+'فرع السلام'!O11</f>
        <v>0</v>
      </c>
      <c r="P32" s="46">
        <f>+'فرع السلام'!P11</f>
        <v>0</v>
      </c>
      <c r="Q32" s="46">
        <f>+'فرع السلام'!Q11</f>
        <v>0</v>
      </c>
      <c r="R32" s="47">
        <f>+'فرع السلام'!R11</f>
        <v>0</v>
      </c>
      <c r="S32" s="47">
        <f>+'فرع السلام'!S11</f>
        <v>0</v>
      </c>
      <c r="T32" s="46">
        <f>+'فرع السلام'!T11</f>
        <v>0</v>
      </c>
      <c r="U32" s="46">
        <f>+'فرع السلام'!U11</f>
        <v>0</v>
      </c>
      <c r="V32" s="46">
        <f>+'فرع السلام'!V11</f>
        <v>0</v>
      </c>
      <c r="W32" s="46">
        <f>+'فرع السلام'!W11</f>
        <v>0</v>
      </c>
      <c r="X32" s="46">
        <f>+'فرع السلام'!X11</f>
        <v>0</v>
      </c>
      <c r="Y32" s="46">
        <f>+'فرع السلام'!Y11</f>
        <v>0</v>
      </c>
      <c r="Z32" s="46">
        <f>+'فرع السلام'!Z11</f>
        <v>0</v>
      </c>
      <c r="AA32" s="46">
        <f>+'فرع السلام'!AA11</f>
        <v>0</v>
      </c>
      <c r="AB32" s="46">
        <f>+'فرع السلام'!AB11</f>
        <v>0</v>
      </c>
      <c r="AC32" s="46">
        <f>+'فرع السلام'!AC11</f>
        <v>0</v>
      </c>
      <c r="AD32" s="46">
        <f>+'فرع السلام'!AD11</f>
        <v>0</v>
      </c>
      <c r="AE32" s="46">
        <f>+'فرع السلام'!AE11</f>
        <v>0</v>
      </c>
      <c r="AF32" s="46">
        <f>+'فرع السلام'!AF11</f>
        <v>0</v>
      </c>
      <c r="AG32" s="46">
        <f>+'فرع السلام'!AG11</f>
        <v>0</v>
      </c>
      <c r="AH32" s="46">
        <f>+'فرع السلام'!AH11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+'فرع السلام'!A12</f>
        <v>0</v>
      </c>
      <c r="B36" s="44">
        <f>+'فرع السلام'!B12</f>
        <v>0</v>
      </c>
      <c r="C36" s="45">
        <f>+'فرع السلام'!C12</f>
        <v>0</v>
      </c>
      <c r="D36" s="45">
        <f>+'فرع السلام'!D12</f>
        <v>0</v>
      </c>
      <c r="E36" s="45">
        <f>+'فرع السلام'!E12</f>
        <v>0</v>
      </c>
      <c r="F36" s="46">
        <f>+'فرع السلام'!F12</f>
        <v>0</v>
      </c>
      <c r="G36" s="46">
        <f>+'فرع السلام'!G12</f>
        <v>0</v>
      </c>
      <c r="H36" s="46">
        <f>+'فرع السلام'!H12</f>
        <v>0</v>
      </c>
      <c r="I36" s="46">
        <f>+'فرع السلام'!I12</f>
        <v>0</v>
      </c>
      <c r="J36" s="46">
        <f>+'فرع السلام'!J12</f>
        <v>0</v>
      </c>
      <c r="K36" s="46">
        <f>+'فرع السلام'!K12</f>
        <v>0</v>
      </c>
      <c r="L36" s="46">
        <f>+'فرع السلام'!L12</f>
        <v>0</v>
      </c>
      <c r="M36" s="46">
        <f>+'فرع السلام'!M12</f>
        <v>0</v>
      </c>
      <c r="N36" s="46">
        <f>+'فرع السلام'!N12</f>
        <v>0</v>
      </c>
      <c r="O36" s="46">
        <f>+'فرع السلام'!O12</f>
        <v>0</v>
      </c>
      <c r="P36" s="46">
        <f>+'فرع السلام'!P12</f>
        <v>0</v>
      </c>
      <c r="Q36" s="46">
        <f>+'فرع السلام'!Q12</f>
        <v>0</v>
      </c>
      <c r="R36" s="47">
        <f>+'فرع السلام'!R12</f>
        <v>0</v>
      </c>
      <c r="S36" s="47">
        <f>+'فرع السلام'!S12</f>
        <v>0</v>
      </c>
      <c r="T36" s="46">
        <f>+'فرع السلام'!T12</f>
        <v>0</v>
      </c>
      <c r="U36" s="46">
        <f>+'فرع السلام'!U12</f>
        <v>0</v>
      </c>
      <c r="V36" s="46">
        <f>+'فرع السلام'!V12</f>
        <v>0</v>
      </c>
      <c r="W36" s="46">
        <f>+'فرع السلام'!W12</f>
        <v>0</v>
      </c>
      <c r="X36" s="46">
        <f>+'فرع السلام'!X12</f>
        <v>0</v>
      </c>
      <c r="Y36" s="46">
        <f>+'فرع السلام'!Y12</f>
        <v>0</v>
      </c>
      <c r="Z36" s="46">
        <f>+'فرع السلام'!Z12</f>
        <v>0</v>
      </c>
      <c r="AA36" s="46">
        <f>+'فرع السلام'!AA12</f>
        <v>0</v>
      </c>
      <c r="AB36" s="46">
        <f>+'فرع السلام'!AB12</f>
        <v>0</v>
      </c>
      <c r="AC36" s="46">
        <f>+'فرع السلام'!AC12</f>
        <v>0</v>
      </c>
      <c r="AD36" s="46">
        <f>+'فرع السلام'!AD12</f>
        <v>0</v>
      </c>
      <c r="AE36" s="46">
        <f>+'فرع السلام'!AE12</f>
        <v>0</v>
      </c>
      <c r="AF36" s="46">
        <f>+'فرع السلام'!AF12</f>
        <v>0</v>
      </c>
      <c r="AG36" s="46">
        <f>+'فرع السلام'!AG12</f>
        <v>0</v>
      </c>
      <c r="AH36" s="46">
        <f>+'فرع السلام'!AH12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+'فرع السلام'!A13</f>
        <v>0</v>
      </c>
      <c r="B40" s="44">
        <f>+'فرع السلام'!B13</f>
        <v>0</v>
      </c>
      <c r="C40" s="45">
        <f>+'فرع السلام'!C13</f>
        <v>0</v>
      </c>
      <c r="D40" s="45">
        <f>+'فرع السلام'!D13</f>
        <v>0</v>
      </c>
      <c r="E40" s="45">
        <f>+'فرع السلام'!E13</f>
        <v>0</v>
      </c>
      <c r="F40" s="46">
        <f>+'فرع السلام'!F13</f>
        <v>0</v>
      </c>
      <c r="G40" s="46">
        <f>+'فرع السلام'!G13</f>
        <v>0</v>
      </c>
      <c r="H40" s="46">
        <f>+'فرع السلام'!H13</f>
        <v>0</v>
      </c>
      <c r="I40" s="46">
        <f>+'فرع السلام'!I13</f>
        <v>0</v>
      </c>
      <c r="J40" s="46">
        <f>+'فرع السلام'!J13</f>
        <v>0</v>
      </c>
      <c r="K40" s="46">
        <f>+'فرع السلام'!K13</f>
        <v>0</v>
      </c>
      <c r="L40" s="46">
        <f>+'فرع السلام'!L13</f>
        <v>0</v>
      </c>
      <c r="M40" s="46">
        <f>+'فرع السلام'!M13</f>
        <v>0</v>
      </c>
      <c r="N40" s="46">
        <f>+'فرع السلام'!N13</f>
        <v>0</v>
      </c>
      <c r="O40" s="46">
        <f>+'فرع السلام'!O13</f>
        <v>0</v>
      </c>
      <c r="P40" s="46">
        <f>+'فرع السلام'!P13</f>
        <v>0</v>
      </c>
      <c r="Q40" s="46">
        <f>+'فرع السلام'!Q13</f>
        <v>0</v>
      </c>
      <c r="R40" s="47">
        <f>+'فرع السلام'!R13</f>
        <v>0</v>
      </c>
      <c r="S40" s="47">
        <f>+'فرع السلام'!S13</f>
        <v>0</v>
      </c>
      <c r="T40" s="46">
        <f>+'فرع السلام'!T13</f>
        <v>0</v>
      </c>
      <c r="U40" s="46">
        <f>+'فرع السلام'!U13</f>
        <v>0</v>
      </c>
      <c r="V40" s="46">
        <f>+'فرع السلام'!V13</f>
        <v>0</v>
      </c>
      <c r="W40" s="46">
        <f>+'فرع السلام'!W13</f>
        <v>0</v>
      </c>
      <c r="X40" s="46">
        <f>+'فرع السلام'!X13</f>
        <v>0</v>
      </c>
      <c r="Y40" s="46">
        <f>+'فرع السلام'!Y13</f>
        <v>0</v>
      </c>
      <c r="Z40" s="46">
        <f>+'فرع السلام'!Z13</f>
        <v>0</v>
      </c>
      <c r="AA40" s="46">
        <f>+'فرع السلام'!AA13</f>
        <v>0</v>
      </c>
      <c r="AB40" s="46">
        <f>+'فرع السلام'!AB13</f>
        <v>0</v>
      </c>
      <c r="AC40" s="46">
        <f>+'فرع السلام'!AC13</f>
        <v>0</v>
      </c>
      <c r="AD40" s="46">
        <f>+'فرع السلام'!AD13</f>
        <v>0</v>
      </c>
      <c r="AE40" s="46">
        <f>+'فرع السلام'!AE13</f>
        <v>0</v>
      </c>
      <c r="AF40" s="46">
        <f>+'فرع السلام'!AF13</f>
        <v>0</v>
      </c>
      <c r="AG40" s="46">
        <f>+'فرع السلام'!AG13</f>
        <v>0</v>
      </c>
      <c r="AH40" s="46">
        <f>+'فرع السلام'!AH13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+'فرع السلام'!A14</f>
        <v>0</v>
      </c>
      <c r="B44" s="44">
        <f>+'فرع السلام'!B14</f>
        <v>0</v>
      </c>
      <c r="C44" s="45">
        <f>+'فرع السلام'!C14</f>
        <v>0</v>
      </c>
      <c r="D44" s="45">
        <f>+'فرع السلام'!D14</f>
        <v>0</v>
      </c>
      <c r="E44" s="45">
        <f>+'فرع السلام'!E14</f>
        <v>0</v>
      </c>
      <c r="F44" s="46">
        <f>+'فرع السلام'!F14</f>
        <v>0</v>
      </c>
      <c r="G44" s="46">
        <f>+'فرع السلام'!G14</f>
        <v>0</v>
      </c>
      <c r="H44" s="46">
        <f>+'فرع السلام'!H14</f>
        <v>0</v>
      </c>
      <c r="I44" s="46">
        <f>+'فرع السلام'!I14</f>
        <v>0</v>
      </c>
      <c r="J44" s="46">
        <f>+'فرع السلام'!J14</f>
        <v>0</v>
      </c>
      <c r="K44" s="46">
        <f>+'فرع السلام'!K14</f>
        <v>0</v>
      </c>
      <c r="L44" s="46">
        <f>+'فرع السلام'!L14</f>
        <v>0</v>
      </c>
      <c r="M44" s="46">
        <f>+'فرع السلام'!M14</f>
        <v>0</v>
      </c>
      <c r="N44" s="46">
        <f>+'فرع السلام'!N14</f>
        <v>0</v>
      </c>
      <c r="O44" s="46">
        <f>+'فرع السلام'!O14</f>
        <v>0</v>
      </c>
      <c r="P44" s="46">
        <f>+'فرع السلام'!P14</f>
        <v>0</v>
      </c>
      <c r="Q44" s="46">
        <f>+'فرع السلام'!Q14</f>
        <v>0</v>
      </c>
      <c r="R44" s="47">
        <f>+'فرع السلام'!R14</f>
        <v>0</v>
      </c>
      <c r="S44" s="47">
        <f>+'فرع السلام'!S14</f>
        <v>0</v>
      </c>
      <c r="T44" s="46">
        <f>+'فرع السلام'!T14</f>
        <v>0</v>
      </c>
      <c r="U44" s="46">
        <f>+'فرع السلام'!U14</f>
        <v>0</v>
      </c>
      <c r="V44" s="46">
        <f>+'فرع السلام'!V14</f>
        <v>0</v>
      </c>
      <c r="W44" s="46">
        <f>+'فرع السلام'!W14</f>
        <v>0</v>
      </c>
      <c r="X44" s="46">
        <f>+'فرع السلام'!X14</f>
        <v>0</v>
      </c>
      <c r="Y44" s="46">
        <f>+'فرع السلام'!Y14</f>
        <v>0</v>
      </c>
      <c r="Z44" s="46">
        <f>+'فرع السلام'!Z14</f>
        <v>0</v>
      </c>
      <c r="AA44" s="46">
        <f>+'فرع السلام'!AA14</f>
        <v>0</v>
      </c>
      <c r="AB44" s="46">
        <f>+'فرع السلام'!AB14</f>
        <v>0</v>
      </c>
      <c r="AC44" s="46">
        <f>+'فرع السلام'!AC14</f>
        <v>0</v>
      </c>
      <c r="AD44" s="46">
        <f>+'فرع السلام'!AD14</f>
        <v>0</v>
      </c>
      <c r="AE44" s="46">
        <f>+'فرع السلام'!AE14</f>
        <v>0</v>
      </c>
      <c r="AF44" s="46">
        <f>+'فرع السلام'!AF14</f>
        <v>0</v>
      </c>
      <c r="AG44" s="46">
        <f>+'فرع السلام'!AG14</f>
        <v>0</v>
      </c>
      <c r="AH44" s="46">
        <f>+'فرع السلام'!AH14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+'فرع السلام'!A15</f>
        <v>0</v>
      </c>
      <c r="B48" s="44">
        <f>+'فرع السلام'!B15</f>
        <v>0</v>
      </c>
      <c r="C48" s="45">
        <f>+'فرع السلام'!C15</f>
        <v>0</v>
      </c>
      <c r="D48" s="45">
        <f>+'فرع السلام'!D15</f>
        <v>0</v>
      </c>
      <c r="E48" s="45">
        <f>+'فرع السلام'!E15</f>
        <v>0</v>
      </c>
      <c r="F48" s="46">
        <f>+'فرع السلام'!F15</f>
        <v>0</v>
      </c>
      <c r="G48" s="46">
        <f>+'فرع السلام'!G15</f>
        <v>0</v>
      </c>
      <c r="H48" s="46">
        <f>+'فرع السلام'!H15</f>
        <v>0</v>
      </c>
      <c r="I48" s="46">
        <f>+'فرع السلام'!I15</f>
        <v>0</v>
      </c>
      <c r="J48" s="46">
        <f>+'فرع السلام'!J15</f>
        <v>0</v>
      </c>
      <c r="K48" s="46">
        <f>+'فرع السلام'!K15</f>
        <v>0</v>
      </c>
      <c r="L48" s="46">
        <f>+'فرع السلام'!L15</f>
        <v>0</v>
      </c>
      <c r="M48" s="46">
        <f>+'فرع السلام'!M15</f>
        <v>0</v>
      </c>
      <c r="N48" s="46">
        <f>+'فرع السلام'!N15</f>
        <v>0</v>
      </c>
      <c r="O48" s="46">
        <f>+'فرع السلام'!O15</f>
        <v>0</v>
      </c>
      <c r="P48" s="46">
        <f>+'فرع السلام'!P15</f>
        <v>0</v>
      </c>
      <c r="Q48" s="46">
        <f>+'فرع السلام'!Q15</f>
        <v>0</v>
      </c>
      <c r="R48" s="47">
        <f>+'فرع السلام'!R15</f>
        <v>0</v>
      </c>
      <c r="S48" s="47">
        <f>+'فرع السلام'!S15</f>
        <v>0</v>
      </c>
      <c r="T48" s="46">
        <f>+'فرع السلام'!T15</f>
        <v>0</v>
      </c>
      <c r="U48" s="46">
        <f>+'فرع السلام'!U15</f>
        <v>0</v>
      </c>
      <c r="V48" s="46">
        <f>+'فرع السلام'!V15</f>
        <v>0</v>
      </c>
      <c r="W48" s="46">
        <f>+'فرع السلام'!W15</f>
        <v>0</v>
      </c>
      <c r="X48" s="46">
        <f>+'فرع السلام'!X15</f>
        <v>0</v>
      </c>
      <c r="Y48" s="46">
        <f>+'فرع السلام'!Y15</f>
        <v>0</v>
      </c>
      <c r="Z48" s="46">
        <f>+'فرع السلام'!Z15</f>
        <v>0</v>
      </c>
      <c r="AA48" s="46">
        <f>+'فرع السلام'!AA15</f>
        <v>0</v>
      </c>
      <c r="AB48" s="46">
        <f>+'فرع السلام'!AB15</f>
        <v>0</v>
      </c>
      <c r="AC48" s="46">
        <f>+'فرع السلام'!AC15</f>
        <v>0</v>
      </c>
      <c r="AD48" s="46">
        <f>+'فرع السلام'!AD15</f>
        <v>0</v>
      </c>
      <c r="AE48" s="46">
        <f>+'فرع السلام'!AE15</f>
        <v>0</v>
      </c>
      <c r="AF48" s="46">
        <f>+'فرع السلام'!AF15</f>
        <v>0</v>
      </c>
      <c r="AG48" s="46">
        <f>+'فرع السلام'!AG15</f>
        <v>0</v>
      </c>
      <c r="AH48" s="46">
        <f>+'فرع السلام'!AH15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+'فرع السلام'!A16</f>
        <v>0</v>
      </c>
      <c r="B52" s="44">
        <f>+'فرع السلام'!B16</f>
        <v>0</v>
      </c>
      <c r="C52" s="45">
        <f>+'فرع السلام'!C16</f>
        <v>0</v>
      </c>
      <c r="D52" s="45">
        <f>+'فرع السلام'!D16</f>
        <v>0</v>
      </c>
      <c r="E52" s="45">
        <f>+'فرع السلام'!E16</f>
        <v>0</v>
      </c>
      <c r="F52" s="46">
        <f>+'فرع السلام'!F16</f>
        <v>0</v>
      </c>
      <c r="G52" s="46">
        <f>+'فرع السلام'!G16</f>
        <v>0</v>
      </c>
      <c r="H52" s="46">
        <f>+'فرع السلام'!H16</f>
        <v>0</v>
      </c>
      <c r="I52" s="46">
        <f>+'فرع السلام'!I16</f>
        <v>0</v>
      </c>
      <c r="J52" s="46">
        <f>+'فرع السلام'!J16</f>
        <v>0</v>
      </c>
      <c r="K52" s="46">
        <f>+'فرع السلام'!K16</f>
        <v>0</v>
      </c>
      <c r="L52" s="46">
        <f>+'فرع السلام'!L16</f>
        <v>0</v>
      </c>
      <c r="M52" s="46">
        <f>+'فرع السلام'!M16</f>
        <v>0</v>
      </c>
      <c r="N52" s="46">
        <f>+'فرع السلام'!N16</f>
        <v>0</v>
      </c>
      <c r="O52" s="46">
        <f>+'فرع السلام'!O16</f>
        <v>0</v>
      </c>
      <c r="P52" s="46">
        <f>+'فرع السلام'!P16</f>
        <v>0</v>
      </c>
      <c r="Q52" s="46">
        <f>+'فرع السلام'!Q16</f>
        <v>0</v>
      </c>
      <c r="R52" s="47">
        <f>+'فرع السلام'!R16</f>
        <v>0</v>
      </c>
      <c r="S52" s="47">
        <f>+'فرع السلام'!S16</f>
        <v>0</v>
      </c>
      <c r="T52" s="46">
        <f>+'فرع السلام'!T16</f>
        <v>0</v>
      </c>
      <c r="U52" s="46">
        <f>+'فرع السلام'!U16</f>
        <v>0</v>
      </c>
      <c r="V52" s="46">
        <f>+'فرع السلام'!V16</f>
        <v>0</v>
      </c>
      <c r="W52" s="46">
        <f>+'فرع السلام'!W16</f>
        <v>0</v>
      </c>
      <c r="X52" s="46">
        <f>+'فرع السلام'!X16</f>
        <v>0</v>
      </c>
      <c r="Y52" s="46">
        <f>+'فرع السلام'!Y16</f>
        <v>0</v>
      </c>
      <c r="Z52" s="46">
        <f>+'فرع السلام'!Z16</f>
        <v>0</v>
      </c>
      <c r="AA52" s="46">
        <f>+'فرع السلام'!AA16</f>
        <v>0</v>
      </c>
      <c r="AB52" s="46">
        <f>+'فرع السلام'!AB16</f>
        <v>0</v>
      </c>
      <c r="AC52" s="46">
        <f>+'فرع السلام'!AC16</f>
        <v>0</v>
      </c>
      <c r="AD52" s="46">
        <f>+'فرع السلام'!AD16</f>
        <v>0</v>
      </c>
      <c r="AE52" s="46">
        <f>+'فرع السلام'!AE16</f>
        <v>0</v>
      </c>
      <c r="AF52" s="46">
        <f>+'فرع السلام'!AF16</f>
        <v>0</v>
      </c>
      <c r="AG52" s="46">
        <f>+'فرع السلام'!AG16</f>
        <v>0</v>
      </c>
      <c r="AH52" s="46">
        <f>+'فرع السلام'!AH16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+'فرع السلام'!A17</f>
        <v>0</v>
      </c>
      <c r="B56" s="44">
        <f>+'فرع السلام'!B17</f>
        <v>0</v>
      </c>
      <c r="C56" s="45">
        <f>+'فرع السلام'!C17</f>
        <v>0</v>
      </c>
      <c r="D56" s="45">
        <f>+'فرع السلام'!D17</f>
        <v>0</v>
      </c>
      <c r="E56" s="45">
        <f>+'فرع السلام'!E17</f>
        <v>0</v>
      </c>
      <c r="F56" s="46">
        <f>+'فرع السلام'!F17</f>
        <v>0</v>
      </c>
      <c r="G56" s="46">
        <f>+'فرع السلام'!G17</f>
        <v>0</v>
      </c>
      <c r="H56" s="46">
        <f>+'فرع السلام'!H17</f>
        <v>0</v>
      </c>
      <c r="I56" s="46">
        <f>+'فرع السلام'!I17</f>
        <v>0</v>
      </c>
      <c r="J56" s="46">
        <f>+'فرع السلام'!J17</f>
        <v>0</v>
      </c>
      <c r="K56" s="46">
        <f>+'فرع السلام'!K17</f>
        <v>0</v>
      </c>
      <c r="L56" s="46">
        <f>+'فرع السلام'!L17</f>
        <v>0</v>
      </c>
      <c r="M56" s="46">
        <f>+'فرع السلام'!M17</f>
        <v>0</v>
      </c>
      <c r="N56" s="46">
        <f>+'فرع السلام'!N17</f>
        <v>0</v>
      </c>
      <c r="O56" s="46">
        <f>+'فرع السلام'!O17</f>
        <v>0</v>
      </c>
      <c r="P56" s="46">
        <f>+'فرع السلام'!P17</f>
        <v>0</v>
      </c>
      <c r="Q56" s="46">
        <f>+'فرع السلام'!Q17</f>
        <v>0</v>
      </c>
      <c r="R56" s="47">
        <f>+'فرع السلام'!R17</f>
        <v>0</v>
      </c>
      <c r="S56" s="47">
        <f>+'فرع السلام'!S17</f>
        <v>0</v>
      </c>
      <c r="T56" s="46">
        <f>+'فرع السلام'!T17</f>
        <v>0</v>
      </c>
      <c r="U56" s="46">
        <f>+'فرع السلام'!U17</f>
        <v>0</v>
      </c>
      <c r="V56" s="46">
        <f>+'فرع السلام'!V17</f>
        <v>0</v>
      </c>
      <c r="W56" s="46">
        <f>+'فرع السلام'!W17</f>
        <v>0</v>
      </c>
      <c r="X56" s="46">
        <f>+'فرع السلام'!X17</f>
        <v>0</v>
      </c>
      <c r="Y56" s="46">
        <f>+'فرع السلام'!Y17</f>
        <v>0</v>
      </c>
      <c r="Z56" s="46">
        <f>+'فرع السلام'!Z17</f>
        <v>0</v>
      </c>
      <c r="AA56" s="46">
        <f>+'فرع السلام'!AA17</f>
        <v>0</v>
      </c>
      <c r="AB56" s="46">
        <f>+'فرع السلام'!AB17</f>
        <v>0</v>
      </c>
      <c r="AC56" s="46">
        <f>+'فرع السلام'!AC17</f>
        <v>0</v>
      </c>
      <c r="AD56" s="46">
        <f>+'فرع السلام'!AD17</f>
        <v>0</v>
      </c>
      <c r="AE56" s="46">
        <f>+'فرع السلام'!AE17</f>
        <v>0</v>
      </c>
      <c r="AF56" s="46">
        <f>+'فرع السلام'!AF17</f>
        <v>0</v>
      </c>
      <c r="AG56" s="46">
        <f>+'فرع السلام'!AG17</f>
        <v>0</v>
      </c>
      <c r="AH56" s="46">
        <f>+'فرع السلام'!AH17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+'فرع السلام'!A18</f>
        <v>0</v>
      </c>
      <c r="B60" s="44">
        <f>+'فرع السلام'!B18</f>
        <v>0</v>
      </c>
      <c r="C60" s="45">
        <f>+'فرع السلام'!C18</f>
        <v>0</v>
      </c>
      <c r="D60" s="45">
        <f>+'فرع السلام'!D18</f>
        <v>0</v>
      </c>
      <c r="E60" s="45">
        <f>+'فرع السلام'!E18</f>
        <v>0</v>
      </c>
      <c r="F60" s="46">
        <f>+'فرع السلام'!F18</f>
        <v>0</v>
      </c>
      <c r="G60" s="46">
        <f>+'فرع السلام'!G18</f>
        <v>0</v>
      </c>
      <c r="H60" s="46">
        <f>+'فرع السلام'!H18</f>
        <v>0</v>
      </c>
      <c r="I60" s="46">
        <f>+'فرع السلام'!I18</f>
        <v>0</v>
      </c>
      <c r="J60" s="46">
        <f>+'فرع السلام'!J18</f>
        <v>0</v>
      </c>
      <c r="K60" s="46">
        <f>+'فرع السلام'!K18</f>
        <v>0</v>
      </c>
      <c r="L60" s="46">
        <f>+'فرع السلام'!L18</f>
        <v>0</v>
      </c>
      <c r="M60" s="46">
        <f>+'فرع السلام'!M18</f>
        <v>0</v>
      </c>
      <c r="N60" s="46">
        <f>+'فرع السلام'!N18</f>
        <v>0</v>
      </c>
      <c r="O60" s="46">
        <f>+'فرع السلام'!O18</f>
        <v>0</v>
      </c>
      <c r="P60" s="46">
        <f>+'فرع السلام'!P18</f>
        <v>0</v>
      </c>
      <c r="Q60" s="46">
        <f>+'فرع السلام'!Q18</f>
        <v>0</v>
      </c>
      <c r="R60" s="47">
        <f>+'فرع السلام'!R18</f>
        <v>0</v>
      </c>
      <c r="S60" s="47">
        <f>+'فرع السلام'!S18</f>
        <v>0</v>
      </c>
      <c r="T60" s="46">
        <f>+'فرع السلام'!T18</f>
        <v>0</v>
      </c>
      <c r="U60" s="46">
        <f>+'فرع السلام'!U18</f>
        <v>0</v>
      </c>
      <c r="V60" s="46">
        <f>+'فرع السلام'!V18</f>
        <v>0</v>
      </c>
      <c r="W60" s="46">
        <f>+'فرع السلام'!W18</f>
        <v>0</v>
      </c>
      <c r="X60" s="46">
        <f>+'فرع السلام'!X18</f>
        <v>0</v>
      </c>
      <c r="Y60" s="46">
        <f>+'فرع السلام'!Y18</f>
        <v>0</v>
      </c>
      <c r="Z60" s="46">
        <f>+'فرع السلام'!Z18</f>
        <v>0</v>
      </c>
      <c r="AA60" s="46">
        <f>+'فرع السلام'!AA18</f>
        <v>0</v>
      </c>
      <c r="AB60" s="46">
        <f>+'فرع السلام'!AB18</f>
        <v>0</v>
      </c>
      <c r="AC60" s="46">
        <f>+'فرع السلام'!AC18</f>
        <v>0</v>
      </c>
      <c r="AD60" s="46">
        <f>+'فرع السلام'!AD18</f>
        <v>0</v>
      </c>
      <c r="AE60" s="46">
        <f>+'فرع السلام'!AE18</f>
        <v>0</v>
      </c>
      <c r="AF60" s="46">
        <f>+'فرع السلام'!AF18</f>
        <v>0</v>
      </c>
      <c r="AG60" s="46">
        <f>+'فرع السلام'!AG18</f>
        <v>0</v>
      </c>
      <c r="AH60" s="46">
        <f>+'فرع السلام'!AH18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+'فرع السلام'!A19</f>
        <v>0</v>
      </c>
      <c r="B64" s="44">
        <f>+'فرع السلام'!B19</f>
        <v>0</v>
      </c>
      <c r="C64" s="45">
        <f>+'فرع السلام'!C19</f>
        <v>0</v>
      </c>
      <c r="D64" s="45">
        <f>+'فرع السلام'!D19</f>
        <v>0</v>
      </c>
      <c r="E64" s="45">
        <f>+'فرع السلام'!E19</f>
        <v>0</v>
      </c>
      <c r="F64" s="46">
        <f>+'فرع السلام'!F19</f>
        <v>0</v>
      </c>
      <c r="G64" s="46">
        <f>+'فرع السلام'!G19</f>
        <v>0</v>
      </c>
      <c r="H64" s="46">
        <f>+'فرع السلام'!H19</f>
        <v>0</v>
      </c>
      <c r="I64" s="46">
        <f>+'فرع السلام'!I19</f>
        <v>0</v>
      </c>
      <c r="J64" s="46">
        <f>+'فرع السلام'!J19</f>
        <v>0</v>
      </c>
      <c r="K64" s="46">
        <f>+'فرع السلام'!K19</f>
        <v>0</v>
      </c>
      <c r="L64" s="46">
        <f>+'فرع السلام'!L19</f>
        <v>0</v>
      </c>
      <c r="M64" s="46">
        <f>+'فرع السلام'!M19</f>
        <v>0</v>
      </c>
      <c r="N64" s="46">
        <f>+'فرع السلام'!N19</f>
        <v>0</v>
      </c>
      <c r="O64" s="46">
        <f>+'فرع السلام'!O19</f>
        <v>0</v>
      </c>
      <c r="P64" s="46">
        <f>+'فرع السلام'!P19</f>
        <v>0</v>
      </c>
      <c r="Q64" s="46">
        <f>+'فرع السلام'!Q19</f>
        <v>0</v>
      </c>
      <c r="R64" s="47">
        <f>+'فرع السلام'!R19</f>
        <v>0</v>
      </c>
      <c r="S64" s="47">
        <f>+'فرع السلام'!S19</f>
        <v>0</v>
      </c>
      <c r="T64" s="46">
        <f>+'فرع السلام'!T19</f>
        <v>0</v>
      </c>
      <c r="U64" s="46">
        <f>+'فرع السلام'!U19</f>
        <v>0</v>
      </c>
      <c r="V64" s="46">
        <f>+'فرع السلام'!V19</f>
        <v>0</v>
      </c>
      <c r="W64" s="46">
        <f>+'فرع السلام'!W19</f>
        <v>0</v>
      </c>
      <c r="X64" s="46">
        <f>+'فرع السلام'!X19</f>
        <v>0</v>
      </c>
      <c r="Y64" s="46">
        <f>+'فرع السلام'!Y19</f>
        <v>0</v>
      </c>
      <c r="Z64" s="46">
        <f>+'فرع السلام'!Z19</f>
        <v>0</v>
      </c>
      <c r="AA64" s="46">
        <f>+'فرع السلام'!AA19</f>
        <v>0</v>
      </c>
      <c r="AB64" s="46">
        <f>+'فرع السلام'!AB19</f>
        <v>0</v>
      </c>
      <c r="AC64" s="46">
        <f>+'فرع السلام'!AC19</f>
        <v>0</v>
      </c>
      <c r="AD64" s="46">
        <f>+'فرع السلام'!AD19</f>
        <v>0</v>
      </c>
      <c r="AE64" s="46">
        <f>+'فرع السلام'!AE19</f>
        <v>0</v>
      </c>
      <c r="AF64" s="46">
        <f>+'فرع السلام'!AF19</f>
        <v>0</v>
      </c>
      <c r="AG64" s="46">
        <f>+'فرع السلام'!AG19</f>
        <v>0</v>
      </c>
      <c r="AH64" s="46">
        <f>+'فرع السلام'!AH19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+'فرع السلام'!A20</f>
        <v>0</v>
      </c>
      <c r="B68" s="44">
        <f>+'فرع السلام'!B20</f>
        <v>0</v>
      </c>
      <c r="C68" s="45">
        <f>+'فرع السلام'!C20</f>
        <v>0</v>
      </c>
      <c r="D68" s="45">
        <f>+'فرع السلام'!D20</f>
        <v>0</v>
      </c>
      <c r="E68" s="45">
        <f>+'فرع السلام'!E20</f>
        <v>0</v>
      </c>
      <c r="F68" s="46">
        <f>+'فرع السلام'!F20</f>
        <v>0</v>
      </c>
      <c r="G68" s="46">
        <f>+'فرع السلام'!G20</f>
        <v>0</v>
      </c>
      <c r="H68" s="46">
        <f>+'فرع السلام'!H20</f>
        <v>0</v>
      </c>
      <c r="I68" s="46">
        <f>+'فرع السلام'!I20</f>
        <v>0</v>
      </c>
      <c r="J68" s="46">
        <f>+'فرع السلام'!J20</f>
        <v>0</v>
      </c>
      <c r="K68" s="46">
        <f>+'فرع السلام'!K20</f>
        <v>0</v>
      </c>
      <c r="L68" s="46">
        <f>+'فرع السلام'!L20</f>
        <v>0</v>
      </c>
      <c r="M68" s="46">
        <f>+'فرع السلام'!M20</f>
        <v>0</v>
      </c>
      <c r="N68" s="46">
        <f>+'فرع السلام'!N20</f>
        <v>0</v>
      </c>
      <c r="O68" s="46">
        <f>+'فرع السلام'!O20</f>
        <v>0</v>
      </c>
      <c r="P68" s="46">
        <f>+'فرع السلام'!P20</f>
        <v>0</v>
      </c>
      <c r="Q68" s="46">
        <f>+'فرع السلام'!Q20</f>
        <v>0</v>
      </c>
      <c r="R68" s="47">
        <f>+'فرع السلام'!R20</f>
        <v>0</v>
      </c>
      <c r="S68" s="47">
        <f>+'فرع السلام'!S20</f>
        <v>0</v>
      </c>
      <c r="T68" s="46">
        <f>+'فرع السلام'!T20</f>
        <v>0</v>
      </c>
      <c r="U68" s="46">
        <f>+'فرع السلام'!U20</f>
        <v>0</v>
      </c>
      <c r="V68" s="46">
        <f>+'فرع السلام'!V20</f>
        <v>0</v>
      </c>
      <c r="W68" s="46">
        <f>+'فرع السلام'!W20</f>
        <v>0</v>
      </c>
      <c r="X68" s="46">
        <f>+'فرع السلام'!X20</f>
        <v>0</v>
      </c>
      <c r="Y68" s="46">
        <f>+'فرع السلام'!Y20</f>
        <v>0</v>
      </c>
      <c r="Z68" s="46">
        <f>+'فرع السلام'!Z20</f>
        <v>0</v>
      </c>
      <c r="AA68" s="46">
        <f>+'فرع السلام'!AA20</f>
        <v>0</v>
      </c>
      <c r="AB68" s="46">
        <f>+'فرع السلام'!AB20</f>
        <v>0</v>
      </c>
      <c r="AC68" s="46">
        <f>+'فرع السلام'!AC20</f>
        <v>0</v>
      </c>
      <c r="AD68" s="46">
        <f>+'فرع السلام'!AD20</f>
        <v>0</v>
      </c>
      <c r="AE68" s="46">
        <f>+'فرع السلام'!AE20</f>
        <v>0</v>
      </c>
      <c r="AF68" s="46">
        <f>+'فرع السلام'!AF20</f>
        <v>0</v>
      </c>
      <c r="AG68" s="46">
        <f>+'فرع السلام'!AG20</f>
        <v>0</v>
      </c>
      <c r="AH68" s="46">
        <f>+'فرع السلام'!AH20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+'فرع السلام'!A21</f>
        <v>0</v>
      </c>
      <c r="B72" s="44">
        <f>+'فرع السلام'!B21</f>
        <v>0</v>
      </c>
      <c r="C72" s="45">
        <f>+'فرع السلام'!C21</f>
        <v>0</v>
      </c>
      <c r="D72" s="45">
        <f>+'فرع السلام'!D21</f>
        <v>0</v>
      </c>
      <c r="E72" s="45">
        <f>+'فرع السلام'!E21</f>
        <v>0</v>
      </c>
      <c r="F72" s="46">
        <f>+'فرع السلام'!F21</f>
        <v>0</v>
      </c>
      <c r="G72" s="46">
        <f>+'فرع السلام'!G21</f>
        <v>0</v>
      </c>
      <c r="H72" s="46">
        <f>+'فرع السلام'!H21</f>
        <v>0</v>
      </c>
      <c r="I72" s="46">
        <f>+'فرع السلام'!I21</f>
        <v>0</v>
      </c>
      <c r="J72" s="46">
        <f>+'فرع السلام'!J21</f>
        <v>0</v>
      </c>
      <c r="K72" s="46">
        <f>+'فرع السلام'!K21</f>
        <v>0</v>
      </c>
      <c r="L72" s="46">
        <f>+'فرع السلام'!L21</f>
        <v>0</v>
      </c>
      <c r="M72" s="46">
        <f>+'فرع السلام'!M21</f>
        <v>0</v>
      </c>
      <c r="N72" s="46">
        <f>+'فرع السلام'!N21</f>
        <v>0</v>
      </c>
      <c r="O72" s="46">
        <f>+'فرع السلام'!O21</f>
        <v>0</v>
      </c>
      <c r="P72" s="46">
        <f>+'فرع السلام'!P21</f>
        <v>0</v>
      </c>
      <c r="Q72" s="46">
        <f>+'فرع السلام'!Q21</f>
        <v>0</v>
      </c>
      <c r="R72" s="47">
        <f>+'فرع السلام'!R21</f>
        <v>0</v>
      </c>
      <c r="S72" s="47">
        <f>+'فرع السلام'!S21</f>
        <v>0</v>
      </c>
      <c r="T72" s="46">
        <f>+'فرع السلام'!T21</f>
        <v>0</v>
      </c>
      <c r="U72" s="46">
        <f>+'فرع السلام'!U21</f>
        <v>0</v>
      </c>
      <c r="V72" s="46">
        <f>+'فرع السلام'!V21</f>
        <v>0</v>
      </c>
      <c r="W72" s="46">
        <f>+'فرع السلام'!W21</f>
        <v>0</v>
      </c>
      <c r="X72" s="46">
        <f>+'فرع السلام'!X21</f>
        <v>0</v>
      </c>
      <c r="Y72" s="46">
        <f>+'فرع السلام'!Y21</f>
        <v>0</v>
      </c>
      <c r="Z72" s="46">
        <f>+'فرع السلام'!Z21</f>
        <v>0</v>
      </c>
      <c r="AA72" s="46">
        <f>+'فرع السلام'!AA21</f>
        <v>0</v>
      </c>
      <c r="AB72" s="46">
        <f>+'فرع السلام'!AB21</f>
        <v>0</v>
      </c>
      <c r="AC72" s="46">
        <f>+'فرع السلام'!AC21</f>
        <v>0</v>
      </c>
      <c r="AD72" s="46">
        <f>+'فرع السلام'!AD21</f>
        <v>0</v>
      </c>
      <c r="AE72" s="46">
        <f>+'فرع السلام'!AE21</f>
        <v>0</v>
      </c>
      <c r="AF72" s="46">
        <f>+'فرع السلام'!AF21</f>
        <v>0</v>
      </c>
      <c r="AG72" s="46">
        <f>+'فرع السلام'!AG21</f>
        <v>0</v>
      </c>
      <c r="AH72" s="46">
        <f>+'فرع السلام'!AH21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+'فرع السلام'!A22</f>
        <v>0</v>
      </c>
      <c r="B76" s="44">
        <f>+'فرع السلام'!B22</f>
        <v>0</v>
      </c>
      <c r="C76" s="45">
        <f>+'فرع السلام'!C22</f>
        <v>0</v>
      </c>
      <c r="D76" s="45">
        <f>+'فرع السلام'!D22</f>
        <v>0</v>
      </c>
      <c r="E76" s="45">
        <f>+'فرع السلام'!E22</f>
        <v>0</v>
      </c>
      <c r="F76" s="46">
        <f>+'فرع السلام'!F22</f>
        <v>0</v>
      </c>
      <c r="G76" s="46">
        <f>+'فرع السلام'!G22</f>
        <v>0</v>
      </c>
      <c r="H76" s="46">
        <f>+'فرع السلام'!H22</f>
        <v>0</v>
      </c>
      <c r="I76" s="46">
        <f>+'فرع السلام'!I22</f>
        <v>0</v>
      </c>
      <c r="J76" s="46">
        <f>+'فرع السلام'!J22</f>
        <v>0</v>
      </c>
      <c r="K76" s="46">
        <f>+'فرع السلام'!K22</f>
        <v>0</v>
      </c>
      <c r="L76" s="46">
        <f>+'فرع السلام'!L22</f>
        <v>0</v>
      </c>
      <c r="M76" s="46">
        <f>+'فرع السلام'!M22</f>
        <v>0</v>
      </c>
      <c r="N76" s="46">
        <f>+'فرع السلام'!N22</f>
        <v>0</v>
      </c>
      <c r="O76" s="46">
        <f>+'فرع السلام'!O22</f>
        <v>0</v>
      </c>
      <c r="P76" s="46">
        <f>+'فرع السلام'!P22</f>
        <v>0</v>
      </c>
      <c r="Q76" s="46">
        <f>+'فرع السلام'!Q22</f>
        <v>0</v>
      </c>
      <c r="R76" s="47">
        <f>+'فرع السلام'!R22</f>
        <v>0</v>
      </c>
      <c r="S76" s="47">
        <f>+'فرع السلام'!S22</f>
        <v>0</v>
      </c>
      <c r="T76" s="46">
        <f>+'فرع السلام'!T22</f>
        <v>0</v>
      </c>
      <c r="U76" s="46">
        <f>+'فرع السلام'!U22</f>
        <v>0</v>
      </c>
      <c r="V76" s="46">
        <f>+'فرع السلام'!V22</f>
        <v>0</v>
      </c>
      <c r="W76" s="46">
        <f>+'فرع السلام'!W22</f>
        <v>0</v>
      </c>
      <c r="X76" s="46">
        <f>+'فرع السلام'!X22</f>
        <v>0</v>
      </c>
      <c r="Y76" s="46">
        <f>+'فرع السلام'!Y22</f>
        <v>0</v>
      </c>
      <c r="Z76" s="46">
        <f>+'فرع السلام'!Z22</f>
        <v>0</v>
      </c>
      <c r="AA76" s="46">
        <f>+'فرع السلام'!AA22</f>
        <v>0</v>
      </c>
      <c r="AB76" s="46">
        <f>+'فرع السلام'!AB22</f>
        <v>0</v>
      </c>
      <c r="AC76" s="46">
        <f>+'فرع السلام'!AC22</f>
        <v>0</v>
      </c>
      <c r="AD76" s="46">
        <f>+'فرع السلام'!AD22</f>
        <v>0</v>
      </c>
      <c r="AE76" s="46">
        <f>+'فرع السلام'!AE22</f>
        <v>0</v>
      </c>
      <c r="AF76" s="46">
        <f>+'فرع السلام'!AF22</f>
        <v>0</v>
      </c>
      <c r="AG76" s="46">
        <f>+'فرع السلام'!AG22</f>
        <v>0</v>
      </c>
      <c r="AH76" s="46">
        <f>+'فرع السلام'!AH22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+'فرع السلام'!A23</f>
        <v>0</v>
      </c>
      <c r="B80" s="44">
        <f>+'فرع السلام'!B23</f>
        <v>0</v>
      </c>
      <c r="C80" s="45">
        <f>+'فرع السلام'!C23</f>
        <v>0</v>
      </c>
      <c r="D80" s="45">
        <f>+'فرع السلام'!D23</f>
        <v>0</v>
      </c>
      <c r="E80" s="45">
        <f>+'فرع السلام'!E23</f>
        <v>0</v>
      </c>
      <c r="F80" s="46">
        <f>+'فرع السلام'!F23</f>
        <v>0</v>
      </c>
      <c r="G80" s="46">
        <f>+'فرع السلام'!G23</f>
        <v>0</v>
      </c>
      <c r="H80" s="46">
        <f>+'فرع السلام'!H23</f>
        <v>0</v>
      </c>
      <c r="I80" s="46">
        <f>+'فرع السلام'!I23</f>
        <v>0</v>
      </c>
      <c r="J80" s="46">
        <f>+'فرع السلام'!J23</f>
        <v>0</v>
      </c>
      <c r="K80" s="46">
        <f>+'فرع السلام'!K23</f>
        <v>0</v>
      </c>
      <c r="L80" s="46">
        <f>+'فرع السلام'!L23</f>
        <v>0</v>
      </c>
      <c r="M80" s="46">
        <f>+'فرع السلام'!M23</f>
        <v>0</v>
      </c>
      <c r="N80" s="46">
        <f>+'فرع السلام'!N23</f>
        <v>0</v>
      </c>
      <c r="O80" s="46">
        <f>+'فرع السلام'!O23</f>
        <v>0</v>
      </c>
      <c r="P80" s="46">
        <f>+'فرع السلام'!P23</f>
        <v>0</v>
      </c>
      <c r="Q80" s="46">
        <f>+'فرع السلام'!Q23</f>
        <v>0</v>
      </c>
      <c r="R80" s="47">
        <f>+'فرع السلام'!R23</f>
        <v>0</v>
      </c>
      <c r="S80" s="47">
        <f>+'فرع السلام'!S23</f>
        <v>0</v>
      </c>
      <c r="T80" s="46">
        <f>+'فرع السلام'!T23</f>
        <v>0</v>
      </c>
      <c r="U80" s="46">
        <f>+'فرع السلام'!U23</f>
        <v>0</v>
      </c>
      <c r="V80" s="46">
        <f>+'فرع السلام'!V23</f>
        <v>0</v>
      </c>
      <c r="W80" s="46">
        <f>+'فرع السلام'!W23</f>
        <v>0</v>
      </c>
      <c r="X80" s="46">
        <f>+'فرع السلام'!X23</f>
        <v>0</v>
      </c>
      <c r="Y80" s="46">
        <f>+'فرع السلام'!Y23</f>
        <v>0</v>
      </c>
      <c r="Z80" s="46">
        <f>+'فرع السلام'!Z23</f>
        <v>0</v>
      </c>
      <c r="AA80" s="46">
        <f>+'فرع السلام'!AA23</f>
        <v>0</v>
      </c>
      <c r="AB80" s="46">
        <f>+'فرع السلام'!AB23</f>
        <v>0</v>
      </c>
      <c r="AC80" s="46">
        <f>+'فرع السلام'!AC23</f>
        <v>0</v>
      </c>
      <c r="AD80" s="46">
        <f>+'فرع السلام'!AD23</f>
        <v>0</v>
      </c>
      <c r="AE80" s="46">
        <f>+'فرع السلام'!AE23</f>
        <v>0</v>
      </c>
      <c r="AF80" s="46">
        <f>+'فرع السلام'!AF23</f>
        <v>0</v>
      </c>
      <c r="AG80" s="46">
        <f>+'فرع السلام'!AG23</f>
        <v>0</v>
      </c>
      <c r="AH80" s="46">
        <f>+'فرع السلام'!AH23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+'فرع السلام'!A24</f>
        <v>0</v>
      </c>
      <c r="B84" s="44">
        <f>+'فرع السلام'!B24</f>
        <v>0</v>
      </c>
      <c r="C84" s="45">
        <f>+'فرع السلام'!C24</f>
        <v>0</v>
      </c>
      <c r="D84" s="45">
        <f>+'فرع السلام'!D24</f>
        <v>0</v>
      </c>
      <c r="E84" s="45">
        <f>+'فرع السلام'!E24</f>
        <v>0</v>
      </c>
      <c r="F84" s="46">
        <f>+'فرع السلام'!F24</f>
        <v>0</v>
      </c>
      <c r="G84" s="46">
        <f>+'فرع السلام'!G24</f>
        <v>0</v>
      </c>
      <c r="H84" s="46">
        <f>+'فرع السلام'!H24</f>
        <v>0</v>
      </c>
      <c r="I84" s="46">
        <f>+'فرع السلام'!I24</f>
        <v>0</v>
      </c>
      <c r="J84" s="46">
        <f>+'فرع السلام'!J24</f>
        <v>0</v>
      </c>
      <c r="K84" s="46">
        <f>+'فرع السلام'!K24</f>
        <v>0</v>
      </c>
      <c r="L84" s="46">
        <f>+'فرع السلام'!L24</f>
        <v>0</v>
      </c>
      <c r="M84" s="46">
        <f>+'فرع السلام'!M24</f>
        <v>0</v>
      </c>
      <c r="N84" s="46">
        <f>+'فرع السلام'!N24</f>
        <v>0</v>
      </c>
      <c r="O84" s="46">
        <f>+'فرع السلام'!O24</f>
        <v>0</v>
      </c>
      <c r="P84" s="46">
        <f>+'فرع السلام'!P24</f>
        <v>0</v>
      </c>
      <c r="Q84" s="46">
        <f>+'فرع السلام'!Q24</f>
        <v>0</v>
      </c>
      <c r="R84" s="47">
        <f>+'فرع السلام'!R24</f>
        <v>0</v>
      </c>
      <c r="S84" s="47">
        <f>+'فرع السلام'!S24</f>
        <v>0</v>
      </c>
      <c r="T84" s="46">
        <f>+'فرع السلام'!T24</f>
        <v>0</v>
      </c>
      <c r="U84" s="46">
        <f>+'فرع السلام'!U24</f>
        <v>0</v>
      </c>
      <c r="V84" s="46">
        <f>+'فرع السلام'!V24</f>
        <v>0</v>
      </c>
      <c r="W84" s="46">
        <f>+'فرع السلام'!W24</f>
        <v>0</v>
      </c>
      <c r="X84" s="46">
        <f>+'فرع السلام'!X24</f>
        <v>0</v>
      </c>
      <c r="Y84" s="46">
        <f>+'فرع السلام'!Y24</f>
        <v>0</v>
      </c>
      <c r="Z84" s="46">
        <f>+'فرع السلام'!Z24</f>
        <v>0</v>
      </c>
      <c r="AA84" s="46">
        <f>+'فرع السلام'!AA24</f>
        <v>0</v>
      </c>
      <c r="AB84" s="46">
        <f>+'فرع السلام'!AB24</f>
        <v>0</v>
      </c>
      <c r="AC84" s="46">
        <f>+'فرع السلام'!AC24</f>
        <v>0</v>
      </c>
      <c r="AD84" s="46">
        <f>+'فرع السلام'!AD24</f>
        <v>0</v>
      </c>
      <c r="AE84" s="46">
        <f>+'فرع السلام'!AE24</f>
        <v>0</v>
      </c>
      <c r="AF84" s="46">
        <f>+'فرع السلام'!AF24</f>
        <v>0</v>
      </c>
      <c r="AG84" s="46">
        <f>+'فرع السلام'!AG24</f>
        <v>0</v>
      </c>
      <c r="AH84" s="46">
        <f>+'فرع السلام'!AH24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+'فرع السلام'!A25</f>
        <v>0</v>
      </c>
      <c r="B88" s="44">
        <f>+'فرع السلام'!B25</f>
        <v>0</v>
      </c>
      <c r="C88" s="45">
        <f>+'فرع السلام'!C25</f>
        <v>0</v>
      </c>
      <c r="D88" s="45">
        <f>+'فرع السلام'!D25</f>
        <v>0</v>
      </c>
      <c r="E88" s="45">
        <f>+'فرع السلام'!E25</f>
        <v>0</v>
      </c>
      <c r="F88" s="46">
        <f>+'فرع السلام'!F25</f>
        <v>0</v>
      </c>
      <c r="G88" s="46">
        <f>+'فرع السلام'!G25</f>
        <v>0</v>
      </c>
      <c r="H88" s="46">
        <f>+'فرع السلام'!H25</f>
        <v>0</v>
      </c>
      <c r="I88" s="46">
        <f>+'فرع السلام'!I25</f>
        <v>0</v>
      </c>
      <c r="J88" s="46">
        <f>+'فرع السلام'!J25</f>
        <v>0</v>
      </c>
      <c r="K88" s="46">
        <f>+'فرع السلام'!K25</f>
        <v>0</v>
      </c>
      <c r="L88" s="46">
        <f>+'فرع السلام'!L25</f>
        <v>0</v>
      </c>
      <c r="M88" s="46">
        <f>+'فرع السلام'!M25</f>
        <v>0</v>
      </c>
      <c r="N88" s="46">
        <f>+'فرع السلام'!N25</f>
        <v>0</v>
      </c>
      <c r="O88" s="46">
        <f>+'فرع السلام'!O25</f>
        <v>0</v>
      </c>
      <c r="P88" s="46">
        <f>+'فرع السلام'!P25</f>
        <v>0</v>
      </c>
      <c r="Q88" s="46">
        <f>+'فرع السلام'!Q25</f>
        <v>0</v>
      </c>
      <c r="R88" s="47">
        <f>+'فرع السلام'!R25</f>
        <v>0</v>
      </c>
      <c r="S88" s="47">
        <f>+'فرع السلام'!S25</f>
        <v>0</v>
      </c>
      <c r="T88" s="46">
        <f>+'فرع السلام'!T25</f>
        <v>0</v>
      </c>
      <c r="U88" s="46">
        <f>+'فرع السلام'!U25</f>
        <v>0</v>
      </c>
      <c r="V88" s="46">
        <f>+'فرع السلام'!V25</f>
        <v>0</v>
      </c>
      <c r="W88" s="46">
        <f>+'فرع السلام'!W25</f>
        <v>0</v>
      </c>
      <c r="X88" s="46">
        <f>+'فرع السلام'!X25</f>
        <v>0</v>
      </c>
      <c r="Y88" s="46">
        <f>+'فرع السلام'!Y25</f>
        <v>0</v>
      </c>
      <c r="Z88" s="46">
        <f>+'فرع السلام'!Z25</f>
        <v>0</v>
      </c>
      <c r="AA88" s="46">
        <f>+'فرع السلام'!AA25</f>
        <v>0</v>
      </c>
      <c r="AB88" s="46">
        <f>+'فرع السلام'!AB25</f>
        <v>0</v>
      </c>
      <c r="AC88" s="46">
        <f>+'فرع السلام'!AC25</f>
        <v>0</v>
      </c>
      <c r="AD88" s="46">
        <f>+'فرع السلام'!AD25</f>
        <v>0</v>
      </c>
      <c r="AE88" s="46">
        <f>+'فرع السلام'!AE25</f>
        <v>0</v>
      </c>
      <c r="AF88" s="46">
        <f>+'فرع السلام'!AF25</f>
        <v>0</v>
      </c>
      <c r="AG88" s="46">
        <f>+'فرع السلام'!AG25</f>
        <v>0</v>
      </c>
      <c r="AH88" s="46">
        <f>+'فرع السلام'!AH25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+'فرع السلام'!A26</f>
        <v>0</v>
      </c>
      <c r="B92" s="44">
        <f>+'فرع السلام'!B26</f>
        <v>0</v>
      </c>
      <c r="C92" s="45">
        <f>+'فرع السلام'!C26</f>
        <v>0</v>
      </c>
      <c r="D92" s="45">
        <f>+'فرع السلام'!D26</f>
        <v>0</v>
      </c>
      <c r="E92" s="45">
        <f>+'فرع السلام'!E26</f>
        <v>0</v>
      </c>
      <c r="F92" s="46">
        <f>+'فرع السلام'!F26</f>
        <v>0</v>
      </c>
      <c r="G92" s="46">
        <f>+'فرع السلام'!G26</f>
        <v>0</v>
      </c>
      <c r="H92" s="46">
        <f>+'فرع السلام'!H26</f>
        <v>0</v>
      </c>
      <c r="I92" s="46">
        <f>+'فرع السلام'!I26</f>
        <v>0</v>
      </c>
      <c r="J92" s="46">
        <f>+'فرع السلام'!J26</f>
        <v>0</v>
      </c>
      <c r="K92" s="46">
        <f>+'فرع السلام'!K26</f>
        <v>0</v>
      </c>
      <c r="L92" s="46">
        <f>+'فرع السلام'!L26</f>
        <v>0</v>
      </c>
      <c r="M92" s="46">
        <f>+'فرع السلام'!M26</f>
        <v>0</v>
      </c>
      <c r="N92" s="46">
        <f>+'فرع السلام'!N26</f>
        <v>0</v>
      </c>
      <c r="O92" s="46">
        <f>+'فرع السلام'!O26</f>
        <v>0</v>
      </c>
      <c r="P92" s="46">
        <f>+'فرع السلام'!P26</f>
        <v>0</v>
      </c>
      <c r="Q92" s="46">
        <f>+'فرع السلام'!Q26</f>
        <v>0</v>
      </c>
      <c r="R92" s="47">
        <f>+'فرع السلام'!R26</f>
        <v>0</v>
      </c>
      <c r="S92" s="47">
        <f>+'فرع السلام'!S26</f>
        <v>0</v>
      </c>
      <c r="T92" s="46">
        <f>+'فرع السلام'!T26</f>
        <v>0</v>
      </c>
      <c r="U92" s="46">
        <f>+'فرع السلام'!U26</f>
        <v>0</v>
      </c>
      <c r="V92" s="46">
        <f>+'فرع السلام'!V26</f>
        <v>0</v>
      </c>
      <c r="W92" s="46">
        <f>+'فرع السلام'!W26</f>
        <v>0</v>
      </c>
      <c r="X92" s="46">
        <f>+'فرع السلام'!X26</f>
        <v>0</v>
      </c>
      <c r="Y92" s="46">
        <f>+'فرع السلام'!Y26</f>
        <v>0</v>
      </c>
      <c r="Z92" s="46">
        <f>+'فرع السلام'!Z26</f>
        <v>0</v>
      </c>
      <c r="AA92" s="46">
        <f>+'فرع السلام'!AA26</f>
        <v>0</v>
      </c>
      <c r="AB92" s="46">
        <f>+'فرع السلام'!AB26</f>
        <v>0</v>
      </c>
      <c r="AC92" s="46">
        <f>+'فرع السلام'!AC26</f>
        <v>0</v>
      </c>
      <c r="AD92" s="46">
        <f>+'فرع السلام'!AD26</f>
        <v>0</v>
      </c>
      <c r="AE92" s="46">
        <f>+'فرع السلام'!AE26</f>
        <v>0</v>
      </c>
      <c r="AF92" s="46">
        <f>+'فرع السلام'!AF26</f>
        <v>0</v>
      </c>
      <c r="AG92" s="46">
        <f>+'فرع السلام'!AG26</f>
        <v>0</v>
      </c>
      <c r="AH92" s="46">
        <f>+'فرع السلام'!AH26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+'فرع السلام'!A27</f>
        <v>0</v>
      </c>
      <c r="B96" s="44">
        <f>+'فرع السلام'!B27</f>
        <v>0</v>
      </c>
      <c r="C96" s="45">
        <f>+'فرع السلام'!C27</f>
        <v>0</v>
      </c>
      <c r="D96" s="45">
        <f>+'فرع السلام'!D27</f>
        <v>0</v>
      </c>
      <c r="E96" s="45">
        <f>+'فرع السلام'!E27</f>
        <v>0</v>
      </c>
      <c r="F96" s="46">
        <f>+'فرع السلام'!F27</f>
        <v>0</v>
      </c>
      <c r="G96" s="46">
        <f>+'فرع السلام'!G27</f>
        <v>0</v>
      </c>
      <c r="H96" s="46">
        <f>+'فرع السلام'!H27</f>
        <v>0</v>
      </c>
      <c r="I96" s="46">
        <f>+'فرع السلام'!I27</f>
        <v>0</v>
      </c>
      <c r="J96" s="46">
        <f>+'فرع السلام'!J27</f>
        <v>0</v>
      </c>
      <c r="K96" s="46">
        <f>+'فرع السلام'!K27</f>
        <v>0</v>
      </c>
      <c r="L96" s="46">
        <f>+'فرع السلام'!L27</f>
        <v>0</v>
      </c>
      <c r="M96" s="46">
        <f>+'فرع السلام'!M27</f>
        <v>0</v>
      </c>
      <c r="N96" s="46">
        <f>+'فرع السلام'!N27</f>
        <v>0</v>
      </c>
      <c r="O96" s="46">
        <f>+'فرع السلام'!O27</f>
        <v>0</v>
      </c>
      <c r="P96" s="46">
        <f>+'فرع السلام'!P27</f>
        <v>0</v>
      </c>
      <c r="Q96" s="46">
        <f>+'فرع السلام'!Q27</f>
        <v>0</v>
      </c>
      <c r="R96" s="47">
        <f>+'فرع السلام'!R27</f>
        <v>0</v>
      </c>
      <c r="S96" s="47">
        <f>+'فرع السلام'!S27</f>
        <v>0</v>
      </c>
      <c r="T96" s="46">
        <f>+'فرع السلام'!T27</f>
        <v>0</v>
      </c>
      <c r="U96" s="46">
        <f>+'فرع السلام'!U27</f>
        <v>0</v>
      </c>
      <c r="V96" s="46">
        <f>+'فرع السلام'!V27</f>
        <v>0</v>
      </c>
      <c r="W96" s="46">
        <f>+'فرع السلام'!W27</f>
        <v>0</v>
      </c>
      <c r="X96" s="46">
        <f>+'فرع السلام'!X27</f>
        <v>0</v>
      </c>
      <c r="Y96" s="46">
        <f>+'فرع السلام'!Y27</f>
        <v>0</v>
      </c>
      <c r="Z96" s="46">
        <f>+'فرع السلام'!Z27</f>
        <v>0</v>
      </c>
      <c r="AA96" s="46">
        <f>+'فرع السلام'!AA27</f>
        <v>0</v>
      </c>
      <c r="AB96" s="46">
        <f>+'فرع السلام'!AB27</f>
        <v>0</v>
      </c>
      <c r="AC96" s="46">
        <f>+'فرع السلام'!AC27</f>
        <v>0</v>
      </c>
      <c r="AD96" s="46">
        <f>+'فرع السلام'!AD27</f>
        <v>0</v>
      </c>
      <c r="AE96" s="46">
        <f>+'فرع السلام'!AE27</f>
        <v>0</v>
      </c>
      <c r="AF96" s="46">
        <f>+'فرع السلام'!AF27</f>
        <v>0</v>
      </c>
      <c r="AG96" s="46">
        <f>+'فرع السلام'!AG27</f>
        <v>0</v>
      </c>
      <c r="AH96" s="46">
        <f>+'فرع السلام'!AH27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+'فرع السلام'!A28</f>
        <v>0</v>
      </c>
      <c r="B100" s="44">
        <f>+'فرع السلام'!B28</f>
        <v>0</v>
      </c>
      <c r="C100" s="45">
        <f>+'فرع السلام'!C28</f>
        <v>0</v>
      </c>
      <c r="D100" s="45">
        <f>+'فرع السلام'!D28</f>
        <v>0</v>
      </c>
      <c r="E100" s="45">
        <f>+'فرع السلام'!E28</f>
        <v>0</v>
      </c>
      <c r="F100" s="46">
        <f>+'فرع السلام'!F28</f>
        <v>0</v>
      </c>
      <c r="G100" s="46">
        <f>+'فرع السلام'!G28</f>
        <v>0</v>
      </c>
      <c r="H100" s="46">
        <f>+'فرع السلام'!H28</f>
        <v>0</v>
      </c>
      <c r="I100" s="46">
        <f>+'فرع السلام'!I28</f>
        <v>0</v>
      </c>
      <c r="J100" s="46">
        <f>+'فرع السلام'!J28</f>
        <v>0</v>
      </c>
      <c r="K100" s="46">
        <f>+'فرع السلام'!K28</f>
        <v>0</v>
      </c>
      <c r="L100" s="46">
        <f>+'فرع السلام'!L28</f>
        <v>0</v>
      </c>
      <c r="M100" s="46">
        <f>+'فرع السلام'!M28</f>
        <v>0</v>
      </c>
      <c r="N100" s="46">
        <f>+'فرع السلام'!N28</f>
        <v>0</v>
      </c>
      <c r="O100" s="46">
        <f>+'فرع السلام'!O28</f>
        <v>0</v>
      </c>
      <c r="P100" s="46">
        <f>+'فرع السلام'!P28</f>
        <v>0</v>
      </c>
      <c r="Q100" s="46">
        <f>+'فرع السلام'!Q28</f>
        <v>0</v>
      </c>
      <c r="R100" s="47">
        <f>+'فرع السلام'!R28</f>
        <v>0</v>
      </c>
      <c r="S100" s="47">
        <f>+'فرع السلام'!S28</f>
        <v>0</v>
      </c>
      <c r="T100" s="46">
        <f>+'فرع السلام'!T28</f>
        <v>0</v>
      </c>
      <c r="U100" s="46">
        <f>+'فرع السلام'!U28</f>
        <v>0</v>
      </c>
      <c r="V100" s="46">
        <f>+'فرع السلام'!V28</f>
        <v>0</v>
      </c>
      <c r="W100" s="46">
        <f>+'فرع السلام'!W28</f>
        <v>0</v>
      </c>
      <c r="X100" s="46">
        <f>+'فرع السلام'!X28</f>
        <v>0</v>
      </c>
      <c r="Y100" s="46">
        <f>+'فرع السلام'!Y28</f>
        <v>0</v>
      </c>
      <c r="Z100" s="46">
        <f>+'فرع السلام'!Z28</f>
        <v>0</v>
      </c>
      <c r="AA100" s="46">
        <f>+'فرع السلام'!AA28</f>
        <v>0</v>
      </c>
      <c r="AB100" s="46">
        <f>+'فرع السلام'!AB28</f>
        <v>0</v>
      </c>
      <c r="AC100" s="46">
        <f>+'فرع السلام'!AC28</f>
        <v>0</v>
      </c>
      <c r="AD100" s="46">
        <f>+'فرع السلام'!AD28</f>
        <v>0</v>
      </c>
      <c r="AE100" s="46">
        <f>+'فرع السلام'!AE28</f>
        <v>0</v>
      </c>
      <c r="AF100" s="46">
        <f>+'فرع السلام'!AF28</f>
        <v>0</v>
      </c>
      <c r="AG100" s="46">
        <f>+'فرع السلام'!AG28</f>
        <v>0</v>
      </c>
      <c r="AH100" s="46">
        <f>+'فرع السلام'!AH28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+'فرع السلام'!A29</f>
        <v>0</v>
      </c>
      <c r="B104" s="44">
        <f>+'فرع السلام'!B29</f>
        <v>0</v>
      </c>
      <c r="C104" s="45">
        <f>+'فرع السلام'!C29</f>
        <v>0</v>
      </c>
      <c r="D104" s="45">
        <f>+'فرع السلام'!D29</f>
        <v>0</v>
      </c>
      <c r="E104" s="45">
        <f>+'فرع السلام'!E29</f>
        <v>0</v>
      </c>
      <c r="F104" s="46">
        <f>+'فرع السلام'!F29</f>
        <v>0</v>
      </c>
      <c r="G104" s="46">
        <f>+'فرع السلام'!G29</f>
        <v>0</v>
      </c>
      <c r="H104" s="46">
        <f>+'فرع السلام'!H29</f>
        <v>0</v>
      </c>
      <c r="I104" s="46">
        <f>+'فرع السلام'!I29</f>
        <v>0</v>
      </c>
      <c r="J104" s="46">
        <f>+'فرع السلام'!J29</f>
        <v>0</v>
      </c>
      <c r="K104" s="46">
        <f>+'فرع السلام'!K29</f>
        <v>0</v>
      </c>
      <c r="L104" s="46">
        <f>+'فرع السلام'!L29</f>
        <v>0</v>
      </c>
      <c r="M104" s="46">
        <f>+'فرع السلام'!M29</f>
        <v>0</v>
      </c>
      <c r="N104" s="46">
        <f>+'فرع السلام'!N29</f>
        <v>0</v>
      </c>
      <c r="O104" s="46">
        <f>+'فرع السلام'!O29</f>
        <v>0</v>
      </c>
      <c r="P104" s="46">
        <f>+'فرع السلام'!P29</f>
        <v>0</v>
      </c>
      <c r="Q104" s="46">
        <f>+'فرع السلام'!Q29</f>
        <v>0</v>
      </c>
      <c r="R104" s="47">
        <f>+'فرع السلام'!R29</f>
        <v>0</v>
      </c>
      <c r="S104" s="47">
        <f>+'فرع السلام'!S29</f>
        <v>0</v>
      </c>
      <c r="T104" s="46">
        <f>+'فرع السلام'!T29</f>
        <v>0</v>
      </c>
      <c r="U104" s="46">
        <f>+'فرع السلام'!U29</f>
        <v>0</v>
      </c>
      <c r="V104" s="46">
        <f>+'فرع السلام'!V29</f>
        <v>0</v>
      </c>
      <c r="W104" s="46">
        <f>+'فرع السلام'!W29</f>
        <v>0</v>
      </c>
      <c r="X104" s="46">
        <f>+'فرع السلام'!X29</f>
        <v>0</v>
      </c>
      <c r="Y104" s="46">
        <f>+'فرع السلام'!Y29</f>
        <v>0</v>
      </c>
      <c r="Z104" s="46">
        <f>+'فرع السلام'!Z29</f>
        <v>0</v>
      </c>
      <c r="AA104" s="46">
        <f>+'فرع السلام'!AA29</f>
        <v>0</v>
      </c>
      <c r="AB104" s="46">
        <f>+'فرع السلام'!AB29</f>
        <v>0</v>
      </c>
      <c r="AC104" s="46">
        <f>+'فرع السلام'!AC29</f>
        <v>0</v>
      </c>
      <c r="AD104" s="46">
        <f>+'فرع السلام'!AD29</f>
        <v>0</v>
      </c>
      <c r="AE104" s="46">
        <f>+'فرع السلام'!AE29</f>
        <v>0</v>
      </c>
      <c r="AF104" s="46">
        <f>+'فرع السلام'!AF29</f>
        <v>0</v>
      </c>
      <c r="AG104" s="46">
        <f>+'فرع السلام'!AG29</f>
        <v>0</v>
      </c>
      <c r="AH104" s="46">
        <f>+'فرع السلام'!AH29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+'فرع السلام'!A30</f>
        <v>0</v>
      </c>
      <c r="B108" s="44">
        <f>+'فرع السلام'!B30</f>
        <v>0</v>
      </c>
      <c r="C108" s="45">
        <f>+'فرع السلام'!C30</f>
        <v>0</v>
      </c>
      <c r="D108" s="45">
        <f>+'فرع السلام'!D30</f>
        <v>0</v>
      </c>
      <c r="E108" s="45">
        <f>+'فرع السلام'!E30</f>
        <v>0</v>
      </c>
      <c r="F108" s="46">
        <f>+'فرع السلام'!F30</f>
        <v>0</v>
      </c>
      <c r="G108" s="46">
        <f>+'فرع السلام'!G30</f>
        <v>0</v>
      </c>
      <c r="H108" s="46">
        <f>+'فرع السلام'!H30</f>
        <v>0</v>
      </c>
      <c r="I108" s="46">
        <f>+'فرع السلام'!I30</f>
        <v>0</v>
      </c>
      <c r="J108" s="46">
        <f>+'فرع السلام'!J30</f>
        <v>0</v>
      </c>
      <c r="K108" s="46">
        <f>+'فرع السلام'!K30</f>
        <v>0</v>
      </c>
      <c r="L108" s="46">
        <f>+'فرع السلام'!L30</f>
        <v>0</v>
      </c>
      <c r="M108" s="46">
        <f>+'فرع السلام'!M30</f>
        <v>0</v>
      </c>
      <c r="N108" s="46">
        <f>+'فرع السلام'!N30</f>
        <v>0</v>
      </c>
      <c r="O108" s="46">
        <f>+'فرع السلام'!O30</f>
        <v>0</v>
      </c>
      <c r="P108" s="46">
        <f>+'فرع السلام'!P30</f>
        <v>0</v>
      </c>
      <c r="Q108" s="46">
        <f>+'فرع السلام'!Q30</f>
        <v>0</v>
      </c>
      <c r="R108" s="47">
        <f>+'فرع السلام'!R30</f>
        <v>0</v>
      </c>
      <c r="S108" s="47">
        <f>+'فرع السلام'!S30</f>
        <v>0</v>
      </c>
      <c r="T108" s="46">
        <f>+'فرع السلام'!T30</f>
        <v>0</v>
      </c>
      <c r="U108" s="46">
        <f>+'فرع السلام'!U30</f>
        <v>0</v>
      </c>
      <c r="V108" s="46">
        <f>+'فرع السلام'!V30</f>
        <v>0</v>
      </c>
      <c r="W108" s="46">
        <f>+'فرع السلام'!W30</f>
        <v>0</v>
      </c>
      <c r="X108" s="46">
        <f>+'فرع السلام'!X30</f>
        <v>0</v>
      </c>
      <c r="Y108" s="46">
        <f>+'فرع السلام'!Y30</f>
        <v>0</v>
      </c>
      <c r="Z108" s="46">
        <f>+'فرع السلام'!Z30</f>
        <v>0</v>
      </c>
      <c r="AA108" s="46">
        <f>+'فرع السلام'!AA30</f>
        <v>0</v>
      </c>
      <c r="AB108" s="46">
        <f>+'فرع السلام'!AB30</f>
        <v>0</v>
      </c>
      <c r="AC108" s="46">
        <f>+'فرع السلام'!AC30</f>
        <v>0</v>
      </c>
      <c r="AD108" s="46">
        <f>+'فرع السلام'!AD30</f>
        <v>0</v>
      </c>
      <c r="AE108" s="46">
        <f>+'فرع السلام'!AE30</f>
        <v>0</v>
      </c>
      <c r="AF108" s="46">
        <f>+'فرع السلام'!AF30</f>
        <v>0</v>
      </c>
      <c r="AG108" s="46">
        <f>+'فرع السلام'!AG30</f>
        <v>0</v>
      </c>
      <c r="AH108" s="46">
        <f>+'فرع السلام'!AH30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+'فرع السلام'!A31</f>
        <v>0</v>
      </c>
      <c r="B112" s="44">
        <f>+'فرع السلام'!B31</f>
        <v>0</v>
      </c>
      <c r="C112" s="45">
        <f>+'فرع السلام'!C31</f>
        <v>0</v>
      </c>
      <c r="D112" s="45">
        <f>+'فرع السلام'!D31</f>
        <v>0</v>
      </c>
      <c r="E112" s="45">
        <f>+'فرع السلام'!E31</f>
        <v>0</v>
      </c>
      <c r="F112" s="46">
        <f>+'فرع السلام'!F31</f>
        <v>0</v>
      </c>
      <c r="G112" s="46">
        <f>+'فرع السلام'!G31</f>
        <v>0</v>
      </c>
      <c r="H112" s="46">
        <f>+'فرع السلام'!H31</f>
        <v>0</v>
      </c>
      <c r="I112" s="46">
        <f>+'فرع السلام'!I31</f>
        <v>0</v>
      </c>
      <c r="J112" s="46">
        <f>+'فرع السلام'!J31</f>
        <v>0</v>
      </c>
      <c r="K112" s="46">
        <f>+'فرع السلام'!K31</f>
        <v>0</v>
      </c>
      <c r="L112" s="46">
        <f>+'فرع السلام'!L31</f>
        <v>0</v>
      </c>
      <c r="M112" s="46">
        <f>+'فرع السلام'!M31</f>
        <v>0</v>
      </c>
      <c r="N112" s="46">
        <f>+'فرع السلام'!N31</f>
        <v>0</v>
      </c>
      <c r="O112" s="46">
        <f>+'فرع السلام'!O31</f>
        <v>0</v>
      </c>
      <c r="P112" s="46">
        <f>+'فرع السلام'!P31</f>
        <v>0</v>
      </c>
      <c r="Q112" s="46">
        <f>+'فرع السلام'!Q31</f>
        <v>0</v>
      </c>
      <c r="R112" s="47">
        <f>+'فرع السلام'!R31</f>
        <v>0</v>
      </c>
      <c r="S112" s="47">
        <f>+'فرع السلام'!S31</f>
        <v>0</v>
      </c>
      <c r="T112" s="46">
        <f>+'فرع السلام'!T31</f>
        <v>0</v>
      </c>
      <c r="U112" s="46">
        <f>+'فرع السلام'!U31</f>
        <v>0</v>
      </c>
      <c r="V112" s="46">
        <f>+'فرع السلام'!V31</f>
        <v>0</v>
      </c>
      <c r="W112" s="46">
        <f>+'فرع السلام'!W31</f>
        <v>0</v>
      </c>
      <c r="X112" s="46">
        <f>+'فرع السلام'!X31</f>
        <v>0</v>
      </c>
      <c r="Y112" s="46">
        <f>+'فرع السلام'!Y31</f>
        <v>0</v>
      </c>
      <c r="Z112" s="46">
        <f>+'فرع السلام'!Z31</f>
        <v>0</v>
      </c>
      <c r="AA112" s="46">
        <f>+'فرع السلام'!AA31</f>
        <v>0</v>
      </c>
      <c r="AB112" s="46">
        <f>+'فرع السلام'!AB31</f>
        <v>0</v>
      </c>
      <c r="AC112" s="46">
        <f>+'فرع السلام'!AC31</f>
        <v>0</v>
      </c>
      <c r="AD112" s="46">
        <f>+'فرع السلام'!AD31</f>
        <v>0</v>
      </c>
      <c r="AE112" s="46">
        <f>+'فرع السلام'!AE31</f>
        <v>0</v>
      </c>
      <c r="AF112" s="46">
        <f>+'فرع السلام'!AF31</f>
        <v>0</v>
      </c>
      <c r="AG112" s="46">
        <f>+'فرع السلام'!AG31</f>
        <v>0</v>
      </c>
      <c r="AH112" s="46">
        <f>+'فرع السلام'!AH31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+'فرع السلام'!A32</f>
        <v>0</v>
      </c>
      <c r="B116" s="44">
        <f>+'فرع السلام'!B32</f>
        <v>0</v>
      </c>
      <c r="C116" s="45">
        <f>+'فرع السلام'!C32</f>
        <v>0</v>
      </c>
      <c r="D116" s="45">
        <f>+'فرع السلام'!D32</f>
        <v>0</v>
      </c>
      <c r="E116" s="45">
        <f>+'فرع السلام'!E32</f>
        <v>0</v>
      </c>
      <c r="F116" s="46">
        <f>+'فرع السلام'!F32</f>
        <v>0</v>
      </c>
      <c r="G116" s="46">
        <f>+'فرع السلام'!G32</f>
        <v>0</v>
      </c>
      <c r="H116" s="46">
        <f>+'فرع السلام'!H32</f>
        <v>0</v>
      </c>
      <c r="I116" s="46">
        <f>+'فرع السلام'!I32</f>
        <v>0</v>
      </c>
      <c r="J116" s="46">
        <f>+'فرع السلام'!J32</f>
        <v>0</v>
      </c>
      <c r="K116" s="46">
        <f>+'فرع السلام'!K32</f>
        <v>0</v>
      </c>
      <c r="L116" s="46">
        <f>+'فرع السلام'!L32</f>
        <v>0</v>
      </c>
      <c r="M116" s="46">
        <f>+'فرع السلام'!M32</f>
        <v>0</v>
      </c>
      <c r="N116" s="46">
        <f>+'فرع السلام'!N32</f>
        <v>0</v>
      </c>
      <c r="O116" s="46">
        <f>+'فرع السلام'!O32</f>
        <v>0</v>
      </c>
      <c r="P116" s="46">
        <f>+'فرع السلام'!P32</f>
        <v>0</v>
      </c>
      <c r="Q116" s="46">
        <f>+'فرع السلام'!Q32</f>
        <v>0</v>
      </c>
      <c r="R116" s="47">
        <f>+'فرع السلام'!R32</f>
        <v>0</v>
      </c>
      <c r="S116" s="47">
        <f>+'فرع السلام'!S32</f>
        <v>0</v>
      </c>
      <c r="T116" s="46">
        <f>+'فرع السلام'!T32</f>
        <v>0</v>
      </c>
      <c r="U116" s="46">
        <f>+'فرع السلام'!U32</f>
        <v>0</v>
      </c>
      <c r="V116" s="46">
        <f>+'فرع السلام'!V32</f>
        <v>0</v>
      </c>
      <c r="W116" s="46">
        <f>+'فرع السلام'!W32</f>
        <v>0</v>
      </c>
      <c r="X116" s="46">
        <f>+'فرع السلام'!X32</f>
        <v>0</v>
      </c>
      <c r="Y116" s="46">
        <f>+'فرع السلام'!Y32</f>
        <v>0</v>
      </c>
      <c r="Z116" s="46">
        <f>+'فرع السلام'!Z32</f>
        <v>0</v>
      </c>
      <c r="AA116" s="46">
        <f>+'فرع السلام'!AA32</f>
        <v>0</v>
      </c>
      <c r="AB116" s="46">
        <f>+'فرع السلام'!AB32</f>
        <v>0</v>
      </c>
      <c r="AC116" s="46">
        <f>+'فرع السلام'!AC32</f>
        <v>0</v>
      </c>
      <c r="AD116" s="46">
        <f>+'فرع السلام'!AD32</f>
        <v>0</v>
      </c>
      <c r="AE116" s="46">
        <f>+'فرع السلام'!AE32</f>
        <v>0</v>
      </c>
      <c r="AF116" s="46">
        <f>+'فرع السلام'!AF32</f>
        <v>0</v>
      </c>
      <c r="AG116" s="46">
        <f>+'فرع السلام'!AG32</f>
        <v>0</v>
      </c>
      <c r="AH116" s="46">
        <f>+'فرع السلام'!AH32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+'فرع السلام'!A33</f>
        <v>0</v>
      </c>
      <c r="B120" s="44">
        <f>+'فرع السلام'!B33</f>
        <v>0</v>
      </c>
      <c r="C120" s="45">
        <f>+'فرع السلام'!C33</f>
        <v>0</v>
      </c>
      <c r="D120" s="45">
        <f>+'فرع السلام'!D33</f>
        <v>0</v>
      </c>
      <c r="E120" s="45">
        <f>+'فرع السلام'!E33</f>
        <v>0</v>
      </c>
      <c r="F120" s="46">
        <f>+'فرع السلام'!F33</f>
        <v>0</v>
      </c>
      <c r="G120" s="46">
        <f>+'فرع السلام'!G33</f>
        <v>0</v>
      </c>
      <c r="H120" s="46">
        <f>+'فرع السلام'!H33</f>
        <v>0</v>
      </c>
      <c r="I120" s="46">
        <f>+'فرع السلام'!I33</f>
        <v>0</v>
      </c>
      <c r="J120" s="46">
        <f>+'فرع السلام'!J33</f>
        <v>0</v>
      </c>
      <c r="K120" s="46">
        <f>+'فرع السلام'!K33</f>
        <v>0</v>
      </c>
      <c r="L120" s="46">
        <f>+'فرع السلام'!L33</f>
        <v>0</v>
      </c>
      <c r="M120" s="46">
        <f>+'فرع السلام'!M33</f>
        <v>0</v>
      </c>
      <c r="N120" s="46">
        <f>+'فرع السلام'!N33</f>
        <v>0</v>
      </c>
      <c r="O120" s="46">
        <f>+'فرع السلام'!O33</f>
        <v>0</v>
      </c>
      <c r="P120" s="46">
        <f>+'فرع السلام'!P33</f>
        <v>0</v>
      </c>
      <c r="Q120" s="46">
        <f>+'فرع السلام'!Q33</f>
        <v>0</v>
      </c>
      <c r="R120" s="47">
        <f>+'فرع السلام'!R33</f>
        <v>0</v>
      </c>
      <c r="S120" s="47">
        <f>+'فرع السلام'!S33</f>
        <v>0</v>
      </c>
      <c r="T120" s="46">
        <f>+'فرع السلام'!T33</f>
        <v>0</v>
      </c>
      <c r="U120" s="46">
        <f>+'فرع السلام'!U33</f>
        <v>0</v>
      </c>
      <c r="V120" s="46">
        <f>+'فرع السلام'!V33</f>
        <v>0</v>
      </c>
      <c r="W120" s="46">
        <f>+'فرع السلام'!W33</f>
        <v>0</v>
      </c>
      <c r="X120" s="46">
        <f>+'فرع السلام'!X33</f>
        <v>0</v>
      </c>
      <c r="Y120" s="46">
        <f>+'فرع السلام'!Y33</f>
        <v>0</v>
      </c>
      <c r="Z120" s="46">
        <f>+'فرع السلام'!Z33</f>
        <v>0</v>
      </c>
      <c r="AA120" s="46">
        <f>+'فرع السلام'!AA33</f>
        <v>0</v>
      </c>
      <c r="AB120" s="46">
        <f>+'فرع السلام'!AB33</f>
        <v>0</v>
      </c>
      <c r="AC120" s="46">
        <f>+'فرع السلام'!AC33</f>
        <v>0</v>
      </c>
      <c r="AD120" s="46">
        <f>+'فرع السلام'!AD33</f>
        <v>0</v>
      </c>
      <c r="AE120" s="46">
        <f>+'فرع السلام'!AE33</f>
        <v>0</v>
      </c>
      <c r="AF120" s="46">
        <f>+'فرع السلام'!AF33</f>
        <v>0</v>
      </c>
      <c r="AG120" s="46">
        <f>+'فرع السلام'!AG33</f>
        <v>0</v>
      </c>
      <c r="AH120" s="46">
        <f>+'فرع السلام'!AH33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+'فرع السلام'!A34</f>
        <v>0</v>
      </c>
      <c r="B124" s="44">
        <f>+'فرع السلام'!B34</f>
        <v>0</v>
      </c>
      <c r="C124" s="45">
        <f>+'فرع السلام'!C34</f>
        <v>0</v>
      </c>
      <c r="D124" s="45">
        <f>+'فرع السلام'!D34</f>
        <v>0</v>
      </c>
      <c r="E124" s="45">
        <f>+'فرع السلام'!E34</f>
        <v>0</v>
      </c>
      <c r="F124" s="46">
        <f>+'فرع السلام'!F34</f>
        <v>0</v>
      </c>
      <c r="G124" s="46">
        <f>+'فرع السلام'!G34</f>
        <v>0</v>
      </c>
      <c r="H124" s="46">
        <f>+'فرع السلام'!H34</f>
        <v>0</v>
      </c>
      <c r="I124" s="46">
        <f>+'فرع السلام'!I34</f>
        <v>0</v>
      </c>
      <c r="J124" s="46">
        <f>+'فرع السلام'!J34</f>
        <v>0</v>
      </c>
      <c r="K124" s="46">
        <f>+'فرع السلام'!K34</f>
        <v>0</v>
      </c>
      <c r="L124" s="46">
        <f>+'فرع السلام'!L34</f>
        <v>0</v>
      </c>
      <c r="M124" s="46">
        <f>+'فرع السلام'!M34</f>
        <v>0</v>
      </c>
      <c r="N124" s="46">
        <f>+'فرع السلام'!N34</f>
        <v>0</v>
      </c>
      <c r="O124" s="46">
        <f>+'فرع السلام'!O34</f>
        <v>0</v>
      </c>
      <c r="P124" s="46">
        <f>+'فرع السلام'!P34</f>
        <v>0</v>
      </c>
      <c r="Q124" s="46">
        <f>+'فرع السلام'!Q34</f>
        <v>0</v>
      </c>
      <c r="R124" s="47">
        <f>+'فرع السلام'!R34</f>
        <v>0</v>
      </c>
      <c r="S124" s="47">
        <f>+'فرع السلام'!S34</f>
        <v>0</v>
      </c>
      <c r="T124" s="46">
        <f>+'فرع السلام'!T34</f>
        <v>0</v>
      </c>
      <c r="U124" s="46">
        <f>+'فرع السلام'!U34</f>
        <v>0</v>
      </c>
      <c r="V124" s="46">
        <f>+'فرع السلام'!V34</f>
        <v>0</v>
      </c>
      <c r="W124" s="46">
        <f>+'فرع السلام'!W34</f>
        <v>0</v>
      </c>
      <c r="X124" s="46">
        <f>+'فرع السلام'!X34</f>
        <v>0</v>
      </c>
      <c r="Y124" s="46">
        <f>+'فرع السلام'!Y34</f>
        <v>0</v>
      </c>
      <c r="Z124" s="46">
        <f>+'فرع السلام'!Z34</f>
        <v>0</v>
      </c>
      <c r="AA124" s="46">
        <f>+'فرع السلام'!AA34</f>
        <v>0</v>
      </c>
      <c r="AB124" s="46">
        <f>+'فرع السلام'!AB34</f>
        <v>0</v>
      </c>
      <c r="AC124" s="46">
        <f>+'فرع السلام'!AC34</f>
        <v>0</v>
      </c>
      <c r="AD124" s="46">
        <f>+'فرع السلام'!AD34</f>
        <v>0</v>
      </c>
      <c r="AE124" s="46">
        <f>+'فرع السلام'!AE34</f>
        <v>0</v>
      </c>
      <c r="AF124" s="46">
        <f>+'فرع السلام'!AF34</f>
        <v>0</v>
      </c>
      <c r="AG124" s="46">
        <f>+'فرع السلام'!AG34</f>
        <v>0</v>
      </c>
      <c r="AH124" s="46">
        <f>+'فرع السلام'!AH34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+'فرع السلام'!A35</f>
        <v>0</v>
      </c>
      <c r="B128" s="44">
        <f>+'فرع السلام'!B35</f>
        <v>0</v>
      </c>
      <c r="C128" s="45">
        <f>+'فرع السلام'!C35</f>
        <v>0</v>
      </c>
      <c r="D128" s="45">
        <f>+'فرع السلام'!D35</f>
        <v>0</v>
      </c>
      <c r="E128" s="45">
        <f>+'فرع السلام'!E35</f>
        <v>0</v>
      </c>
      <c r="F128" s="46">
        <f>+'فرع السلام'!F35</f>
        <v>0</v>
      </c>
      <c r="G128" s="46">
        <f>+'فرع السلام'!G35</f>
        <v>0</v>
      </c>
      <c r="H128" s="46">
        <f>+'فرع السلام'!H35</f>
        <v>0</v>
      </c>
      <c r="I128" s="46">
        <f>+'فرع السلام'!I35</f>
        <v>0</v>
      </c>
      <c r="J128" s="46">
        <f>+'فرع السلام'!J35</f>
        <v>0</v>
      </c>
      <c r="K128" s="46">
        <f>+'فرع السلام'!K35</f>
        <v>0</v>
      </c>
      <c r="L128" s="46">
        <f>+'فرع السلام'!L35</f>
        <v>0</v>
      </c>
      <c r="M128" s="46">
        <f>+'فرع السلام'!M35</f>
        <v>0</v>
      </c>
      <c r="N128" s="46">
        <f>+'فرع السلام'!N35</f>
        <v>0</v>
      </c>
      <c r="O128" s="46">
        <f>+'فرع السلام'!O35</f>
        <v>0</v>
      </c>
      <c r="P128" s="46">
        <f>+'فرع السلام'!P35</f>
        <v>0</v>
      </c>
      <c r="Q128" s="46">
        <f>+'فرع السلام'!Q35</f>
        <v>0</v>
      </c>
      <c r="R128" s="47">
        <f>+'فرع السلام'!R35</f>
        <v>0</v>
      </c>
      <c r="S128" s="47">
        <f>+'فرع السلام'!S35</f>
        <v>0</v>
      </c>
      <c r="T128" s="46">
        <f>+'فرع السلام'!T35</f>
        <v>0</v>
      </c>
      <c r="U128" s="46">
        <f>+'فرع السلام'!U35</f>
        <v>0</v>
      </c>
      <c r="V128" s="46">
        <f>+'فرع السلام'!V35</f>
        <v>0</v>
      </c>
      <c r="W128" s="46">
        <f>+'فرع السلام'!W35</f>
        <v>0</v>
      </c>
      <c r="X128" s="46">
        <f>+'فرع السلام'!X35</f>
        <v>0</v>
      </c>
      <c r="Y128" s="46">
        <f>+'فرع السلام'!Y35</f>
        <v>0</v>
      </c>
      <c r="Z128" s="46">
        <f>+'فرع السلام'!Z35</f>
        <v>0</v>
      </c>
      <c r="AA128" s="46">
        <f>+'فرع السلام'!AA35</f>
        <v>0</v>
      </c>
      <c r="AB128" s="46">
        <f>+'فرع السلام'!AB35</f>
        <v>0</v>
      </c>
      <c r="AC128" s="46">
        <f>+'فرع السلام'!AC35</f>
        <v>0</v>
      </c>
      <c r="AD128" s="46">
        <f>+'فرع السلام'!AD35</f>
        <v>0</v>
      </c>
      <c r="AE128" s="46">
        <f>+'فرع السلام'!AE35</f>
        <v>0</v>
      </c>
      <c r="AF128" s="46">
        <f>+'فرع السلام'!AF35</f>
        <v>0</v>
      </c>
      <c r="AG128" s="46">
        <f>+'فرع السلام'!AG35</f>
        <v>0</v>
      </c>
      <c r="AH128" s="46">
        <f>+'فرع السلام'!AH35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+'فرع السلام'!A36</f>
        <v>0</v>
      </c>
      <c r="B132" s="44">
        <f>+'فرع السلام'!B36</f>
        <v>0</v>
      </c>
      <c r="C132" s="45">
        <f>+'فرع السلام'!C36</f>
        <v>0</v>
      </c>
      <c r="D132" s="45">
        <f>+'فرع السلام'!D36</f>
        <v>0</v>
      </c>
      <c r="E132" s="45">
        <f>+'فرع السلام'!E36</f>
        <v>0</v>
      </c>
      <c r="F132" s="46">
        <f>+'فرع السلام'!F36</f>
        <v>0</v>
      </c>
      <c r="G132" s="46">
        <f>+'فرع السلام'!G36</f>
        <v>0</v>
      </c>
      <c r="H132" s="46">
        <f>+'فرع السلام'!H36</f>
        <v>0</v>
      </c>
      <c r="I132" s="46">
        <f>+'فرع السلام'!I36</f>
        <v>0</v>
      </c>
      <c r="J132" s="46">
        <f>+'فرع السلام'!J36</f>
        <v>0</v>
      </c>
      <c r="K132" s="46">
        <f>+'فرع السلام'!K36</f>
        <v>0</v>
      </c>
      <c r="L132" s="46">
        <f>+'فرع السلام'!L36</f>
        <v>0</v>
      </c>
      <c r="M132" s="46">
        <f>+'فرع السلام'!M36</f>
        <v>0</v>
      </c>
      <c r="N132" s="46">
        <f>+'فرع السلام'!N36</f>
        <v>0</v>
      </c>
      <c r="O132" s="46">
        <f>+'فرع السلام'!O36</f>
        <v>0</v>
      </c>
      <c r="P132" s="46">
        <f>+'فرع السلام'!P36</f>
        <v>0</v>
      </c>
      <c r="Q132" s="46">
        <f>+'فرع السلام'!Q36</f>
        <v>0</v>
      </c>
      <c r="R132" s="47">
        <f>+'فرع السلام'!R36</f>
        <v>0</v>
      </c>
      <c r="S132" s="47">
        <f>+'فرع السلام'!S36</f>
        <v>0</v>
      </c>
      <c r="T132" s="46">
        <f>+'فرع السلام'!T36</f>
        <v>0</v>
      </c>
      <c r="U132" s="46">
        <f>+'فرع السلام'!U36</f>
        <v>0</v>
      </c>
      <c r="V132" s="46">
        <f>+'فرع السلام'!V36</f>
        <v>0</v>
      </c>
      <c r="W132" s="46">
        <f>+'فرع السلام'!W36</f>
        <v>0</v>
      </c>
      <c r="X132" s="46">
        <f>+'فرع السلام'!X36</f>
        <v>0</v>
      </c>
      <c r="Y132" s="46">
        <f>+'فرع السلام'!Y36</f>
        <v>0</v>
      </c>
      <c r="Z132" s="46">
        <f>+'فرع السلام'!Z36</f>
        <v>0</v>
      </c>
      <c r="AA132" s="46">
        <f>+'فرع السلام'!AA36</f>
        <v>0</v>
      </c>
      <c r="AB132" s="46">
        <f>+'فرع السلام'!AB36</f>
        <v>0</v>
      </c>
      <c r="AC132" s="46">
        <f>+'فرع السلام'!AC36</f>
        <v>0</v>
      </c>
      <c r="AD132" s="46">
        <f>+'فرع السلام'!AD36</f>
        <v>0</v>
      </c>
      <c r="AE132" s="46">
        <f>+'فرع السلام'!AE36</f>
        <v>0</v>
      </c>
      <c r="AF132" s="46">
        <f>+'فرع السلام'!AF36</f>
        <v>0</v>
      </c>
      <c r="AG132" s="46">
        <f>+'فرع السلام'!AG36</f>
        <v>0</v>
      </c>
      <c r="AH132" s="46">
        <f>+'فرع السلام'!AH36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+'فرع السلام'!A37</f>
        <v>0</v>
      </c>
      <c r="B136" s="44">
        <f>+'فرع السلام'!B37</f>
        <v>0</v>
      </c>
      <c r="C136" s="45">
        <f>+'فرع السلام'!C37</f>
        <v>0</v>
      </c>
      <c r="D136" s="45">
        <f>+'فرع السلام'!D37</f>
        <v>0</v>
      </c>
      <c r="E136" s="45">
        <f>+'فرع السلام'!E37</f>
        <v>0</v>
      </c>
      <c r="F136" s="46">
        <f>+'فرع السلام'!F37</f>
        <v>0</v>
      </c>
      <c r="G136" s="46">
        <f>+'فرع السلام'!G37</f>
        <v>0</v>
      </c>
      <c r="H136" s="46">
        <f>+'فرع السلام'!H37</f>
        <v>0</v>
      </c>
      <c r="I136" s="46">
        <f>+'فرع السلام'!I37</f>
        <v>0</v>
      </c>
      <c r="J136" s="46">
        <f>+'فرع السلام'!J37</f>
        <v>0</v>
      </c>
      <c r="K136" s="46">
        <f>+'فرع السلام'!K37</f>
        <v>0</v>
      </c>
      <c r="L136" s="46">
        <f>+'فرع السلام'!L37</f>
        <v>0</v>
      </c>
      <c r="M136" s="46">
        <f>+'فرع السلام'!M37</f>
        <v>0</v>
      </c>
      <c r="N136" s="46">
        <f>+'فرع السلام'!N37</f>
        <v>0</v>
      </c>
      <c r="O136" s="46">
        <f>+'فرع السلام'!O37</f>
        <v>0</v>
      </c>
      <c r="P136" s="46">
        <f>+'فرع السلام'!P37</f>
        <v>0</v>
      </c>
      <c r="Q136" s="46">
        <f>+'فرع السلام'!Q37</f>
        <v>0</v>
      </c>
      <c r="R136" s="47">
        <f>+'فرع السلام'!R37</f>
        <v>0</v>
      </c>
      <c r="S136" s="47">
        <f>+'فرع السلام'!S37</f>
        <v>0</v>
      </c>
      <c r="T136" s="46">
        <f>+'فرع السلام'!T37</f>
        <v>0</v>
      </c>
      <c r="U136" s="46">
        <f>+'فرع السلام'!U37</f>
        <v>0</v>
      </c>
      <c r="V136" s="46">
        <f>+'فرع السلام'!V37</f>
        <v>0</v>
      </c>
      <c r="W136" s="46">
        <f>+'فرع السلام'!W37</f>
        <v>0</v>
      </c>
      <c r="X136" s="46">
        <f>+'فرع السلام'!X37</f>
        <v>0</v>
      </c>
      <c r="Y136" s="46">
        <f>+'فرع السلام'!Y37</f>
        <v>0</v>
      </c>
      <c r="Z136" s="46">
        <f>+'فرع السلام'!Z37</f>
        <v>0</v>
      </c>
      <c r="AA136" s="46">
        <f>+'فرع السلام'!AA37</f>
        <v>0</v>
      </c>
      <c r="AB136" s="46">
        <f>+'فرع السلام'!AB37</f>
        <v>0</v>
      </c>
      <c r="AC136" s="46">
        <f>+'فرع السلام'!AC37</f>
        <v>0</v>
      </c>
      <c r="AD136" s="46">
        <f>+'فرع السلام'!AD37</f>
        <v>0</v>
      </c>
      <c r="AE136" s="46">
        <f>+'فرع السلام'!AE37</f>
        <v>0</v>
      </c>
      <c r="AF136" s="46">
        <f>+'فرع السلام'!AF37</f>
        <v>0</v>
      </c>
      <c r="AG136" s="46">
        <f>+'فرع السلام'!AG37</f>
        <v>0</v>
      </c>
      <c r="AH136" s="46">
        <f>+'فرع السلام'!AH37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+'فرع السلام'!A38</f>
        <v>0</v>
      </c>
      <c r="B140" s="44">
        <f>+'فرع السلام'!B38</f>
        <v>0</v>
      </c>
      <c r="C140" s="45">
        <f>+'فرع السلام'!C38</f>
        <v>0</v>
      </c>
      <c r="D140" s="45">
        <f>+'فرع السلام'!D38</f>
        <v>0</v>
      </c>
      <c r="E140" s="45">
        <f>+'فرع السلام'!E38</f>
        <v>0</v>
      </c>
      <c r="F140" s="46">
        <f>+'فرع السلام'!F38</f>
        <v>0</v>
      </c>
      <c r="G140" s="46">
        <f>+'فرع السلام'!G38</f>
        <v>0</v>
      </c>
      <c r="H140" s="46">
        <f>+'فرع السلام'!H38</f>
        <v>0</v>
      </c>
      <c r="I140" s="46">
        <f>+'فرع السلام'!I38</f>
        <v>0</v>
      </c>
      <c r="J140" s="46">
        <f>+'فرع السلام'!J38</f>
        <v>0</v>
      </c>
      <c r="K140" s="46">
        <f>+'فرع السلام'!K38</f>
        <v>0</v>
      </c>
      <c r="L140" s="46">
        <f>+'فرع السلام'!L38</f>
        <v>0</v>
      </c>
      <c r="M140" s="46">
        <f>+'فرع السلام'!M38</f>
        <v>0</v>
      </c>
      <c r="N140" s="46">
        <f>+'فرع السلام'!N38</f>
        <v>0</v>
      </c>
      <c r="O140" s="46">
        <f>+'فرع السلام'!O38</f>
        <v>0</v>
      </c>
      <c r="P140" s="46">
        <f>+'فرع السلام'!P38</f>
        <v>0</v>
      </c>
      <c r="Q140" s="46">
        <f>+'فرع السلام'!Q38</f>
        <v>0</v>
      </c>
      <c r="R140" s="47">
        <f>+'فرع السلام'!R38</f>
        <v>0</v>
      </c>
      <c r="S140" s="47">
        <f>+'فرع السلام'!S38</f>
        <v>0</v>
      </c>
      <c r="T140" s="46">
        <f>+'فرع السلام'!T38</f>
        <v>0</v>
      </c>
      <c r="U140" s="46">
        <f>+'فرع السلام'!U38</f>
        <v>0</v>
      </c>
      <c r="V140" s="46">
        <f>+'فرع السلام'!V38</f>
        <v>0</v>
      </c>
      <c r="W140" s="46">
        <f>+'فرع السلام'!W38</f>
        <v>0</v>
      </c>
      <c r="X140" s="46">
        <f>+'فرع السلام'!X38</f>
        <v>0</v>
      </c>
      <c r="Y140" s="46">
        <f>+'فرع السلام'!Y38</f>
        <v>0</v>
      </c>
      <c r="Z140" s="46">
        <f>+'فرع السلام'!Z38</f>
        <v>0</v>
      </c>
      <c r="AA140" s="46">
        <f>+'فرع السلام'!AA38</f>
        <v>0</v>
      </c>
      <c r="AB140" s="46">
        <f>+'فرع السلام'!AB38</f>
        <v>0</v>
      </c>
      <c r="AC140" s="46">
        <f>+'فرع السلام'!AC38</f>
        <v>0</v>
      </c>
      <c r="AD140" s="46">
        <f>+'فرع السلام'!AD38</f>
        <v>0</v>
      </c>
      <c r="AE140" s="46">
        <f>+'فرع السلام'!AE38</f>
        <v>0</v>
      </c>
      <c r="AF140" s="46">
        <f>+'فرع السلام'!AF38</f>
        <v>0</v>
      </c>
      <c r="AG140" s="46">
        <f>+'فرع السلام'!AG38</f>
        <v>0</v>
      </c>
      <c r="AH140" s="46">
        <f>+'فرع السلام'!AH38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+'فرع السلام'!A39</f>
        <v>0</v>
      </c>
      <c r="B144" s="44">
        <f>+'فرع السلام'!B39</f>
        <v>0</v>
      </c>
      <c r="C144" s="45">
        <f>+'فرع السلام'!C39</f>
        <v>0</v>
      </c>
      <c r="D144" s="45">
        <f>+'فرع السلام'!D39</f>
        <v>0</v>
      </c>
      <c r="E144" s="45">
        <f>+'فرع السلام'!E39</f>
        <v>0</v>
      </c>
      <c r="F144" s="46">
        <f>+'فرع السلام'!F39</f>
        <v>0</v>
      </c>
      <c r="G144" s="46">
        <f>+'فرع السلام'!G39</f>
        <v>0</v>
      </c>
      <c r="H144" s="46">
        <f>+'فرع السلام'!H39</f>
        <v>0</v>
      </c>
      <c r="I144" s="46">
        <f>+'فرع السلام'!I39</f>
        <v>0</v>
      </c>
      <c r="J144" s="46">
        <f>+'فرع السلام'!J39</f>
        <v>0</v>
      </c>
      <c r="K144" s="46">
        <f>+'فرع السلام'!K39</f>
        <v>0</v>
      </c>
      <c r="L144" s="46">
        <f>+'فرع السلام'!L39</f>
        <v>0</v>
      </c>
      <c r="M144" s="46">
        <f>+'فرع السلام'!M39</f>
        <v>0</v>
      </c>
      <c r="N144" s="46">
        <f>+'فرع السلام'!N39</f>
        <v>0</v>
      </c>
      <c r="O144" s="46">
        <f>+'فرع السلام'!O39</f>
        <v>0</v>
      </c>
      <c r="P144" s="46">
        <f>+'فرع السلام'!P39</f>
        <v>0</v>
      </c>
      <c r="Q144" s="46">
        <f>+'فرع السلام'!Q39</f>
        <v>0</v>
      </c>
      <c r="R144" s="47">
        <f>+'فرع السلام'!R39</f>
        <v>0</v>
      </c>
      <c r="S144" s="47">
        <f>+'فرع السلام'!S39</f>
        <v>0</v>
      </c>
      <c r="T144" s="46">
        <f>+'فرع السلام'!T39</f>
        <v>0</v>
      </c>
      <c r="U144" s="46">
        <f>+'فرع السلام'!U39</f>
        <v>0</v>
      </c>
      <c r="V144" s="46">
        <f>+'فرع السلام'!V39</f>
        <v>0</v>
      </c>
      <c r="W144" s="46">
        <f>+'فرع السلام'!W39</f>
        <v>0</v>
      </c>
      <c r="X144" s="46">
        <f>+'فرع السلام'!X39</f>
        <v>0</v>
      </c>
      <c r="Y144" s="46">
        <f>+'فرع السلام'!Y39</f>
        <v>0</v>
      </c>
      <c r="Z144" s="46">
        <f>+'فرع السلام'!Z39</f>
        <v>0</v>
      </c>
      <c r="AA144" s="46">
        <f>+'فرع السلام'!AA39</f>
        <v>0</v>
      </c>
      <c r="AB144" s="46">
        <f>+'فرع السلام'!AB39</f>
        <v>0</v>
      </c>
      <c r="AC144" s="46">
        <f>+'فرع السلام'!AC39</f>
        <v>0</v>
      </c>
      <c r="AD144" s="46">
        <f>+'فرع السلام'!AD39</f>
        <v>0</v>
      </c>
      <c r="AE144" s="46">
        <f>+'فرع السلام'!AE39</f>
        <v>0</v>
      </c>
      <c r="AF144" s="46">
        <f>+'فرع السلام'!AF39</f>
        <v>0</v>
      </c>
      <c r="AG144" s="46">
        <f>+'فرع السلام'!AG39</f>
        <v>0</v>
      </c>
      <c r="AH144" s="46">
        <f>+'فرع السلام'!AH39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+'فرع السلام'!A40</f>
        <v>0</v>
      </c>
      <c r="B148" s="44">
        <f>+'فرع السلام'!B40</f>
        <v>0</v>
      </c>
      <c r="C148" s="45">
        <f>+'فرع السلام'!C40</f>
        <v>0</v>
      </c>
      <c r="D148" s="45">
        <f>+'فرع السلام'!D40</f>
        <v>0</v>
      </c>
      <c r="E148" s="45">
        <f>+'فرع السلام'!E40</f>
        <v>0</v>
      </c>
      <c r="F148" s="46">
        <f>+'فرع السلام'!F40</f>
        <v>0</v>
      </c>
      <c r="G148" s="46">
        <f>+'فرع السلام'!G40</f>
        <v>0</v>
      </c>
      <c r="H148" s="46">
        <f>+'فرع السلام'!H40</f>
        <v>0</v>
      </c>
      <c r="I148" s="46">
        <f>+'فرع السلام'!I40</f>
        <v>0</v>
      </c>
      <c r="J148" s="46">
        <f>+'فرع السلام'!J40</f>
        <v>0</v>
      </c>
      <c r="K148" s="46">
        <f>+'فرع السلام'!K40</f>
        <v>0</v>
      </c>
      <c r="L148" s="46">
        <f>+'فرع السلام'!L40</f>
        <v>0</v>
      </c>
      <c r="M148" s="46">
        <f>+'فرع السلام'!M40</f>
        <v>0</v>
      </c>
      <c r="N148" s="46">
        <f>+'فرع السلام'!N40</f>
        <v>0</v>
      </c>
      <c r="O148" s="46">
        <f>+'فرع السلام'!O40</f>
        <v>0</v>
      </c>
      <c r="P148" s="46">
        <f>+'فرع السلام'!P40</f>
        <v>0</v>
      </c>
      <c r="Q148" s="46">
        <f>+'فرع السلام'!Q40</f>
        <v>0</v>
      </c>
      <c r="R148" s="47">
        <f>+'فرع السلام'!R40</f>
        <v>0</v>
      </c>
      <c r="S148" s="47">
        <f>+'فرع السلام'!S40</f>
        <v>0</v>
      </c>
      <c r="T148" s="46">
        <f>+'فرع السلام'!T40</f>
        <v>0</v>
      </c>
      <c r="U148" s="46">
        <f>+'فرع السلام'!U40</f>
        <v>0</v>
      </c>
      <c r="V148" s="46">
        <f>+'فرع السلام'!V40</f>
        <v>0</v>
      </c>
      <c r="W148" s="46">
        <f>+'فرع السلام'!W40</f>
        <v>0</v>
      </c>
      <c r="X148" s="46">
        <f>+'فرع السلام'!X40</f>
        <v>0</v>
      </c>
      <c r="Y148" s="46">
        <f>+'فرع السلام'!Y40</f>
        <v>0</v>
      </c>
      <c r="Z148" s="46">
        <f>+'فرع السلام'!Z40</f>
        <v>0</v>
      </c>
      <c r="AA148" s="46">
        <f>+'فرع السلام'!AA40</f>
        <v>0</v>
      </c>
      <c r="AB148" s="46">
        <f>+'فرع السلام'!AB40</f>
        <v>0</v>
      </c>
      <c r="AC148" s="46">
        <f>+'فرع السلام'!AC40</f>
        <v>0</v>
      </c>
      <c r="AD148" s="46">
        <f>+'فرع السلام'!AD40</f>
        <v>0</v>
      </c>
      <c r="AE148" s="46">
        <f>+'فرع السلام'!AE40</f>
        <v>0</v>
      </c>
      <c r="AF148" s="46">
        <f>+'فرع السلام'!AF40</f>
        <v>0</v>
      </c>
      <c r="AG148" s="46">
        <f>+'فرع السلام'!AG40</f>
        <v>0</v>
      </c>
      <c r="AH148" s="46">
        <f>+'فرع السلام'!AH40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+'فرع السلام'!A41</f>
        <v>0</v>
      </c>
      <c r="B152" s="44">
        <f>+'فرع السلام'!B41</f>
        <v>0</v>
      </c>
      <c r="C152" s="45">
        <f>+'فرع السلام'!C41</f>
        <v>0</v>
      </c>
      <c r="D152" s="45">
        <f>+'فرع السلام'!D41</f>
        <v>0</v>
      </c>
      <c r="E152" s="45">
        <f>+'فرع السلام'!E41</f>
        <v>0</v>
      </c>
      <c r="F152" s="46">
        <f>+'فرع السلام'!F41</f>
        <v>0</v>
      </c>
      <c r="G152" s="46">
        <f>+'فرع السلام'!G41</f>
        <v>0</v>
      </c>
      <c r="H152" s="46">
        <f>+'فرع السلام'!H41</f>
        <v>0</v>
      </c>
      <c r="I152" s="46">
        <f>+'فرع السلام'!I41</f>
        <v>0</v>
      </c>
      <c r="J152" s="46">
        <f>+'فرع السلام'!J41</f>
        <v>0</v>
      </c>
      <c r="K152" s="46">
        <f>+'فرع السلام'!K41</f>
        <v>0</v>
      </c>
      <c r="L152" s="46">
        <f>+'فرع السلام'!L41</f>
        <v>0</v>
      </c>
      <c r="M152" s="46">
        <f>+'فرع السلام'!M41</f>
        <v>0</v>
      </c>
      <c r="N152" s="46">
        <f>+'فرع السلام'!N41</f>
        <v>0</v>
      </c>
      <c r="O152" s="46">
        <f>+'فرع السلام'!O41</f>
        <v>0</v>
      </c>
      <c r="P152" s="46">
        <f>+'فرع السلام'!P41</f>
        <v>0</v>
      </c>
      <c r="Q152" s="46">
        <f>+'فرع السلام'!Q41</f>
        <v>0</v>
      </c>
      <c r="R152" s="47">
        <f>+'فرع السلام'!R41</f>
        <v>0</v>
      </c>
      <c r="S152" s="47">
        <f>+'فرع السلام'!S41</f>
        <v>0</v>
      </c>
      <c r="T152" s="46">
        <f>+'فرع السلام'!T41</f>
        <v>0</v>
      </c>
      <c r="U152" s="46">
        <f>+'فرع السلام'!U41</f>
        <v>0</v>
      </c>
      <c r="V152" s="46">
        <f>+'فرع السلام'!V41</f>
        <v>0</v>
      </c>
      <c r="W152" s="46">
        <f>+'فرع السلام'!W41</f>
        <v>0</v>
      </c>
      <c r="X152" s="46">
        <f>+'فرع السلام'!X41</f>
        <v>0</v>
      </c>
      <c r="Y152" s="46">
        <f>+'فرع السلام'!Y41</f>
        <v>0</v>
      </c>
      <c r="Z152" s="46">
        <f>+'فرع السلام'!Z41</f>
        <v>0</v>
      </c>
      <c r="AA152" s="46">
        <f>+'فرع السلام'!AA41</f>
        <v>0</v>
      </c>
      <c r="AB152" s="46">
        <f>+'فرع السلام'!AB41</f>
        <v>0</v>
      </c>
      <c r="AC152" s="46">
        <f>+'فرع السلام'!AC41</f>
        <v>0</v>
      </c>
      <c r="AD152" s="46">
        <f>+'فرع السلام'!AD41</f>
        <v>0</v>
      </c>
      <c r="AE152" s="46">
        <f>+'فرع السلام'!AE41</f>
        <v>0</v>
      </c>
      <c r="AF152" s="46">
        <f>+'فرع السلام'!AF41</f>
        <v>0</v>
      </c>
      <c r="AG152" s="46">
        <f>+'فرع السلام'!AG41</f>
        <v>0</v>
      </c>
      <c r="AH152" s="46">
        <f>+'فرع السلام'!AH41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+'فرع السلام'!A42</f>
        <v>0</v>
      </c>
      <c r="B156" s="44">
        <f>+'فرع السلام'!B42</f>
        <v>0</v>
      </c>
      <c r="C156" s="45">
        <f>+'فرع السلام'!C42</f>
        <v>0</v>
      </c>
      <c r="D156" s="45">
        <f>+'فرع السلام'!D42</f>
        <v>0</v>
      </c>
      <c r="E156" s="45">
        <f>+'فرع السلام'!E42</f>
        <v>0</v>
      </c>
      <c r="F156" s="46">
        <f>'فرع السلام'!F42</f>
        <v>0</v>
      </c>
      <c r="G156" s="46">
        <f>'فرع السلام'!G42</f>
        <v>0</v>
      </c>
      <c r="H156" s="46">
        <f>'فرع السلام'!H42</f>
        <v>0</v>
      </c>
      <c r="I156" s="46">
        <f>'فرع السلام'!I42</f>
        <v>0</v>
      </c>
      <c r="J156" s="46">
        <f>'فرع السلام'!J42</f>
        <v>0</v>
      </c>
      <c r="K156" s="46">
        <f>'فرع السلام'!K42</f>
        <v>0</v>
      </c>
      <c r="L156" s="46">
        <f>'فرع السلام'!L42</f>
        <v>0</v>
      </c>
      <c r="M156" s="46">
        <f>'فرع السلام'!M42</f>
        <v>0</v>
      </c>
      <c r="N156" s="46">
        <f>'فرع السلام'!N42</f>
        <v>0</v>
      </c>
      <c r="O156" s="46">
        <f>'فرع السلام'!O42</f>
        <v>0</v>
      </c>
      <c r="P156" s="46">
        <f>'فرع السلام'!P42</f>
        <v>0</v>
      </c>
      <c r="Q156" s="46">
        <f>'فرع السلام'!Q42</f>
        <v>0</v>
      </c>
      <c r="R156" s="47">
        <f>'فرع السلام'!R42</f>
        <v>0</v>
      </c>
      <c r="S156" s="47">
        <f>'فرع السلام'!S42</f>
        <v>0</v>
      </c>
      <c r="T156" s="46">
        <f>'فرع السلام'!T42</f>
        <v>0</v>
      </c>
      <c r="U156" s="46">
        <f>'فرع السلام'!U42</f>
        <v>0</v>
      </c>
      <c r="V156" s="46">
        <f>'فرع السلام'!V42</f>
        <v>0</v>
      </c>
      <c r="W156" s="46">
        <f>'فرع السلام'!W42</f>
        <v>0</v>
      </c>
      <c r="X156" s="46">
        <f>'فرع السلام'!X42</f>
        <v>0</v>
      </c>
      <c r="Y156" s="46">
        <f>'فرع السلام'!Y42</f>
        <v>0</v>
      </c>
      <c r="Z156" s="46">
        <f>'فرع السلام'!Z42</f>
        <v>0</v>
      </c>
      <c r="AA156" s="46">
        <f>'فرع السلام'!AA42</f>
        <v>0</v>
      </c>
      <c r="AB156" s="46">
        <f>'فرع السلام'!AB42</f>
        <v>0</v>
      </c>
      <c r="AC156" s="46">
        <f>'فرع السلام'!AC42</f>
        <v>0</v>
      </c>
      <c r="AD156" s="46">
        <f>'فرع السلام'!AD42</f>
        <v>0</v>
      </c>
      <c r="AE156" s="46">
        <f>'فرع السلام'!AE42</f>
        <v>0</v>
      </c>
      <c r="AF156" s="46">
        <f>'فرع السلام'!AF42</f>
        <v>0</v>
      </c>
      <c r="AG156" s="46">
        <f>'فرع السلام'!AG42</f>
        <v>0</v>
      </c>
      <c r="AH156" s="46">
        <f>'فرع السلام'!AH42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+'فرع السلام'!A43</f>
        <v>0</v>
      </c>
      <c r="B160" s="44">
        <f>+'فرع السلام'!B43</f>
        <v>0</v>
      </c>
      <c r="C160" s="45">
        <f>+'فرع السلام'!C43</f>
        <v>0</v>
      </c>
      <c r="D160" s="45">
        <f>+'فرع السلام'!D43</f>
        <v>0</v>
      </c>
      <c r="E160" s="45">
        <f>+'فرع السلام'!E43</f>
        <v>0</v>
      </c>
      <c r="F160" s="46">
        <f>'فرع السلام'!F43</f>
        <v>0</v>
      </c>
      <c r="G160" s="46">
        <f>'فرع السلام'!G43</f>
        <v>0</v>
      </c>
      <c r="H160" s="46">
        <f>'فرع السلام'!H43</f>
        <v>0</v>
      </c>
      <c r="I160" s="46">
        <f>'فرع السلام'!I43</f>
        <v>0</v>
      </c>
      <c r="J160" s="46">
        <f>'فرع السلام'!J43</f>
        <v>0</v>
      </c>
      <c r="K160" s="46">
        <f>'فرع السلام'!K43</f>
        <v>0</v>
      </c>
      <c r="L160" s="46">
        <f>'فرع السلام'!L43</f>
        <v>0</v>
      </c>
      <c r="M160" s="46">
        <f>'فرع السلام'!M43</f>
        <v>0</v>
      </c>
      <c r="N160" s="46">
        <f>'فرع السلام'!N43</f>
        <v>0</v>
      </c>
      <c r="O160" s="46">
        <f>'فرع السلام'!O43</f>
        <v>0</v>
      </c>
      <c r="P160" s="46">
        <f>'فرع السلام'!P43</f>
        <v>0</v>
      </c>
      <c r="Q160" s="46">
        <f>'فرع السلام'!Q43</f>
        <v>0</v>
      </c>
      <c r="R160" s="47">
        <f>'فرع السلام'!R43</f>
        <v>0</v>
      </c>
      <c r="S160" s="47">
        <f>'فرع السلام'!S43</f>
        <v>0</v>
      </c>
      <c r="T160" s="46">
        <f>'فرع السلام'!T43</f>
        <v>0</v>
      </c>
      <c r="U160" s="46">
        <f>'فرع السلام'!U43</f>
        <v>0</v>
      </c>
      <c r="V160" s="46">
        <f>'فرع السلام'!V43</f>
        <v>0</v>
      </c>
      <c r="W160" s="46">
        <f>'فرع السلام'!W43</f>
        <v>0</v>
      </c>
      <c r="X160" s="46">
        <f>'فرع السلام'!X43</f>
        <v>0</v>
      </c>
      <c r="Y160" s="46">
        <f>'فرع السلام'!Y43</f>
        <v>0</v>
      </c>
      <c r="Z160" s="46">
        <f>'فرع السلام'!Z43</f>
        <v>0</v>
      </c>
      <c r="AA160" s="46">
        <f>'فرع السلام'!AA43</f>
        <v>0</v>
      </c>
      <c r="AB160" s="46">
        <f>'فرع السلام'!AB43</f>
        <v>0</v>
      </c>
      <c r="AC160" s="46">
        <f>'فرع السلام'!AC43</f>
        <v>0</v>
      </c>
      <c r="AD160" s="46">
        <f>'فرع السلام'!AD43</f>
        <v>0</v>
      </c>
      <c r="AE160" s="46">
        <f>'فرع السلام'!AE43</f>
        <v>0</v>
      </c>
      <c r="AF160" s="46">
        <f>'فرع السلام'!AF43</f>
        <v>0</v>
      </c>
      <c r="AG160" s="46">
        <f>'فرع السلام'!AG43</f>
        <v>0</v>
      </c>
      <c r="AH160" s="46">
        <f>'فرع السلام'!AH43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+'فرع السلام'!A44</f>
        <v>0</v>
      </c>
      <c r="B164" s="44">
        <f>+'فرع السلام'!B44</f>
        <v>0</v>
      </c>
      <c r="C164" s="45">
        <f>+'فرع السلام'!C44</f>
        <v>0</v>
      </c>
      <c r="D164" s="45">
        <f>+'فرع السلام'!D44</f>
        <v>0</v>
      </c>
      <c r="E164" s="45">
        <f>+'فرع السلام'!E44</f>
        <v>0</v>
      </c>
      <c r="F164" s="46">
        <f>'فرع السلام'!F44</f>
        <v>0</v>
      </c>
      <c r="G164" s="46">
        <f>'فرع السلام'!G44</f>
        <v>0</v>
      </c>
      <c r="H164" s="46">
        <f>'فرع السلام'!H44</f>
        <v>0</v>
      </c>
      <c r="I164" s="46">
        <f>'فرع السلام'!I44</f>
        <v>0</v>
      </c>
      <c r="J164" s="46">
        <f>'فرع السلام'!J44</f>
        <v>0</v>
      </c>
      <c r="K164" s="46">
        <f>'فرع السلام'!K44</f>
        <v>0</v>
      </c>
      <c r="L164" s="46">
        <f>'فرع السلام'!L44</f>
        <v>0</v>
      </c>
      <c r="M164" s="46">
        <f>'فرع السلام'!M44</f>
        <v>0</v>
      </c>
      <c r="N164" s="46">
        <f>'فرع السلام'!N44</f>
        <v>0</v>
      </c>
      <c r="O164" s="46">
        <f>'فرع السلام'!O44</f>
        <v>0</v>
      </c>
      <c r="P164" s="46">
        <f>'فرع السلام'!P44</f>
        <v>0</v>
      </c>
      <c r="Q164" s="46">
        <f>'فرع السلام'!Q44</f>
        <v>0</v>
      </c>
      <c r="R164" s="47">
        <f>'فرع السلام'!R44</f>
        <v>0</v>
      </c>
      <c r="S164" s="47">
        <f>'فرع السلام'!S44</f>
        <v>0</v>
      </c>
      <c r="T164" s="46">
        <f>'فرع السلام'!T44</f>
        <v>0</v>
      </c>
      <c r="U164" s="46">
        <f>'فرع السلام'!U44</f>
        <v>0</v>
      </c>
      <c r="V164" s="46">
        <f>'فرع السلام'!V44</f>
        <v>0</v>
      </c>
      <c r="W164" s="46">
        <f>'فرع السلام'!W44</f>
        <v>0</v>
      </c>
      <c r="X164" s="46">
        <f>'فرع السلام'!X44</f>
        <v>0</v>
      </c>
      <c r="Y164" s="46">
        <f>'فرع السلام'!Y44</f>
        <v>0</v>
      </c>
      <c r="Z164" s="46">
        <f>'فرع السلام'!Z44</f>
        <v>0</v>
      </c>
      <c r="AA164" s="46">
        <f>'فرع السلام'!AA44</f>
        <v>0</v>
      </c>
      <c r="AB164" s="46">
        <f>'فرع السلام'!AB44</f>
        <v>0</v>
      </c>
      <c r="AC164" s="46">
        <f>'فرع السلام'!AC44</f>
        <v>0</v>
      </c>
      <c r="AD164" s="46">
        <f>'فرع السلام'!AD44</f>
        <v>0</v>
      </c>
      <c r="AE164" s="46">
        <f>'فرع السلام'!AE44</f>
        <v>0</v>
      </c>
      <c r="AF164" s="46">
        <f>'فرع السلام'!AF44</f>
        <v>0</v>
      </c>
      <c r="AG164" s="46">
        <f>'فرع السلام'!AG44</f>
        <v>0</v>
      </c>
      <c r="AH164" s="46">
        <f>'فرع السلام'!AH44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+'فرع السلام'!A45</f>
        <v>0</v>
      </c>
      <c r="B168" s="44">
        <f>+'فرع السلام'!B45</f>
        <v>0</v>
      </c>
      <c r="C168" s="45">
        <f>+'فرع السلام'!C45</f>
        <v>0</v>
      </c>
      <c r="D168" s="45">
        <f>+'فرع السلام'!D45</f>
        <v>0</v>
      </c>
      <c r="E168" s="45">
        <f>+'فرع السلام'!E45</f>
        <v>0</v>
      </c>
      <c r="F168" s="46">
        <f>'فرع السلام'!F45</f>
        <v>0</v>
      </c>
      <c r="G168" s="46">
        <f>'فرع السلام'!G45</f>
        <v>0</v>
      </c>
      <c r="H168" s="46">
        <f>'فرع السلام'!H45</f>
        <v>0</v>
      </c>
      <c r="I168" s="46">
        <f>'فرع السلام'!I45</f>
        <v>0</v>
      </c>
      <c r="J168" s="46">
        <f>'فرع السلام'!J45</f>
        <v>0</v>
      </c>
      <c r="K168" s="46">
        <f>'فرع السلام'!K45</f>
        <v>0</v>
      </c>
      <c r="L168" s="46">
        <f>'فرع السلام'!L45</f>
        <v>0</v>
      </c>
      <c r="M168" s="46">
        <f>'فرع السلام'!M45</f>
        <v>0</v>
      </c>
      <c r="N168" s="46">
        <f>'فرع السلام'!N45</f>
        <v>0</v>
      </c>
      <c r="O168" s="46">
        <f>'فرع السلام'!O45</f>
        <v>0</v>
      </c>
      <c r="P168" s="46">
        <f>'فرع السلام'!P45</f>
        <v>0</v>
      </c>
      <c r="Q168" s="46">
        <f>'فرع السلام'!Q45</f>
        <v>0</v>
      </c>
      <c r="R168" s="47">
        <f>'فرع السلام'!R45</f>
        <v>0</v>
      </c>
      <c r="S168" s="47">
        <f>'فرع السلام'!S45</f>
        <v>0</v>
      </c>
      <c r="T168" s="46">
        <f>'فرع السلام'!T45</f>
        <v>0</v>
      </c>
      <c r="U168" s="46">
        <f>'فرع السلام'!U45</f>
        <v>0</v>
      </c>
      <c r="V168" s="46">
        <f>'فرع السلام'!V45</f>
        <v>0</v>
      </c>
      <c r="W168" s="46">
        <f>'فرع السلام'!W45</f>
        <v>0</v>
      </c>
      <c r="X168" s="46">
        <f>'فرع السلام'!X45</f>
        <v>0</v>
      </c>
      <c r="Y168" s="46">
        <f>'فرع السلام'!Y45</f>
        <v>0</v>
      </c>
      <c r="Z168" s="46">
        <f>'فرع السلام'!Z45</f>
        <v>0</v>
      </c>
      <c r="AA168" s="46">
        <f>'فرع السلام'!AA45</f>
        <v>0</v>
      </c>
      <c r="AB168" s="46">
        <f>'فرع السلام'!AB45</f>
        <v>0</v>
      </c>
      <c r="AC168" s="46">
        <f>'فرع السلام'!AC45</f>
        <v>0</v>
      </c>
      <c r="AD168" s="46">
        <f>'فرع السلام'!AD45</f>
        <v>0</v>
      </c>
      <c r="AE168" s="46">
        <f>'فرع السلام'!AE45</f>
        <v>0</v>
      </c>
      <c r="AF168" s="46">
        <f>'فرع السلام'!AF45</f>
        <v>0</v>
      </c>
      <c r="AG168" s="46">
        <f>'فرع السلام'!AG45</f>
        <v>0</v>
      </c>
      <c r="AH168" s="46">
        <f>'فرع السلام'!AH45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+'فرع السلام'!A46</f>
        <v>0</v>
      </c>
      <c r="B172" s="44">
        <f>+'فرع السلام'!B46</f>
        <v>0</v>
      </c>
      <c r="C172" s="45">
        <f>+'فرع السلام'!C46</f>
        <v>0</v>
      </c>
      <c r="D172" s="45">
        <f>+'فرع السلام'!D46</f>
        <v>0</v>
      </c>
      <c r="E172" s="45">
        <f>+'فرع السلام'!E46</f>
        <v>0</v>
      </c>
      <c r="F172" s="46">
        <f>'فرع السلام'!F46</f>
        <v>0</v>
      </c>
      <c r="G172" s="46">
        <f>'فرع السلام'!G46</f>
        <v>0</v>
      </c>
      <c r="H172" s="46">
        <f>'فرع السلام'!H46</f>
        <v>0</v>
      </c>
      <c r="I172" s="46">
        <f>'فرع السلام'!I46</f>
        <v>0</v>
      </c>
      <c r="J172" s="46">
        <f>'فرع السلام'!J46</f>
        <v>0</v>
      </c>
      <c r="K172" s="46">
        <f>'فرع السلام'!K46</f>
        <v>0</v>
      </c>
      <c r="L172" s="46">
        <f>'فرع السلام'!L46</f>
        <v>0</v>
      </c>
      <c r="M172" s="46">
        <f>'فرع السلام'!M46</f>
        <v>0</v>
      </c>
      <c r="N172" s="46">
        <f>'فرع السلام'!N46</f>
        <v>0</v>
      </c>
      <c r="O172" s="46">
        <f>'فرع السلام'!O46</f>
        <v>0</v>
      </c>
      <c r="P172" s="46">
        <f>'فرع السلام'!P46</f>
        <v>0</v>
      </c>
      <c r="Q172" s="46">
        <f>'فرع السلام'!Q46</f>
        <v>0</v>
      </c>
      <c r="R172" s="47">
        <f>'فرع السلام'!R46</f>
        <v>0</v>
      </c>
      <c r="S172" s="47"/>
      <c r="T172" s="46">
        <f>'فرع السلام'!T46</f>
        <v>0</v>
      </c>
      <c r="U172" s="46">
        <f>'فرع السلام'!U46</f>
        <v>0</v>
      </c>
      <c r="V172" s="46">
        <f>'فرع السلام'!V46</f>
        <v>0</v>
      </c>
      <c r="W172" s="46">
        <f>'فرع السلام'!W46</f>
        <v>0</v>
      </c>
      <c r="X172" s="46">
        <f>'فرع السلام'!X46</f>
        <v>0</v>
      </c>
      <c r="Y172" s="46">
        <f>'فرع السلام'!Y46</f>
        <v>0</v>
      </c>
      <c r="Z172" s="46">
        <f>'فرع السلام'!Z46</f>
        <v>0</v>
      </c>
      <c r="AA172" s="46">
        <f>'فرع السلام'!AA46</f>
        <v>0</v>
      </c>
      <c r="AB172" s="46">
        <f>'فرع السلام'!AB46</f>
        <v>0</v>
      </c>
      <c r="AC172" s="46">
        <f>'فرع السلام'!AC46</f>
        <v>0</v>
      </c>
      <c r="AD172" s="46">
        <f>'فرع السلام'!AD46</f>
        <v>0</v>
      </c>
      <c r="AE172" s="46">
        <f>'فرع السلام'!AE46</f>
        <v>0</v>
      </c>
      <c r="AF172" s="46">
        <f>'فرع السلام'!AF46</f>
        <v>0</v>
      </c>
      <c r="AG172" s="46">
        <f>'فرع السلام'!AG46</f>
        <v>0</v>
      </c>
      <c r="AH172" s="46">
        <f>'فرع السلام'!AH46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+'فرع السلام'!A47</f>
        <v>0</v>
      </c>
      <c r="B176" s="44">
        <f>+'فرع السلام'!B47</f>
        <v>0</v>
      </c>
      <c r="C176" s="45">
        <f>+'فرع السلام'!C47</f>
        <v>0</v>
      </c>
      <c r="D176" s="45">
        <f>+'فرع السلام'!D47</f>
        <v>0</v>
      </c>
      <c r="E176" s="45">
        <f>+'فرع السلام'!E47</f>
        <v>0</v>
      </c>
      <c r="F176" s="46">
        <f>'فرع السلام'!F47</f>
        <v>0</v>
      </c>
      <c r="G176" s="46">
        <f>'فرع السلام'!G47</f>
        <v>0</v>
      </c>
      <c r="H176" s="46">
        <f>'فرع السلام'!H47</f>
        <v>0</v>
      </c>
      <c r="I176" s="46">
        <f>'فرع السلام'!I47</f>
        <v>0</v>
      </c>
      <c r="J176" s="46">
        <f>'فرع السلام'!J47</f>
        <v>0</v>
      </c>
      <c r="K176" s="46">
        <f>'فرع السلام'!K47</f>
        <v>0</v>
      </c>
      <c r="L176" s="46">
        <f>'فرع السلام'!L47</f>
        <v>0</v>
      </c>
      <c r="M176" s="46">
        <f>'فرع السلام'!M47</f>
        <v>0</v>
      </c>
      <c r="N176" s="46">
        <f>'فرع السلام'!N47</f>
        <v>0</v>
      </c>
      <c r="O176" s="46">
        <f>'فرع السلام'!O47</f>
        <v>0</v>
      </c>
      <c r="P176" s="46">
        <f>'فرع السلام'!P47</f>
        <v>0</v>
      </c>
      <c r="Q176" s="46">
        <f>'فرع السلام'!Q47</f>
        <v>0</v>
      </c>
      <c r="R176" s="47">
        <f>'فرع السلام'!R47</f>
        <v>0</v>
      </c>
      <c r="S176" s="47">
        <f>'فرع السلام'!S47</f>
        <v>0</v>
      </c>
      <c r="T176" s="46">
        <f>'فرع السلام'!T47</f>
        <v>0</v>
      </c>
      <c r="U176" s="46">
        <f>'فرع السلام'!U47</f>
        <v>0</v>
      </c>
      <c r="V176" s="46">
        <f>'فرع السلام'!V47</f>
        <v>0</v>
      </c>
      <c r="W176" s="46">
        <f>'فرع السلام'!W47</f>
        <v>0</v>
      </c>
      <c r="X176" s="46">
        <f>'فرع السلام'!X47</f>
        <v>0</v>
      </c>
      <c r="Y176" s="46">
        <f>'فرع السلام'!Y47</f>
        <v>0</v>
      </c>
      <c r="Z176" s="46">
        <f>'فرع السلام'!Z47</f>
        <v>0</v>
      </c>
      <c r="AA176" s="46">
        <f>'فرع السلام'!AA47</f>
        <v>0</v>
      </c>
      <c r="AB176" s="46">
        <f>'فرع السلام'!AB47</f>
        <v>0</v>
      </c>
      <c r="AC176" s="46">
        <f>'فرع السلام'!AC47</f>
        <v>0</v>
      </c>
      <c r="AD176" s="46">
        <f>'فرع السلام'!AD47</f>
        <v>0</v>
      </c>
      <c r="AE176" s="46">
        <f>'فرع السلام'!AE47</f>
        <v>0</v>
      </c>
      <c r="AF176" s="46">
        <f>'فرع السلام'!AF47</f>
        <v>0</v>
      </c>
      <c r="AG176" s="46">
        <f>'فرع السلام'!AG47</f>
        <v>0</v>
      </c>
      <c r="AH176" s="46">
        <f>'فرع السلام'!AH47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+'فرع السلام'!A48</f>
        <v>0</v>
      </c>
      <c r="B180" s="44">
        <f>+'فرع السلام'!B48</f>
        <v>0</v>
      </c>
      <c r="C180" s="45">
        <f>+'فرع السلام'!C48</f>
        <v>0</v>
      </c>
      <c r="D180" s="45">
        <f>+'فرع السلام'!D48</f>
        <v>0</v>
      </c>
      <c r="E180" s="45">
        <f>+'فرع السلام'!E48</f>
        <v>0</v>
      </c>
      <c r="F180" s="46">
        <f>'فرع السلام'!F48</f>
        <v>0</v>
      </c>
      <c r="G180" s="46">
        <f>'فرع السلام'!G48</f>
        <v>0</v>
      </c>
      <c r="H180" s="46">
        <f>'فرع السلام'!H48</f>
        <v>0</v>
      </c>
      <c r="I180" s="46">
        <f>'فرع السلام'!I48</f>
        <v>0</v>
      </c>
      <c r="J180" s="46">
        <f>'فرع السلام'!J48</f>
        <v>0</v>
      </c>
      <c r="K180" s="46">
        <f>'فرع السلام'!K48</f>
        <v>0</v>
      </c>
      <c r="L180" s="46">
        <f>'فرع السلام'!L48</f>
        <v>0</v>
      </c>
      <c r="M180" s="46">
        <f>'فرع السلام'!M48</f>
        <v>0</v>
      </c>
      <c r="N180" s="46">
        <f>'فرع السلام'!N48</f>
        <v>0</v>
      </c>
      <c r="O180" s="46">
        <f>'فرع السلام'!O48</f>
        <v>0</v>
      </c>
      <c r="P180" s="46">
        <f>'فرع السلام'!P48</f>
        <v>0</v>
      </c>
      <c r="Q180" s="46">
        <f>'فرع السلام'!Q48</f>
        <v>0</v>
      </c>
      <c r="R180" s="47">
        <f>'فرع السلام'!R48</f>
        <v>0</v>
      </c>
      <c r="S180" s="47">
        <f>'فرع السلام'!S48</f>
        <v>0</v>
      </c>
      <c r="T180" s="46">
        <f>'فرع السلام'!T48</f>
        <v>0</v>
      </c>
      <c r="U180" s="46">
        <f>'فرع السلام'!U48</f>
        <v>0</v>
      </c>
      <c r="V180" s="46">
        <f>'فرع السلام'!V48</f>
        <v>0</v>
      </c>
      <c r="W180" s="46">
        <f>'فرع السلام'!W48</f>
        <v>0</v>
      </c>
      <c r="X180" s="46">
        <f>'فرع السلام'!X48</f>
        <v>0</v>
      </c>
      <c r="Y180" s="46">
        <f>'فرع السلام'!Y48</f>
        <v>0</v>
      </c>
      <c r="Z180" s="46">
        <f>'فرع السلام'!Z48</f>
        <v>0</v>
      </c>
      <c r="AA180" s="46">
        <f>'فرع السلام'!AA48</f>
        <v>0</v>
      </c>
      <c r="AB180" s="46">
        <f>'فرع السلام'!AB48</f>
        <v>0</v>
      </c>
      <c r="AC180" s="46">
        <f>'فرع السلام'!AC48</f>
        <v>0</v>
      </c>
      <c r="AD180" s="46">
        <f>'فرع السلام'!AD48</f>
        <v>0</v>
      </c>
      <c r="AE180" s="46">
        <f>'فرع السلام'!AE48</f>
        <v>0</v>
      </c>
      <c r="AF180" s="46">
        <f>'فرع السلام'!AF48</f>
        <v>0</v>
      </c>
      <c r="AG180" s="46">
        <f>'فرع السلام'!AG48</f>
        <v>0</v>
      </c>
      <c r="AH180" s="46">
        <f>'فرع السلام'!AH48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+'فرع السلام'!A49</f>
        <v>0</v>
      </c>
      <c r="B184" s="44">
        <f>+'فرع السلام'!B49</f>
        <v>0</v>
      </c>
      <c r="C184" s="45">
        <f>+'فرع السلام'!C49</f>
        <v>0</v>
      </c>
      <c r="D184" s="45">
        <f>+'فرع السلام'!D49</f>
        <v>0</v>
      </c>
      <c r="E184" s="45">
        <f>+'فرع السلام'!E49</f>
        <v>0</v>
      </c>
      <c r="F184" s="46">
        <f>'فرع السلام'!F49</f>
        <v>0</v>
      </c>
      <c r="G184" s="46">
        <f>'فرع السلام'!G49</f>
        <v>0</v>
      </c>
      <c r="H184" s="46">
        <f>'فرع السلام'!H49</f>
        <v>0</v>
      </c>
      <c r="I184" s="46">
        <f>'فرع السلام'!I49</f>
        <v>0</v>
      </c>
      <c r="J184" s="46">
        <f>'فرع السلام'!J49</f>
        <v>0</v>
      </c>
      <c r="K184" s="46">
        <f>'فرع السلام'!K49</f>
        <v>0</v>
      </c>
      <c r="L184" s="46">
        <f>'فرع السلام'!L49</f>
        <v>0</v>
      </c>
      <c r="M184" s="46">
        <f>'فرع السلام'!M49</f>
        <v>0</v>
      </c>
      <c r="N184" s="46">
        <f>'فرع السلام'!N49</f>
        <v>0</v>
      </c>
      <c r="O184" s="46">
        <f>'فرع السلام'!O49</f>
        <v>0</v>
      </c>
      <c r="P184" s="46">
        <f>'فرع السلام'!P49</f>
        <v>0</v>
      </c>
      <c r="Q184" s="46">
        <f>'فرع السلام'!Q49</f>
        <v>0</v>
      </c>
      <c r="R184" s="47">
        <f>'فرع السلام'!R49</f>
        <v>0</v>
      </c>
      <c r="S184" s="47">
        <f>'فرع السلام'!S49</f>
        <v>0</v>
      </c>
      <c r="T184" s="46">
        <f>'فرع السلام'!T49</f>
        <v>0</v>
      </c>
      <c r="U184" s="46">
        <f>'فرع السلام'!U49</f>
        <v>0</v>
      </c>
      <c r="V184" s="46">
        <f>'فرع السلام'!V49</f>
        <v>0</v>
      </c>
      <c r="W184" s="46">
        <f>'فرع السلام'!W49</f>
        <v>0</v>
      </c>
      <c r="X184" s="46">
        <f>'فرع السلام'!X49</f>
        <v>0</v>
      </c>
      <c r="Y184" s="46">
        <f>'فرع السلام'!Y49</f>
        <v>0</v>
      </c>
      <c r="Z184" s="46">
        <f>'فرع السلام'!Z49</f>
        <v>0</v>
      </c>
      <c r="AA184" s="46">
        <f>'فرع السلام'!AA49</f>
        <v>0</v>
      </c>
      <c r="AB184" s="46">
        <f>'فرع السلام'!AB49</f>
        <v>0</v>
      </c>
      <c r="AC184" s="46">
        <f>'فرع السلام'!AC49</f>
        <v>0</v>
      </c>
      <c r="AD184" s="46">
        <f>'فرع السلام'!AD49</f>
        <v>0</v>
      </c>
      <c r="AE184" s="46">
        <f>'فرع السلام'!AE49</f>
        <v>0</v>
      </c>
      <c r="AF184" s="46">
        <f>'فرع السلام'!AF49</f>
        <v>0</v>
      </c>
      <c r="AG184" s="46">
        <f>'فرع السلام'!AG49</f>
        <v>0</v>
      </c>
      <c r="AH184" s="46">
        <f>'فرع السلام'!AH49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+'فرع السلام'!A50</f>
        <v>0</v>
      </c>
      <c r="B188" s="44">
        <f>+'فرع السلام'!B50</f>
        <v>0</v>
      </c>
      <c r="C188" s="45">
        <f>+'فرع السلام'!C50</f>
        <v>0</v>
      </c>
      <c r="D188" s="45">
        <f>+'فرع السلام'!D50</f>
        <v>0</v>
      </c>
      <c r="E188" s="45">
        <f>+'فرع السلام'!E50</f>
        <v>0</v>
      </c>
      <c r="F188" s="46">
        <f>'فرع السلام'!F50</f>
        <v>0</v>
      </c>
      <c r="G188" s="46">
        <f>'فرع السلام'!G50</f>
        <v>0</v>
      </c>
      <c r="H188" s="46">
        <f>'فرع السلام'!H50</f>
        <v>0</v>
      </c>
      <c r="I188" s="46">
        <f>'فرع السلام'!I50</f>
        <v>0</v>
      </c>
      <c r="J188" s="46">
        <f>'فرع السلام'!J50</f>
        <v>0</v>
      </c>
      <c r="K188" s="46">
        <f>'فرع السلام'!K50</f>
        <v>0</v>
      </c>
      <c r="L188" s="46">
        <f>'فرع السلام'!L50</f>
        <v>0</v>
      </c>
      <c r="M188" s="46">
        <f>'فرع السلام'!M50</f>
        <v>0</v>
      </c>
      <c r="N188" s="46">
        <f>'فرع السلام'!N50</f>
        <v>0</v>
      </c>
      <c r="O188" s="46">
        <f>'فرع السلام'!O50</f>
        <v>0</v>
      </c>
      <c r="P188" s="46">
        <f>'فرع السلام'!P50</f>
        <v>0</v>
      </c>
      <c r="Q188" s="46">
        <f>'فرع السلام'!Q50</f>
        <v>0</v>
      </c>
      <c r="R188" s="47">
        <f>'فرع السلام'!R50</f>
        <v>0</v>
      </c>
      <c r="S188" s="47">
        <f>'فرع السلام'!S50</f>
        <v>0</v>
      </c>
      <c r="T188" s="46">
        <f>'فرع السلام'!T50</f>
        <v>0</v>
      </c>
      <c r="U188" s="46">
        <f>'فرع السلام'!U50</f>
        <v>0</v>
      </c>
      <c r="V188" s="46">
        <f>'فرع السلام'!V50</f>
        <v>0</v>
      </c>
      <c r="W188" s="46">
        <f>'فرع السلام'!W50</f>
        <v>0</v>
      </c>
      <c r="X188" s="46">
        <f>'فرع السلام'!X50</f>
        <v>0</v>
      </c>
      <c r="Y188" s="46">
        <f>'فرع السلام'!Y50</f>
        <v>0</v>
      </c>
      <c r="Z188" s="46">
        <f>'فرع السلام'!Z50</f>
        <v>0</v>
      </c>
      <c r="AA188" s="46">
        <f>'فرع السلام'!AA50</f>
        <v>0</v>
      </c>
      <c r="AB188" s="46">
        <f>'فرع السلام'!AB50</f>
        <v>0</v>
      </c>
      <c r="AC188" s="46">
        <f>'فرع السلام'!AC50</f>
        <v>0</v>
      </c>
      <c r="AD188" s="46">
        <f>'فرع السلام'!AD50</f>
        <v>0</v>
      </c>
      <c r="AE188" s="46">
        <f>'فرع السلام'!AE50</f>
        <v>0</v>
      </c>
      <c r="AF188" s="46">
        <f>'فرع السلام'!AF50</f>
        <v>0</v>
      </c>
      <c r="AG188" s="46">
        <f>'فرع السلام'!AG50</f>
        <v>0</v>
      </c>
      <c r="AH188" s="46">
        <f>'فرع السلام'!AH50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+'فرع السلام'!A51</f>
        <v>0</v>
      </c>
      <c r="B192" s="44">
        <f>+'فرع السلام'!B51</f>
        <v>0</v>
      </c>
      <c r="C192" s="45">
        <f>+'فرع السلام'!C51</f>
        <v>0</v>
      </c>
      <c r="D192" s="45">
        <f>+'فرع السلام'!D51</f>
        <v>0</v>
      </c>
      <c r="E192" s="45">
        <f>+'فرع السلام'!E51</f>
        <v>0</v>
      </c>
      <c r="F192" s="46">
        <f>'فرع السلام'!F51</f>
        <v>0</v>
      </c>
      <c r="G192" s="46">
        <f>'فرع السلام'!G51</f>
        <v>0</v>
      </c>
      <c r="H192" s="46">
        <f>'فرع السلام'!H51</f>
        <v>0</v>
      </c>
      <c r="I192" s="46">
        <f>'فرع السلام'!I51</f>
        <v>0</v>
      </c>
      <c r="J192" s="46">
        <f>'فرع السلام'!J51</f>
        <v>0</v>
      </c>
      <c r="K192" s="46">
        <f>'فرع السلام'!K51</f>
        <v>0</v>
      </c>
      <c r="L192" s="46">
        <f>'فرع السلام'!L51</f>
        <v>0</v>
      </c>
      <c r="M192" s="46">
        <f>'فرع السلام'!M51</f>
        <v>0</v>
      </c>
      <c r="N192" s="46">
        <f>'فرع السلام'!N51</f>
        <v>0</v>
      </c>
      <c r="O192" s="46">
        <f>'فرع السلام'!O51</f>
        <v>0</v>
      </c>
      <c r="P192" s="46">
        <f>'فرع السلام'!P51</f>
        <v>0</v>
      </c>
      <c r="Q192" s="46">
        <f>'فرع السلام'!Q51</f>
        <v>0</v>
      </c>
      <c r="R192" s="47">
        <f>'فرع السلام'!R51</f>
        <v>0</v>
      </c>
      <c r="S192" s="47">
        <f>'فرع السلام'!S51</f>
        <v>0</v>
      </c>
      <c r="T192" s="46">
        <f>'فرع السلام'!T51</f>
        <v>0</v>
      </c>
      <c r="U192" s="46">
        <f>'فرع السلام'!U51</f>
        <v>0</v>
      </c>
      <c r="V192" s="46">
        <f>'فرع السلام'!V51</f>
        <v>0</v>
      </c>
      <c r="W192" s="46">
        <f>'فرع السلام'!W51</f>
        <v>0</v>
      </c>
      <c r="X192" s="46">
        <f>'فرع السلام'!X51</f>
        <v>0</v>
      </c>
      <c r="Y192" s="46">
        <f>'فرع السلام'!Y51</f>
        <v>0</v>
      </c>
      <c r="Z192" s="46">
        <f>'فرع السلام'!Z51</f>
        <v>0</v>
      </c>
      <c r="AA192" s="46">
        <f>'فرع السلام'!AA51</f>
        <v>0</v>
      </c>
      <c r="AB192" s="46">
        <f>'فرع السلام'!AB51</f>
        <v>0</v>
      </c>
      <c r="AC192" s="46">
        <f>'فرع السلام'!AC51</f>
        <v>0</v>
      </c>
      <c r="AD192" s="46">
        <f>'فرع السلام'!AD51</f>
        <v>0</v>
      </c>
      <c r="AE192" s="46">
        <f>'فرع السلام'!AE51</f>
        <v>0</v>
      </c>
      <c r="AF192" s="46">
        <f>'فرع السلام'!AF51</f>
        <v>0</v>
      </c>
      <c r="AG192" s="46">
        <f>'فرع السلام'!AG51</f>
        <v>0</v>
      </c>
      <c r="AH192" s="46">
        <f>'فرع السلام'!AH51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+'فرع السلام'!A52</f>
        <v>0</v>
      </c>
      <c r="B196" s="44">
        <f>+'فرع السلام'!B52</f>
        <v>0</v>
      </c>
      <c r="C196" s="45">
        <f>+'فرع السلام'!C52</f>
        <v>0</v>
      </c>
      <c r="D196" s="45">
        <f>+'فرع السلام'!D52</f>
        <v>0</v>
      </c>
      <c r="E196" s="45">
        <f>+'فرع السلام'!E52</f>
        <v>0</v>
      </c>
      <c r="F196" s="46">
        <f>'فرع السلام'!F52</f>
        <v>0</v>
      </c>
      <c r="G196" s="46">
        <f>'فرع السلام'!G52</f>
        <v>0</v>
      </c>
      <c r="H196" s="46">
        <f>'فرع السلام'!H52</f>
        <v>0</v>
      </c>
      <c r="I196" s="46">
        <f>'فرع السلام'!I52</f>
        <v>0</v>
      </c>
      <c r="J196" s="46">
        <f>'فرع السلام'!J52</f>
        <v>0</v>
      </c>
      <c r="K196" s="46">
        <f>'فرع السلام'!K52</f>
        <v>0</v>
      </c>
      <c r="L196" s="46">
        <f>'فرع السلام'!L52</f>
        <v>0</v>
      </c>
      <c r="M196" s="46">
        <f>'فرع السلام'!M52</f>
        <v>0</v>
      </c>
      <c r="N196" s="46">
        <f>'فرع السلام'!N52</f>
        <v>0</v>
      </c>
      <c r="O196" s="46">
        <f>'فرع السلام'!O52</f>
        <v>0</v>
      </c>
      <c r="P196" s="46">
        <f>'فرع السلام'!P52</f>
        <v>0</v>
      </c>
      <c r="Q196" s="46">
        <f>'فرع السلام'!Q52</f>
        <v>0</v>
      </c>
      <c r="R196" s="47">
        <f>'فرع السلام'!R52</f>
        <v>0</v>
      </c>
      <c r="S196" s="47">
        <f>'فرع السلام'!S52</f>
        <v>0</v>
      </c>
      <c r="T196" s="46">
        <f>'فرع السلام'!T52</f>
        <v>0</v>
      </c>
      <c r="U196" s="46">
        <f>'فرع السلام'!U52</f>
        <v>0</v>
      </c>
      <c r="V196" s="46">
        <f>'فرع السلام'!V52</f>
        <v>0</v>
      </c>
      <c r="W196" s="46">
        <f>'فرع السلام'!W52</f>
        <v>0</v>
      </c>
      <c r="X196" s="46">
        <f>'فرع السلام'!X52</f>
        <v>0</v>
      </c>
      <c r="Y196" s="46">
        <f>'فرع السلام'!Y52</f>
        <v>0</v>
      </c>
      <c r="Z196" s="46">
        <f>'فرع السلام'!Z52</f>
        <v>0</v>
      </c>
      <c r="AA196" s="46">
        <f>'فرع السلام'!AA52</f>
        <v>0</v>
      </c>
      <c r="AB196" s="46">
        <f>'فرع السلام'!AB52</f>
        <v>0</v>
      </c>
      <c r="AC196" s="46">
        <f>'فرع السلام'!AC52</f>
        <v>0</v>
      </c>
      <c r="AD196" s="46">
        <f>'فرع السلام'!AD52</f>
        <v>0</v>
      </c>
      <c r="AE196" s="46">
        <f>'فرع السلام'!AE52</f>
        <v>0</v>
      </c>
      <c r="AF196" s="46">
        <f>'فرع السلام'!AF52</f>
        <v>0</v>
      </c>
      <c r="AG196" s="46">
        <f>'فرع السلام'!AG52</f>
        <v>0</v>
      </c>
      <c r="AH196" s="46">
        <f>'فرع السلام'!AH52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+'فرع السلام'!A53</f>
        <v>0</v>
      </c>
      <c r="B200" s="44">
        <f>+'فرع السلام'!B53</f>
        <v>0</v>
      </c>
      <c r="C200" s="45">
        <f>+'فرع السلام'!C53</f>
        <v>0</v>
      </c>
      <c r="D200" s="45">
        <f>+'فرع السلام'!D53</f>
        <v>0</v>
      </c>
      <c r="E200" s="45">
        <f>+'فرع السلام'!E53</f>
        <v>0</v>
      </c>
      <c r="F200" s="46">
        <f>'فرع السلام'!F53</f>
        <v>0</v>
      </c>
      <c r="G200" s="46">
        <f>'فرع السلام'!G53</f>
        <v>0</v>
      </c>
      <c r="H200" s="46">
        <f>'فرع السلام'!H53</f>
        <v>0</v>
      </c>
      <c r="I200" s="46">
        <f>'فرع السلام'!I53</f>
        <v>0</v>
      </c>
      <c r="J200" s="46">
        <f>'فرع السلام'!J53</f>
        <v>0</v>
      </c>
      <c r="K200" s="46">
        <f>'فرع السلام'!K53</f>
        <v>0</v>
      </c>
      <c r="L200" s="46">
        <f>'فرع السلام'!L53</f>
        <v>0</v>
      </c>
      <c r="M200" s="46">
        <f>'فرع السلام'!M53</f>
        <v>0</v>
      </c>
      <c r="N200" s="46">
        <f>'فرع السلام'!N53</f>
        <v>0</v>
      </c>
      <c r="O200" s="46">
        <f>'فرع السلام'!O53</f>
        <v>0</v>
      </c>
      <c r="P200" s="46">
        <f>'فرع السلام'!P53</f>
        <v>0</v>
      </c>
      <c r="Q200" s="46">
        <f>'فرع السلام'!Q53</f>
        <v>0</v>
      </c>
      <c r="R200" s="47">
        <f>'فرع السلام'!R53</f>
        <v>0</v>
      </c>
      <c r="S200" s="47">
        <f>'فرع السلام'!S53</f>
        <v>0</v>
      </c>
      <c r="T200" s="46">
        <f>'فرع السلام'!T53</f>
        <v>0</v>
      </c>
      <c r="U200" s="46">
        <f>'فرع السلام'!U53</f>
        <v>0</v>
      </c>
      <c r="V200" s="46">
        <f>'فرع السلام'!V53</f>
        <v>0</v>
      </c>
      <c r="W200" s="46">
        <f>'فرع السلام'!W53</f>
        <v>0</v>
      </c>
      <c r="X200" s="46">
        <f>'فرع السلام'!X53</f>
        <v>0</v>
      </c>
      <c r="Y200" s="46">
        <f>'فرع السلام'!Y53</f>
        <v>0</v>
      </c>
      <c r="Z200" s="46">
        <f>'فرع السلام'!Z53</f>
        <v>0</v>
      </c>
      <c r="AA200" s="46">
        <f>'فرع السلام'!AA53</f>
        <v>0</v>
      </c>
      <c r="AB200" s="46">
        <f>'فرع السلام'!AB53</f>
        <v>0</v>
      </c>
      <c r="AC200" s="46">
        <f>'فرع السلام'!AC53</f>
        <v>0</v>
      </c>
      <c r="AD200" s="46">
        <f>'فرع السلام'!AD53</f>
        <v>0</v>
      </c>
      <c r="AE200" s="46">
        <f>'فرع السلام'!AE53</f>
        <v>0</v>
      </c>
      <c r="AF200" s="46">
        <f>'فرع السلام'!AF53</f>
        <v>0</v>
      </c>
      <c r="AG200" s="46">
        <f>'فرع السلام'!AG53</f>
        <v>0</v>
      </c>
      <c r="AH200" s="46">
        <f>'فرع السلام'!AH53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+'فرع السلام'!A54</f>
        <v>0</v>
      </c>
      <c r="B204" s="44">
        <f>+'فرع السلام'!B54</f>
        <v>0</v>
      </c>
      <c r="C204" s="45">
        <f>+'فرع السلام'!C54</f>
        <v>0</v>
      </c>
      <c r="D204" s="45">
        <f>+'فرع السلام'!D54</f>
        <v>0</v>
      </c>
      <c r="E204" s="45">
        <f>+'فرع السلام'!E54</f>
        <v>0</v>
      </c>
      <c r="F204" s="46">
        <f>'فرع السلام'!F54</f>
        <v>0</v>
      </c>
      <c r="G204" s="46">
        <f>'فرع السلام'!G54</f>
        <v>0</v>
      </c>
      <c r="H204" s="46">
        <f>'فرع السلام'!H54</f>
        <v>0</v>
      </c>
      <c r="I204" s="46">
        <f>'فرع السلام'!I54</f>
        <v>0</v>
      </c>
      <c r="J204" s="46">
        <f>'فرع السلام'!J54</f>
        <v>0</v>
      </c>
      <c r="K204" s="46">
        <f>'فرع السلام'!K54</f>
        <v>0</v>
      </c>
      <c r="L204" s="46">
        <f>'فرع السلام'!L54</f>
        <v>0</v>
      </c>
      <c r="M204" s="46">
        <f>'فرع السلام'!M54</f>
        <v>0</v>
      </c>
      <c r="N204" s="46">
        <f>'فرع السلام'!N54</f>
        <v>0</v>
      </c>
      <c r="O204" s="46">
        <f>'فرع السلام'!O54</f>
        <v>0</v>
      </c>
      <c r="P204" s="46">
        <f>'فرع السلام'!P54</f>
        <v>0</v>
      </c>
      <c r="Q204" s="46">
        <f>'فرع السلام'!Q54</f>
        <v>0</v>
      </c>
      <c r="R204" s="47">
        <f>'فرع السلام'!R54</f>
        <v>0</v>
      </c>
      <c r="S204" s="47">
        <f>'فرع السلام'!S54</f>
        <v>0</v>
      </c>
      <c r="T204" s="46">
        <f>'فرع السلام'!T54</f>
        <v>0</v>
      </c>
      <c r="U204" s="46">
        <f>'فرع السلام'!U54</f>
        <v>0</v>
      </c>
      <c r="V204" s="46">
        <f>'فرع السلام'!V54</f>
        <v>0</v>
      </c>
      <c r="W204" s="46">
        <f>'فرع السلام'!W54</f>
        <v>0</v>
      </c>
      <c r="X204" s="46">
        <f>'فرع السلام'!X54</f>
        <v>0</v>
      </c>
      <c r="Y204" s="46">
        <f>'فرع السلام'!Y54</f>
        <v>0</v>
      </c>
      <c r="Z204" s="46">
        <f>'فرع السلام'!Z54</f>
        <v>0</v>
      </c>
      <c r="AA204" s="46">
        <f>'فرع السلام'!AA54</f>
        <v>0</v>
      </c>
      <c r="AB204" s="46">
        <f>'فرع السلام'!AB54</f>
        <v>0</v>
      </c>
      <c r="AC204" s="46">
        <f>'فرع السلام'!AC54</f>
        <v>0</v>
      </c>
      <c r="AD204" s="46">
        <f>'فرع السلام'!AD54</f>
        <v>0</v>
      </c>
      <c r="AE204" s="46">
        <f>'فرع السلام'!AE54</f>
        <v>0</v>
      </c>
      <c r="AF204" s="46">
        <f>'فرع السلام'!AF54</f>
        <v>0</v>
      </c>
      <c r="AG204" s="46">
        <f>'فرع السلام'!AG54</f>
        <v>0</v>
      </c>
      <c r="AH204" s="46">
        <f>'فرع السلام'!AH54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+'فرع السلام'!A55</f>
        <v>0</v>
      </c>
      <c r="B208" s="44">
        <f>+'فرع السلام'!B55</f>
        <v>0</v>
      </c>
      <c r="C208" s="45">
        <f>+'فرع السلام'!C55</f>
        <v>0</v>
      </c>
      <c r="D208" s="45">
        <f>+'فرع السلام'!D55</f>
        <v>0</v>
      </c>
      <c r="E208" s="45">
        <f>+'فرع السلام'!E55</f>
        <v>0</v>
      </c>
      <c r="F208" s="46">
        <f>'فرع السلام'!F55</f>
        <v>0</v>
      </c>
      <c r="G208" s="46">
        <f>'فرع السلام'!G55</f>
        <v>0</v>
      </c>
      <c r="H208" s="46">
        <f>'فرع السلام'!H55</f>
        <v>0</v>
      </c>
      <c r="I208" s="46">
        <f>'فرع السلام'!I55</f>
        <v>0</v>
      </c>
      <c r="J208" s="46">
        <f>'فرع السلام'!J55</f>
        <v>0</v>
      </c>
      <c r="K208" s="46">
        <f>'فرع السلام'!K55</f>
        <v>0</v>
      </c>
      <c r="L208" s="46">
        <f>'فرع السلام'!L55</f>
        <v>0</v>
      </c>
      <c r="M208" s="46">
        <f>'فرع السلام'!M55</f>
        <v>0</v>
      </c>
      <c r="N208" s="46">
        <f>'فرع السلام'!N55</f>
        <v>0</v>
      </c>
      <c r="O208" s="46">
        <f>'فرع السلام'!O55</f>
        <v>0</v>
      </c>
      <c r="P208" s="46">
        <f>'فرع السلام'!P55</f>
        <v>0</v>
      </c>
      <c r="Q208" s="46">
        <f>'فرع السلام'!Q55</f>
        <v>0</v>
      </c>
      <c r="R208" s="47">
        <f>'فرع السلام'!R55</f>
        <v>0</v>
      </c>
      <c r="S208" s="47">
        <f>'فرع السلام'!S55</f>
        <v>0</v>
      </c>
      <c r="T208" s="46">
        <f>'فرع السلام'!T55</f>
        <v>0</v>
      </c>
      <c r="U208" s="46">
        <f>'فرع السلام'!U55</f>
        <v>0</v>
      </c>
      <c r="V208" s="46">
        <f>'فرع السلام'!V55</f>
        <v>0</v>
      </c>
      <c r="W208" s="46">
        <f>'فرع السلام'!W55</f>
        <v>0</v>
      </c>
      <c r="X208" s="46">
        <f>'فرع السلام'!X55</f>
        <v>0</v>
      </c>
      <c r="Y208" s="46">
        <f>'فرع السلام'!Y55</f>
        <v>0</v>
      </c>
      <c r="Z208" s="46">
        <f>'فرع السلام'!Z55</f>
        <v>0</v>
      </c>
      <c r="AA208" s="46">
        <f>'فرع السلام'!AA55</f>
        <v>0</v>
      </c>
      <c r="AB208" s="46">
        <f>'فرع السلام'!AB55</f>
        <v>0</v>
      </c>
      <c r="AC208" s="46">
        <f>'فرع السلام'!AC55</f>
        <v>0</v>
      </c>
      <c r="AD208" s="46">
        <f>'فرع السلام'!AD55</f>
        <v>0</v>
      </c>
      <c r="AE208" s="46">
        <f>'فرع السلام'!AE55</f>
        <v>0</v>
      </c>
      <c r="AF208" s="46">
        <f>'فرع السلام'!AF55</f>
        <v>0</v>
      </c>
      <c r="AG208" s="46">
        <f>'فرع السلام'!AG55</f>
        <v>0</v>
      </c>
      <c r="AH208" s="46">
        <f>'فرع السلام'!AH55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+'فرع السلام'!A56</f>
        <v>0</v>
      </c>
      <c r="B212" s="44">
        <f>+'فرع السلام'!B56</f>
        <v>0</v>
      </c>
      <c r="C212" s="45">
        <f>+'فرع السلام'!C56</f>
        <v>0</v>
      </c>
      <c r="D212" s="45">
        <f>+'فرع السلام'!D56</f>
        <v>0</v>
      </c>
      <c r="E212" s="45">
        <f>+'فرع السلام'!E56</f>
        <v>0</v>
      </c>
      <c r="F212" s="46">
        <f>'فرع السلام'!F56</f>
        <v>0</v>
      </c>
      <c r="G212" s="46">
        <f>'فرع السلام'!G56</f>
        <v>0</v>
      </c>
      <c r="H212" s="46">
        <f>'فرع السلام'!H56</f>
        <v>0</v>
      </c>
      <c r="I212" s="46">
        <f>'فرع السلام'!I56</f>
        <v>0</v>
      </c>
      <c r="J212" s="46">
        <f>'فرع السلام'!J56</f>
        <v>0</v>
      </c>
      <c r="K212" s="46">
        <f>'فرع السلام'!K56</f>
        <v>0</v>
      </c>
      <c r="L212" s="46">
        <f>'فرع السلام'!L56</f>
        <v>0</v>
      </c>
      <c r="M212" s="46">
        <f>'فرع السلام'!M56</f>
        <v>0</v>
      </c>
      <c r="N212" s="46">
        <f>'فرع السلام'!N56</f>
        <v>0</v>
      </c>
      <c r="O212" s="46">
        <f>'فرع السلام'!O56</f>
        <v>0</v>
      </c>
      <c r="P212" s="46">
        <f>'فرع السلام'!P56</f>
        <v>0</v>
      </c>
      <c r="Q212" s="46">
        <f>'فرع السلام'!Q56</f>
        <v>0</v>
      </c>
      <c r="R212" s="47">
        <f>'فرع السلام'!R56</f>
        <v>0</v>
      </c>
      <c r="S212" s="47"/>
      <c r="T212" s="46">
        <f>'فرع السلام'!T56</f>
        <v>0</v>
      </c>
      <c r="U212" s="46">
        <f>'فرع السلام'!U56</f>
        <v>0</v>
      </c>
      <c r="V212" s="46">
        <f>'فرع السلام'!V56</f>
        <v>0</v>
      </c>
      <c r="W212" s="46">
        <f>'فرع السلام'!W56</f>
        <v>0</v>
      </c>
      <c r="X212" s="46">
        <f>'فرع السلام'!X56</f>
        <v>0</v>
      </c>
      <c r="Y212" s="46">
        <f>'فرع السلام'!Y56</f>
        <v>0</v>
      </c>
      <c r="Z212" s="46">
        <f>'فرع السلام'!Z56</f>
        <v>0</v>
      </c>
      <c r="AA212" s="46">
        <f>'فرع السلام'!AA56</f>
        <v>0</v>
      </c>
      <c r="AB212" s="46">
        <f>'فرع السلام'!AB56</f>
        <v>0</v>
      </c>
      <c r="AC212" s="46">
        <f>'فرع السلام'!AC56</f>
        <v>0</v>
      </c>
      <c r="AD212" s="46">
        <f>'فرع السلام'!AD56</f>
        <v>0</v>
      </c>
      <c r="AE212" s="46">
        <f>'فرع السلام'!AE56</f>
        <v>0</v>
      </c>
      <c r="AF212" s="46">
        <f>'فرع السلام'!AF56</f>
        <v>0</v>
      </c>
      <c r="AG212" s="46">
        <f>'فرع السلام'!AG56</f>
        <v>0</v>
      </c>
      <c r="AH212" s="46">
        <f>'فرع السلام'!AH56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+'فرع السلام'!A57</f>
        <v>0</v>
      </c>
      <c r="B216" s="44">
        <f>+'فرع السلام'!B57</f>
        <v>0</v>
      </c>
      <c r="C216" s="45">
        <f>+'فرع السلام'!C57</f>
        <v>0</v>
      </c>
      <c r="D216" s="45">
        <f>+'فرع السلام'!D57</f>
        <v>0</v>
      </c>
      <c r="E216" s="45">
        <f>+'فرع السلام'!E57</f>
        <v>0</v>
      </c>
      <c r="F216" s="46">
        <f>'فرع السلام'!F57</f>
        <v>0</v>
      </c>
      <c r="G216" s="46">
        <f>'فرع السلام'!G57</f>
        <v>0</v>
      </c>
      <c r="H216" s="46">
        <f>'فرع السلام'!H57</f>
        <v>0</v>
      </c>
      <c r="I216" s="46">
        <f>'فرع السلام'!I57</f>
        <v>0</v>
      </c>
      <c r="J216" s="46">
        <f>'فرع السلام'!J57</f>
        <v>0</v>
      </c>
      <c r="K216" s="46">
        <f>'فرع السلام'!K57</f>
        <v>0</v>
      </c>
      <c r="L216" s="46">
        <f>'فرع السلام'!L57</f>
        <v>0</v>
      </c>
      <c r="M216" s="46">
        <f>'فرع السلام'!M57</f>
        <v>0</v>
      </c>
      <c r="N216" s="46">
        <f>'فرع السلام'!N57</f>
        <v>0</v>
      </c>
      <c r="O216" s="46">
        <f>'فرع السلام'!O57</f>
        <v>0</v>
      </c>
      <c r="P216" s="46">
        <f>'فرع السلام'!P57</f>
        <v>0</v>
      </c>
      <c r="Q216" s="46">
        <f>'فرع السلام'!Q57</f>
        <v>0</v>
      </c>
      <c r="R216" s="47">
        <f>'فرع السلام'!R57</f>
        <v>0</v>
      </c>
      <c r="S216" s="47">
        <f>'فرع السلام'!S57</f>
        <v>0</v>
      </c>
      <c r="T216" s="46">
        <f>'فرع السلام'!T57</f>
        <v>0</v>
      </c>
      <c r="U216" s="46">
        <f>'فرع السلام'!U57</f>
        <v>0</v>
      </c>
      <c r="V216" s="46">
        <f>'فرع السلام'!V57</f>
        <v>0</v>
      </c>
      <c r="W216" s="46">
        <f>'فرع السلام'!W57</f>
        <v>0</v>
      </c>
      <c r="X216" s="46">
        <f>'فرع السلام'!X57</f>
        <v>0</v>
      </c>
      <c r="Y216" s="46">
        <f>'فرع السلام'!Y57</f>
        <v>0</v>
      </c>
      <c r="Z216" s="46">
        <f>'فرع السلام'!Z57</f>
        <v>0</v>
      </c>
      <c r="AA216" s="46">
        <f>'فرع السلام'!AA57</f>
        <v>0</v>
      </c>
      <c r="AB216" s="46">
        <f>'فرع السلام'!AB57</f>
        <v>0</v>
      </c>
      <c r="AC216" s="46">
        <f>'فرع السلام'!AC57</f>
        <v>0</v>
      </c>
      <c r="AD216" s="46">
        <f>'فرع السلام'!AD57</f>
        <v>0</v>
      </c>
      <c r="AE216" s="46">
        <f>'فرع السلام'!AE57</f>
        <v>0</v>
      </c>
      <c r="AF216" s="46">
        <f>'فرع السلام'!AF57</f>
        <v>0</v>
      </c>
      <c r="AG216" s="46">
        <f>'فرع السلام'!AG57</f>
        <v>0</v>
      </c>
      <c r="AH216" s="46">
        <f>'فرع السلام'!AH57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+'فرع السلام'!A58</f>
        <v>0</v>
      </c>
      <c r="B220" s="44">
        <f>+'فرع السلام'!B58</f>
        <v>0</v>
      </c>
      <c r="C220" s="45">
        <f>+'فرع السلام'!C58</f>
        <v>0</v>
      </c>
      <c r="D220" s="45">
        <f>+'فرع السلام'!D58</f>
        <v>0</v>
      </c>
      <c r="E220" s="45">
        <f>+'فرع السلام'!E58</f>
        <v>0</v>
      </c>
      <c r="F220" s="46">
        <f>'فرع السلام'!F58</f>
        <v>0</v>
      </c>
      <c r="G220" s="46">
        <f>'فرع السلام'!G58</f>
        <v>0</v>
      </c>
      <c r="H220" s="46">
        <f>'فرع السلام'!H58</f>
        <v>0</v>
      </c>
      <c r="I220" s="46">
        <f>'فرع السلام'!I58</f>
        <v>0</v>
      </c>
      <c r="J220" s="46">
        <f>'فرع السلام'!J58</f>
        <v>0</v>
      </c>
      <c r="K220" s="46">
        <f>'فرع السلام'!K58</f>
        <v>0</v>
      </c>
      <c r="L220" s="46">
        <f>'فرع السلام'!L58</f>
        <v>0</v>
      </c>
      <c r="M220" s="46">
        <f>'فرع السلام'!M58</f>
        <v>0</v>
      </c>
      <c r="N220" s="46">
        <f>'فرع السلام'!N58</f>
        <v>0</v>
      </c>
      <c r="O220" s="46">
        <f>'فرع السلام'!O58</f>
        <v>0</v>
      </c>
      <c r="P220" s="46">
        <f>'فرع السلام'!P58</f>
        <v>0</v>
      </c>
      <c r="Q220" s="46">
        <f>'فرع السلام'!Q58</f>
        <v>0</v>
      </c>
      <c r="R220" s="47">
        <f>'فرع السلام'!R58</f>
        <v>0</v>
      </c>
      <c r="S220" s="47">
        <f>'فرع السلام'!S58</f>
        <v>0</v>
      </c>
      <c r="T220" s="46">
        <f>'فرع السلام'!T58</f>
        <v>0</v>
      </c>
      <c r="U220" s="46">
        <f>'فرع السلام'!U58</f>
        <v>0</v>
      </c>
      <c r="V220" s="46">
        <f>'فرع السلام'!V58</f>
        <v>0</v>
      </c>
      <c r="W220" s="46">
        <f>'فرع السلام'!W58</f>
        <v>0</v>
      </c>
      <c r="X220" s="46">
        <f>'فرع السلام'!X58</f>
        <v>0</v>
      </c>
      <c r="Y220" s="46">
        <f>'فرع السلام'!Y58</f>
        <v>0</v>
      </c>
      <c r="Z220" s="46">
        <f>'فرع السلام'!Z58</f>
        <v>0</v>
      </c>
      <c r="AA220" s="46">
        <f>'فرع السلام'!AA58</f>
        <v>0</v>
      </c>
      <c r="AB220" s="46">
        <f>'فرع السلام'!AB58</f>
        <v>0</v>
      </c>
      <c r="AC220" s="46">
        <f>'فرع السلام'!AC58</f>
        <v>0</v>
      </c>
      <c r="AD220" s="46">
        <f>'فرع السلام'!AD58</f>
        <v>0</v>
      </c>
      <c r="AE220" s="46">
        <f>'فرع السلام'!AE58</f>
        <v>0</v>
      </c>
      <c r="AF220" s="46">
        <f>'فرع السلام'!AF58</f>
        <v>0</v>
      </c>
      <c r="AG220" s="46">
        <f>'فرع السلام'!AG58</f>
        <v>0</v>
      </c>
      <c r="AH220" s="46">
        <f>'فرع السلام'!AH58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+'فرع السلام'!A59</f>
        <v>0</v>
      </c>
      <c r="B224" s="44">
        <f>+'فرع السلام'!B59</f>
        <v>0</v>
      </c>
      <c r="C224" s="45">
        <f>+'فرع السلام'!C59</f>
        <v>0</v>
      </c>
      <c r="D224" s="45">
        <f>+'فرع السلام'!D59</f>
        <v>0</v>
      </c>
      <c r="E224" s="45">
        <f>+'فرع السلام'!E59</f>
        <v>0</v>
      </c>
      <c r="F224" s="46">
        <f>'فرع السلام'!F59</f>
        <v>0</v>
      </c>
      <c r="G224" s="46">
        <f>'فرع السلام'!G59</f>
        <v>0</v>
      </c>
      <c r="H224" s="46">
        <f>'فرع السلام'!H59</f>
        <v>0</v>
      </c>
      <c r="I224" s="46">
        <f>'فرع السلام'!I59</f>
        <v>0</v>
      </c>
      <c r="J224" s="46">
        <f>'فرع السلام'!J59</f>
        <v>0</v>
      </c>
      <c r="K224" s="46">
        <f>'فرع السلام'!K59</f>
        <v>0</v>
      </c>
      <c r="L224" s="46">
        <f>'فرع السلام'!L59</f>
        <v>0</v>
      </c>
      <c r="M224" s="46">
        <f>'فرع السلام'!M59</f>
        <v>0</v>
      </c>
      <c r="N224" s="46">
        <f>'فرع السلام'!N59</f>
        <v>0</v>
      </c>
      <c r="O224" s="46">
        <f>'فرع السلام'!O59</f>
        <v>0</v>
      </c>
      <c r="P224" s="46">
        <f>'فرع السلام'!P59</f>
        <v>0</v>
      </c>
      <c r="Q224" s="46">
        <f>'فرع السلام'!Q59</f>
        <v>0</v>
      </c>
      <c r="R224" s="47">
        <f>'فرع السلام'!R59</f>
        <v>0</v>
      </c>
      <c r="S224" s="47"/>
      <c r="T224" s="46">
        <f>'فرع السلام'!T59</f>
        <v>0</v>
      </c>
      <c r="U224" s="46">
        <f>'فرع السلام'!U59</f>
        <v>0</v>
      </c>
      <c r="V224" s="46">
        <f>'فرع السلام'!V59</f>
        <v>0</v>
      </c>
      <c r="W224" s="46">
        <f>'فرع السلام'!W59</f>
        <v>0</v>
      </c>
      <c r="X224" s="46">
        <f>'فرع السلام'!X59</f>
        <v>0</v>
      </c>
      <c r="Y224" s="46">
        <f>'فرع السلام'!Y59</f>
        <v>0</v>
      </c>
      <c r="Z224" s="46">
        <f>'فرع السلام'!Z59</f>
        <v>0</v>
      </c>
      <c r="AA224" s="46">
        <f>'فرع السلام'!AA59</f>
        <v>0</v>
      </c>
      <c r="AB224" s="46">
        <f>'فرع السلام'!AB59</f>
        <v>0</v>
      </c>
      <c r="AC224" s="46">
        <f>'فرع السلام'!AC59</f>
        <v>0</v>
      </c>
      <c r="AD224" s="46">
        <f>'فرع السلام'!AD59</f>
        <v>0</v>
      </c>
      <c r="AE224" s="46">
        <f>'فرع السلام'!AE59</f>
        <v>0</v>
      </c>
      <c r="AF224" s="46">
        <f>'فرع السلام'!AF59</f>
        <v>0</v>
      </c>
      <c r="AG224" s="46">
        <f>'فرع السلام'!AG59</f>
        <v>0</v>
      </c>
      <c r="AH224" s="46">
        <f>'فرع السلام'!AH59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+'فرع السلام'!A60</f>
        <v>0</v>
      </c>
      <c r="B228" s="44">
        <f>+'فرع السلام'!B60</f>
        <v>0</v>
      </c>
      <c r="C228" s="45">
        <f>+'فرع السلام'!C60</f>
        <v>0</v>
      </c>
      <c r="D228" s="45">
        <f>+'فرع السلام'!D60</f>
        <v>0</v>
      </c>
      <c r="E228" s="45">
        <f>+'فرع السلام'!E60</f>
        <v>0</v>
      </c>
      <c r="F228" s="46">
        <f>'فرع السلام'!F60</f>
        <v>0</v>
      </c>
      <c r="G228" s="46">
        <f>'فرع السلام'!G60</f>
        <v>0</v>
      </c>
      <c r="H228" s="46">
        <f>'فرع السلام'!H60</f>
        <v>0</v>
      </c>
      <c r="I228" s="46">
        <f>'فرع السلام'!I60</f>
        <v>0</v>
      </c>
      <c r="J228" s="46">
        <f>'فرع السلام'!J60</f>
        <v>0</v>
      </c>
      <c r="K228" s="46">
        <f>'فرع السلام'!K60</f>
        <v>0</v>
      </c>
      <c r="L228" s="46">
        <f>'فرع السلام'!L60</f>
        <v>0</v>
      </c>
      <c r="M228" s="46">
        <f>'فرع السلام'!M60</f>
        <v>0</v>
      </c>
      <c r="N228" s="46">
        <f>'فرع السلام'!N60</f>
        <v>0</v>
      </c>
      <c r="O228" s="46">
        <f>'فرع السلام'!O60</f>
        <v>0</v>
      </c>
      <c r="P228" s="46">
        <f>'فرع السلام'!P60</f>
        <v>0</v>
      </c>
      <c r="Q228" s="46">
        <f>'فرع السلام'!Q60</f>
        <v>0</v>
      </c>
      <c r="R228" s="47">
        <f>'فرع السلام'!R60</f>
        <v>0</v>
      </c>
      <c r="S228" s="47">
        <f>'فرع السلام'!S60</f>
        <v>0</v>
      </c>
      <c r="T228" s="46">
        <f>'فرع السلام'!T60</f>
        <v>0</v>
      </c>
      <c r="U228" s="46">
        <f>'فرع السلام'!U60</f>
        <v>0</v>
      </c>
      <c r="V228" s="46">
        <f>'فرع السلام'!V60</f>
        <v>0</v>
      </c>
      <c r="W228" s="46">
        <f>'فرع السلام'!W60</f>
        <v>0</v>
      </c>
      <c r="X228" s="46">
        <f>'فرع السلام'!X60</f>
        <v>0</v>
      </c>
      <c r="Y228" s="46">
        <f>'فرع السلام'!Y60</f>
        <v>0</v>
      </c>
      <c r="Z228" s="46">
        <f>'فرع السلام'!Z60</f>
        <v>0</v>
      </c>
      <c r="AA228" s="46">
        <f>'فرع السلام'!AA60</f>
        <v>0</v>
      </c>
      <c r="AB228" s="46">
        <f>'فرع السلام'!AB60</f>
        <v>0</v>
      </c>
      <c r="AC228" s="46">
        <f>'فرع السلام'!AC60</f>
        <v>0</v>
      </c>
      <c r="AD228" s="46">
        <f>'فرع السلام'!AD60</f>
        <v>0</v>
      </c>
      <c r="AE228" s="46">
        <f>'فرع السلام'!AE60</f>
        <v>0</v>
      </c>
      <c r="AF228" s="46">
        <f>'فرع السلام'!AF60</f>
        <v>0</v>
      </c>
      <c r="AG228" s="46">
        <f>'فرع السلام'!AG60</f>
        <v>0</v>
      </c>
      <c r="AH228" s="46">
        <f>'فرع السلام'!AH60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+'فرع السلام'!A61</f>
        <v>0</v>
      </c>
      <c r="B232" s="44">
        <f>+'فرع السلام'!B61</f>
        <v>0</v>
      </c>
      <c r="C232" s="45">
        <f>+'فرع السلام'!C61</f>
        <v>0</v>
      </c>
      <c r="D232" s="45">
        <f>+'فرع السلام'!D61</f>
        <v>0</v>
      </c>
      <c r="E232" s="45">
        <f>+'فرع السلام'!E61</f>
        <v>0</v>
      </c>
      <c r="F232" s="46">
        <f>'فرع السلام'!F61</f>
        <v>0</v>
      </c>
      <c r="G232" s="46">
        <f>'فرع السلام'!G61</f>
        <v>0</v>
      </c>
      <c r="H232" s="46">
        <f>'فرع السلام'!H61</f>
        <v>0</v>
      </c>
      <c r="I232" s="46">
        <f>'فرع السلام'!I61</f>
        <v>0</v>
      </c>
      <c r="J232" s="46">
        <f>'فرع السلام'!J61</f>
        <v>0</v>
      </c>
      <c r="K232" s="46">
        <f>'فرع السلام'!K61</f>
        <v>0</v>
      </c>
      <c r="L232" s="46">
        <f>'فرع السلام'!L61</f>
        <v>0</v>
      </c>
      <c r="M232" s="46">
        <f>'فرع السلام'!M61</f>
        <v>0</v>
      </c>
      <c r="N232" s="46">
        <f>'فرع السلام'!N61</f>
        <v>0</v>
      </c>
      <c r="O232" s="46">
        <f>'فرع السلام'!O61</f>
        <v>0</v>
      </c>
      <c r="P232" s="46">
        <f>'فرع السلام'!P61</f>
        <v>0</v>
      </c>
      <c r="Q232" s="46">
        <f>'فرع السلام'!Q61</f>
        <v>0</v>
      </c>
      <c r="R232" s="47">
        <f>'فرع السلام'!R61</f>
        <v>0</v>
      </c>
      <c r="S232" s="47">
        <f>'فرع السلام'!S61</f>
        <v>0</v>
      </c>
      <c r="T232" s="46">
        <f>'فرع السلام'!T61</f>
        <v>0</v>
      </c>
      <c r="U232" s="46">
        <f>'فرع السلام'!U61</f>
        <v>0</v>
      </c>
      <c r="V232" s="46">
        <f>'فرع السلام'!V61</f>
        <v>0</v>
      </c>
      <c r="W232" s="46">
        <f>'فرع السلام'!W61</f>
        <v>0</v>
      </c>
      <c r="X232" s="46">
        <f>'فرع السلام'!X61</f>
        <v>0</v>
      </c>
      <c r="Y232" s="46">
        <f>'فرع السلام'!Y61</f>
        <v>0</v>
      </c>
      <c r="Z232" s="46">
        <f>'فرع السلام'!Z61</f>
        <v>0</v>
      </c>
      <c r="AA232" s="46">
        <f>'فرع السلام'!AA61</f>
        <v>0</v>
      </c>
      <c r="AB232" s="46">
        <f>'فرع السلام'!AB61</f>
        <v>0</v>
      </c>
      <c r="AC232" s="46">
        <f>'فرع السلام'!AC61</f>
        <v>0</v>
      </c>
      <c r="AD232" s="46">
        <f>'فرع السلام'!AD61</f>
        <v>0</v>
      </c>
      <c r="AE232" s="46">
        <f>'فرع السلام'!AE61</f>
        <v>0</v>
      </c>
      <c r="AF232" s="46">
        <f>'فرع السلام'!AF61</f>
        <v>0</v>
      </c>
      <c r="AG232" s="46">
        <f>'فرع السلام'!AG61</f>
        <v>0</v>
      </c>
      <c r="AH232" s="46">
        <f>'فرع السلام'!AH61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+'فرع السلام'!A62</f>
        <v>0</v>
      </c>
      <c r="B236" s="44">
        <f>+'فرع السلام'!B62</f>
        <v>0</v>
      </c>
      <c r="C236" s="45">
        <f>+'فرع السلام'!C62</f>
        <v>0</v>
      </c>
      <c r="D236" s="45">
        <f>+'فرع السلام'!D62</f>
        <v>0</v>
      </c>
      <c r="E236" s="45">
        <f>+'فرع السلام'!E62</f>
        <v>0</v>
      </c>
      <c r="F236" s="46">
        <f>'فرع السلام'!F62</f>
        <v>0</v>
      </c>
      <c r="G236" s="46">
        <f>'فرع السلام'!G62</f>
        <v>0</v>
      </c>
      <c r="H236" s="46">
        <f>'فرع السلام'!H62</f>
        <v>0</v>
      </c>
      <c r="I236" s="46">
        <f>'فرع السلام'!I62</f>
        <v>0</v>
      </c>
      <c r="J236" s="46">
        <f>'فرع السلام'!J62</f>
        <v>0</v>
      </c>
      <c r="K236" s="46">
        <f>'فرع السلام'!K62</f>
        <v>0</v>
      </c>
      <c r="L236" s="46">
        <f>'فرع السلام'!L62</f>
        <v>0</v>
      </c>
      <c r="M236" s="46">
        <f>'فرع السلام'!M62</f>
        <v>0</v>
      </c>
      <c r="N236" s="46">
        <f>'فرع السلام'!N62</f>
        <v>0</v>
      </c>
      <c r="O236" s="46">
        <f>'فرع السلام'!O62</f>
        <v>0</v>
      </c>
      <c r="P236" s="46">
        <f>'فرع السلام'!P62</f>
        <v>0</v>
      </c>
      <c r="Q236" s="46">
        <f>'فرع السلام'!Q62</f>
        <v>0</v>
      </c>
      <c r="R236" s="47">
        <f>'فرع السلام'!R62</f>
        <v>0</v>
      </c>
      <c r="S236" s="47">
        <f>'فرع السلام'!S62</f>
        <v>0</v>
      </c>
      <c r="T236" s="46">
        <f>'فرع السلام'!T62</f>
        <v>0</v>
      </c>
      <c r="U236" s="46">
        <f>'فرع السلام'!U62</f>
        <v>0</v>
      </c>
      <c r="V236" s="46">
        <f>'فرع السلام'!V62</f>
        <v>0</v>
      </c>
      <c r="W236" s="46">
        <f>'فرع السلام'!W62</f>
        <v>0</v>
      </c>
      <c r="X236" s="46">
        <f>'فرع السلام'!X62</f>
        <v>0</v>
      </c>
      <c r="Y236" s="46">
        <f>'فرع السلام'!Y62</f>
        <v>0</v>
      </c>
      <c r="Z236" s="46">
        <f>'فرع السلام'!Z62</f>
        <v>0</v>
      </c>
      <c r="AA236" s="46">
        <f>'فرع السلام'!AA62</f>
        <v>0</v>
      </c>
      <c r="AB236" s="46">
        <f>'فرع السلام'!AB62</f>
        <v>0</v>
      </c>
      <c r="AC236" s="46">
        <f>'فرع السلام'!AC62</f>
        <v>0</v>
      </c>
      <c r="AD236" s="46">
        <f>'فرع السلام'!AD62</f>
        <v>0</v>
      </c>
      <c r="AE236" s="46">
        <f>'فرع السلام'!AE62</f>
        <v>0</v>
      </c>
      <c r="AF236" s="46">
        <f>'فرع السلام'!AF62</f>
        <v>0</v>
      </c>
      <c r="AG236" s="46">
        <f>'فرع السلام'!AG62</f>
        <v>0</v>
      </c>
      <c r="AH236" s="46">
        <f>'فرع السلام'!AH62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+'فرع السلام'!A63</f>
        <v>0</v>
      </c>
      <c r="B240" s="44">
        <f>+'فرع السلام'!B63</f>
        <v>0</v>
      </c>
      <c r="C240" s="45">
        <f>+'فرع السلام'!C63</f>
        <v>0</v>
      </c>
      <c r="D240" s="45">
        <f>+'فرع السلام'!D63</f>
        <v>0</v>
      </c>
      <c r="E240" s="45">
        <f>+'فرع السلام'!E63</f>
        <v>0</v>
      </c>
      <c r="F240" s="46">
        <f>'فرع السلام'!F63</f>
        <v>0</v>
      </c>
      <c r="G240" s="46">
        <f>'فرع السلام'!G63</f>
        <v>0</v>
      </c>
      <c r="H240" s="46">
        <f>'فرع السلام'!H63</f>
        <v>0</v>
      </c>
      <c r="I240" s="46">
        <f>'فرع السلام'!I63</f>
        <v>0</v>
      </c>
      <c r="J240" s="46">
        <f>'فرع السلام'!J63</f>
        <v>0</v>
      </c>
      <c r="K240" s="46">
        <f>'فرع السلام'!K63</f>
        <v>0</v>
      </c>
      <c r="L240" s="46">
        <f>'فرع السلام'!L63</f>
        <v>0</v>
      </c>
      <c r="M240" s="46">
        <f>'فرع السلام'!M63</f>
        <v>0</v>
      </c>
      <c r="N240" s="46">
        <f>'فرع السلام'!N63</f>
        <v>0</v>
      </c>
      <c r="O240" s="46">
        <f>'فرع السلام'!O63</f>
        <v>0</v>
      </c>
      <c r="P240" s="46">
        <f>'فرع السلام'!P63</f>
        <v>0</v>
      </c>
      <c r="Q240" s="46">
        <f>'فرع السلام'!Q63</f>
        <v>0</v>
      </c>
      <c r="R240" s="47">
        <f>'فرع السلام'!R63</f>
        <v>0</v>
      </c>
      <c r="S240" s="47">
        <f>'فرع السلام'!S63</f>
        <v>0</v>
      </c>
      <c r="T240" s="46">
        <f>'فرع السلام'!T63</f>
        <v>0</v>
      </c>
      <c r="U240" s="46">
        <f>'فرع السلام'!U63</f>
        <v>0</v>
      </c>
      <c r="V240" s="46">
        <f>'فرع السلام'!V63</f>
        <v>0</v>
      </c>
      <c r="W240" s="46">
        <f>'فرع السلام'!W63</f>
        <v>0</v>
      </c>
      <c r="X240" s="46">
        <f>'فرع السلام'!X63</f>
        <v>0</v>
      </c>
      <c r="Y240" s="46">
        <f>'فرع السلام'!Y63</f>
        <v>0</v>
      </c>
      <c r="Z240" s="46">
        <f>'فرع السلام'!Z63</f>
        <v>0</v>
      </c>
      <c r="AA240" s="46">
        <f>'فرع السلام'!AA63</f>
        <v>0</v>
      </c>
      <c r="AB240" s="46">
        <f>'فرع السلام'!AB63</f>
        <v>0</v>
      </c>
      <c r="AC240" s="46">
        <f>'فرع السلام'!AC63</f>
        <v>0</v>
      </c>
      <c r="AD240" s="46">
        <f>'فرع السلام'!AD63</f>
        <v>0</v>
      </c>
      <c r="AE240" s="46">
        <f>'فرع السلام'!AE63</f>
        <v>0</v>
      </c>
      <c r="AF240" s="46">
        <f>'فرع السلام'!AF63</f>
        <v>0</v>
      </c>
      <c r="AG240" s="46">
        <f>'فرع السلام'!AG63</f>
        <v>0</v>
      </c>
      <c r="AH240" s="46">
        <f>'فرع السلام'!AH63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+'فرع السلام'!A64</f>
        <v>0</v>
      </c>
      <c r="B244" s="44">
        <f>+'فرع السلام'!B64</f>
        <v>0</v>
      </c>
      <c r="C244" s="45">
        <f>+'فرع السلام'!C64</f>
        <v>0</v>
      </c>
      <c r="D244" s="45">
        <f>+'فرع السلام'!D64</f>
        <v>0</v>
      </c>
      <c r="E244" s="45">
        <f>+'فرع السلام'!E64</f>
        <v>0</v>
      </c>
      <c r="F244" s="46">
        <f>'فرع السلام'!F64</f>
        <v>0</v>
      </c>
      <c r="G244" s="46">
        <f>'فرع السلام'!G64</f>
        <v>0</v>
      </c>
      <c r="H244" s="46">
        <f>'فرع السلام'!H64</f>
        <v>0</v>
      </c>
      <c r="I244" s="46">
        <f>'فرع السلام'!I64</f>
        <v>0</v>
      </c>
      <c r="J244" s="46">
        <f>'فرع السلام'!J64</f>
        <v>0</v>
      </c>
      <c r="K244" s="46">
        <f>'فرع السلام'!K64</f>
        <v>0</v>
      </c>
      <c r="L244" s="46">
        <f>'فرع السلام'!L64</f>
        <v>0</v>
      </c>
      <c r="M244" s="46">
        <f>'فرع السلام'!M64</f>
        <v>0</v>
      </c>
      <c r="N244" s="46">
        <f>'فرع السلام'!N64</f>
        <v>0</v>
      </c>
      <c r="O244" s="46">
        <f>'فرع السلام'!O64</f>
        <v>0</v>
      </c>
      <c r="P244" s="46">
        <f>'فرع السلام'!P64</f>
        <v>0</v>
      </c>
      <c r="Q244" s="46">
        <f>'فرع السلام'!Q64</f>
        <v>0</v>
      </c>
      <c r="R244" s="47">
        <f>'فرع السلام'!R64</f>
        <v>0</v>
      </c>
      <c r="S244" s="47">
        <f>'فرع السلام'!S64</f>
        <v>0</v>
      </c>
      <c r="T244" s="46">
        <f>'فرع السلام'!T64</f>
        <v>0</v>
      </c>
      <c r="U244" s="46">
        <f>'فرع السلام'!U64</f>
        <v>0</v>
      </c>
      <c r="V244" s="46">
        <f>'فرع السلام'!V64</f>
        <v>0</v>
      </c>
      <c r="W244" s="46">
        <f>'فرع السلام'!W64</f>
        <v>0</v>
      </c>
      <c r="X244" s="46">
        <f>'فرع السلام'!X64</f>
        <v>0</v>
      </c>
      <c r="Y244" s="46">
        <f>'فرع السلام'!Y64</f>
        <v>0</v>
      </c>
      <c r="Z244" s="46">
        <f>'فرع السلام'!Z64</f>
        <v>0</v>
      </c>
      <c r="AA244" s="46">
        <f>'فرع السلام'!AA64</f>
        <v>0</v>
      </c>
      <c r="AB244" s="46">
        <f>'فرع السلام'!AB64</f>
        <v>0</v>
      </c>
      <c r="AC244" s="46">
        <f>'فرع السلام'!AC64</f>
        <v>0</v>
      </c>
      <c r="AD244" s="46">
        <f>'فرع السلام'!AD64</f>
        <v>0</v>
      </c>
      <c r="AE244" s="46">
        <f>'فرع السلام'!AE64</f>
        <v>0</v>
      </c>
      <c r="AF244" s="46">
        <f>'فرع السلام'!AF64</f>
        <v>0</v>
      </c>
      <c r="AG244" s="46">
        <f>'فرع السلام'!AG64</f>
        <v>0</v>
      </c>
      <c r="AH244" s="46">
        <f>'فرع السلام'!AH64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+'فرع السلام'!A65</f>
        <v>0</v>
      </c>
      <c r="B248" s="44">
        <f>+'فرع السلام'!B65</f>
        <v>0</v>
      </c>
      <c r="C248" s="45">
        <f>+'فرع السلام'!C65</f>
        <v>0</v>
      </c>
      <c r="D248" s="45">
        <f>+'فرع السلام'!D65</f>
        <v>0</v>
      </c>
      <c r="E248" s="45">
        <f>+'فرع السلام'!E65</f>
        <v>0</v>
      </c>
      <c r="F248" s="46">
        <f>'فرع السلام'!F65</f>
        <v>0</v>
      </c>
      <c r="G248" s="46">
        <f>'فرع السلام'!G65</f>
        <v>0</v>
      </c>
      <c r="H248" s="46">
        <f>'فرع السلام'!H65</f>
        <v>0</v>
      </c>
      <c r="I248" s="46">
        <f>'فرع السلام'!I65</f>
        <v>0</v>
      </c>
      <c r="J248" s="46">
        <f>'فرع السلام'!J65</f>
        <v>0</v>
      </c>
      <c r="K248" s="46">
        <f>'فرع السلام'!K65</f>
        <v>0</v>
      </c>
      <c r="L248" s="46">
        <f>'فرع السلام'!L65</f>
        <v>0</v>
      </c>
      <c r="M248" s="46">
        <f>'فرع السلام'!M65</f>
        <v>0</v>
      </c>
      <c r="N248" s="46">
        <f>'فرع السلام'!N65</f>
        <v>0</v>
      </c>
      <c r="O248" s="46">
        <f>'فرع السلام'!O65</f>
        <v>0</v>
      </c>
      <c r="P248" s="46">
        <f>'فرع السلام'!P65</f>
        <v>0</v>
      </c>
      <c r="Q248" s="46">
        <f>'فرع السلام'!Q65</f>
        <v>0</v>
      </c>
      <c r="R248" s="47">
        <f>'فرع السلام'!R65</f>
        <v>0</v>
      </c>
      <c r="S248" s="47">
        <f>'فرع السلام'!S65</f>
        <v>0</v>
      </c>
      <c r="T248" s="46">
        <f>'فرع السلام'!T65</f>
        <v>0</v>
      </c>
      <c r="U248" s="46">
        <f>'فرع السلام'!U65</f>
        <v>0</v>
      </c>
      <c r="V248" s="46">
        <f>'فرع السلام'!V65</f>
        <v>0</v>
      </c>
      <c r="W248" s="46">
        <f>'فرع السلام'!W65</f>
        <v>0</v>
      </c>
      <c r="X248" s="46">
        <f>'فرع السلام'!X65</f>
        <v>0</v>
      </c>
      <c r="Y248" s="46">
        <f>'فرع السلام'!Y65</f>
        <v>0</v>
      </c>
      <c r="Z248" s="46">
        <f>'فرع السلام'!Z65</f>
        <v>0</v>
      </c>
      <c r="AA248" s="46">
        <f>'فرع السلام'!AA65</f>
        <v>0</v>
      </c>
      <c r="AB248" s="46">
        <f>'فرع السلام'!AB65</f>
        <v>0</v>
      </c>
      <c r="AC248" s="46">
        <f>'فرع السلام'!AC65</f>
        <v>0</v>
      </c>
      <c r="AD248" s="46">
        <f>'فرع السلام'!AD65</f>
        <v>0</v>
      </c>
      <c r="AE248" s="46">
        <f>'فرع السلام'!AE65</f>
        <v>0</v>
      </c>
      <c r="AF248" s="46">
        <f>'فرع السلام'!AF65</f>
        <v>0</v>
      </c>
      <c r="AG248" s="46">
        <f>'فرع السلام'!AG65</f>
        <v>0</v>
      </c>
      <c r="AH248" s="46">
        <f>'فرع السلام'!AH65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+'فرع السلام'!A66</f>
        <v>0</v>
      </c>
      <c r="B252" s="44">
        <f>+'فرع السلام'!B66</f>
        <v>0</v>
      </c>
      <c r="C252" s="45">
        <f>+'فرع السلام'!C66</f>
        <v>0</v>
      </c>
      <c r="D252" s="45">
        <f>+'فرع السلام'!D66</f>
        <v>0</v>
      </c>
      <c r="E252" s="45">
        <f>+'فرع السلام'!E66</f>
        <v>0</v>
      </c>
      <c r="F252" s="46">
        <f>'فرع السلام'!F66</f>
        <v>0</v>
      </c>
      <c r="G252" s="46">
        <f>'فرع السلام'!G66</f>
        <v>0</v>
      </c>
      <c r="H252" s="46">
        <f>'فرع السلام'!H66</f>
        <v>0</v>
      </c>
      <c r="I252" s="46">
        <f>'فرع السلام'!I66</f>
        <v>0</v>
      </c>
      <c r="J252" s="46">
        <f>'فرع السلام'!J66</f>
        <v>0</v>
      </c>
      <c r="K252" s="46">
        <f>'فرع السلام'!K66</f>
        <v>0</v>
      </c>
      <c r="L252" s="46">
        <f>'فرع السلام'!L66</f>
        <v>0</v>
      </c>
      <c r="M252" s="46">
        <f>'فرع السلام'!M66</f>
        <v>0</v>
      </c>
      <c r="N252" s="46">
        <f>'فرع السلام'!N66</f>
        <v>0</v>
      </c>
      <c r="O252" s="46">
        <f>'فرع السلام'!O66</f>
        <v>0</v>
      </c>
      <c r="P252" s="46">
        <f>'فرع السلام'!P66</f>
        <v>0</v>
      </c>
      <c r="Q252" s="46">
        <f>'فرع السلام'!Q66</f>
        <v>0</v>
      </c>
      <c r="R252" s="47">
        <f>'فرع السلام'!R66</f>
        <v>0</v>
      </c>
      <c r="S252" s="47">
        <f>'فرع السلام'!S66</f>
        <v>0</v>
      </c>
      <c r="T252" s="46">
        <f>'فرع السلام'!T66</f>
        <v>0</v>
      </c>
      <c r="U252" s="46">
        <f>'فرع السلام'!U66</f>
        <v>0</v>
      </c>
      <c r="V252" s="46">
        <f>'فرع السلام'!V66</f>
        <v>0</v>
      </c>
      <c r="W252" s="46">
        <f>'فرع السلام'!W66</f>
        <v>0</v>
      </c>
      <c r="X252" s="46">
        <f>'فرع السلام'!X66</f>
        <v>0</v>
      </c>
      <c r="Y252" s="46">
        <f>'فرع السلام'!Y66</f>
        <v>0</v>
      </c>
      <c r="Z252" s="46">
        <f>'فرع السلام'!Z66</f>
        <v>0</v>
      </c>
      <c r="AA252" s="46">
        <f>'فرع السلام'!AA66</f>
        <v>0</v>
      </c>
      <c r="AB252" s="46">
        <f>'فرع السلام'!AB66</f>
        <v>0</v>
      </c>
      <c r="AC252" s="46">
        <f>'فرع السلام'!AC66</f>
        <v>0</v>
      </c>
      <c r="AD252" s="46">
        <f>'فرع السلام'!AD66</f>
        <v>0</v>
      </c>
      <c r="AE252" s="46">
        <f>'فرع السلام'!AE66</f>
        <v>0</v>
      </c>
      <c r="AF252" s="46">
        <f>'فرع السلام'!AF66</f>
        <v>0</v>
      </c>
      <c r="AG252" s="46">
        <f>'فرع السلام'!AG66</f>
        <v>0</v>
      </c>
      <c r="AH252" s="46">
        <f>'فرع السلام'!AH66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+'فرع السلام'!A67</f>
        <v>0</v>
      </c>
      <c r="B256" s="44">
        <f>+'فرع السلام'!B67</f>
        <v>0</v>
      </c>
      <c r="C256" s="45">
        <f>+'فرع السلام'!C67</f>
        <v>0</v>
      </c>
      <c r="D256" s="45">
        <f>+'فرع السلام'!D67</f>
        <v>0</v>
      </c>
      <c r="E256" s="45">
        <f>+'فرع السلام'!E67</f>
        <v>0</v>
      </c>
      <c r="F256" s="46">
        <f>'فرع السلام'!F67</f>
        <v>0</v>
      </c>
      <c r="G256" s="46">
        <f>'فرع السلام'!G67</f>
        <v>0</v>
      </c>
      <c r="H256" s="46">
        <f>'فرع السلام'!H67</f>
        <v>0</v>
      </c>
      <c r="I256" s="46">
        <f>'فرع السلام'!I67</f>
        <v>0</v>
      </c>
      <c r="J256" s="46">
        <f>'فرع السلام'!J67</f>
        <v>0</v>
      </c>
      <c r="K256" s="46">
        <f>'فرع السلام'!K67</f>
        <v>0</v>
      </c>
      <c r="L256" s="46">
        <f>'فرع السلام'!L67</f>
        <v>0</v>
      </c>
      <c r="M256" s="46">
        <f>'فرع السلام'!M67</f>
        <v>0</v>
      </c>
      <c r="N256" s="46">
        <f>'فرع السلام'!N67</f>
        <v>0</v>
      </c>
      <c r="O256" s="46">
        <f>'فرع السلام'!O67</f>
        <v>0</v>
      </c>
      <c r="P256" s="46">
        <f>'فرع السلام'!P67</f>
        <v>0</v>
      </c>
      <c r="Q256" s="46">
        <f>'فرع السلام'!Q67</f>
        <v>0</v>
      </c>
      <c r="R256" s="47">
        <f>'فرع السلام'!R67</f>
        <v>0</v>
      </c>
      <c r="S256" s="47">
        <f>'فرع السلام'!S67</f>
        <v>0</v>
      </c>
      <c r="T256" s="46">
        <f>'فرع السلام'!T67</f>
        <v>0</v>
      </c>
      <c r="U256" s="46">
        <f>'فرع السلام'!U67</f>
        <v>0</v>
      </c>
      <c r="V256" s="46">
        <f>'فرع السلام'!V67</f>
        <v>0</v>
      </c>
      <c r="W256" s="46">
        <f>'فرع السلام'!W67</f>
        <v>0</v>
      </c>
      <c r="X256" s="46">
        <f>'فرع السلام'!X67</f>
        <v>0</v>
      </c>
      <c r="Y256" s="46">
        <f>'فرع السلام'!Y67</f>
        <v>0</v>
      </c>
      <c r="Z256" s="46">
        <f>'فرع السلام'!Z67</f>
        <v>0</v>
      </c>
      <c r="AA256" s="46">
        <f>'فرع السلام'!AA67</f>
        <v>0</v>
      </c>
      <c r="AB256" s="46">
        <f>'فرع السلام'!AB67</f>
        <v>0</v>
      </c>
      <c r="AC256" s="46">
        <f>'فرع السلام'!AC67</f>
        <v>0</v>
      </c>
      <c r="AD256" s="46">
        <f>'فرع السلام'!AD67</f>
        <v>0</v>
      </c>
      <c r="AE256" s="46">
        <f>'فرع السلام'!AE67</f>
        <v>0</v>
      </c>
      <c r="AF256" s="46">
        <f>'فرع السلام'!AF67</f>
        <v>0</v>
      </c>
      <c r="AG256" s="46">
        <f>'فرع السلام'!AG67</f>
        <v>0</v>
      </c>
      <c r="AH256" s="46">
        <f>'فرع السلام'!AH67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+'فرع السلام'!A68</f>
        <v>0</v>
      </c>
      <c r="B260" s="44">
        <f>+'فرع السلام'!B68</f>
        <v>0</v>
      </c>
      <c r="C260" s="45">
        <f>+'فرع السلام'!C68</f>
        <v>0</v>
      </c>
      <c r="D260" s="45">
        <f>+'فرع السلام'!D68</f>
        <v>0</v>
      </c>
      <c r="E260" s="45">
        <f>+'فرع السلام'!E68</f>
        <v>0</v>
      </c>
      <c r="F260" s="46">
        <f>'فرع السلام'!F68</f>
        <v>0</v>
      </c>
      <c r="G260" s="46">
        <f>'فرع السلام'!G68</f>
        <v>0</v>
      </c>
      <c r="H260" s="46">
        <f>'فرع السلام'!H68</f>
        <v>0</v>
      </c>
      <c r="I260" s="46">
        <f>'فرع السلام'!I68</f>
        <v>0</v>
      </c>
      <c r="J260" s="46">
        <f>'فرع السلام'!J68</f>
        <v>0</v>
      </c>
      <c r="K260" s="46">
        <f>'فرع السلام'!K68</f>
        <v>0</v>
      </c>
      <c r="L260" s="46">
        <f>'فرع السلام'!L68</f>
        <v>0</v>
      </c>
      <c r="M260" s="46">
        <f>'فرع السلام'!M68</f>
        <v>0</v>
      </c>
      <c r="N260" s="46">
        <f>'فرع السلام'!N68</f>
        <v>0</v>
      </c>
      <c r="O260" s="46">
        <f>'فرع السلام'!O68</f>
        <v>0</v>
      </c>
      <c r="P260" s="46">
        <f>'فرع السلام'!P68</f>
        <v>0</v>
      </c>
      <c r="Q260" s="46">
        <f>'فرع السلام'!Q68</f>
        <v>0</v>
      </c>
      <c r="R260" s="47">
        <f>'فرع السلام'!R68</f>
        <v>0</v>
      </c>
      <c r="S260" s="47">
        <f>'فرع السلام'!S68</f>
        <v>0</v>
      </c>
      <c r="T260" s="46">
        <f>'فرع السلام'!T68</f>
        <v>0</v>
      </c>
      <c r="U260" s="46">
        <f>'فرع السلام'!U68</f>
        <v>0</v>
      </c>
      <c r="V260" s="46">
        <f>'فرع السلام'!V68</f>
        <v>0</v>
      </c>
      <c r="W260" s="46">
        <f>'فرع السلام'!W68</f>
        <v>0</v>
      </c>
      <c r="X260" s="46">
        <f>'فرع السلام'!X68</f>
        <v>0</v>
      </c>
      <c r="Y260" s="46">
        <f>'فرع السلام'!Y68</f>
        <v>0</v>
      </c>
      <c r="Z260" s="46">
        <f>'فرع السلام'!Z68</f>
        <v>0</v>
      </c>
      <c r="AA260" s="46">
        <f>'فرع السلام'!AA68</f>
        <v>0</v>
      </c>
      <c r="AB260" s="46">
        <f>'فرع السلام'!AB68</f>
        <v>0</v>
      </c>
      <c r="AC260" s="46">
        <f>'فرع السلام'!AC68</f>
        <v>0</v>
      </c>
      <c r="AD260" s="46">
        <f>'فرع السلام'!AD68</f>
        <v>0</v>
      </c>
      <c r="AE260" s="46">
        <f>'فرع السلام'!AE68</f>
        <v>0</v>
      </c>
      <c r="AF260" s="46">
        <f>'فرع السلام'!AF68</f>
        <v>0</v>
      </c>
      <c r="AG260" s="46">
        <f>'فرع السلام'!AG68</f>
        <v>0</v>
      </c>
      <c r="AH260" s="46">
        <f>'فرع السلام'!AH68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+'فرع السلام'!A69</f>
        <v>0</v>
      </c>
      <c r="B264" s="44">
        <f>+'فرع السلام'!B69</f>
        <v>0</v>
      </c>
      <c r="C264" s="45">
        <f>+'فرع السلام'!C69</f>
        <v>0</v>
      </c>
      <c r="D264" s="45">
        <f>+'فرع السلام'!D69</f>
        <v>0</v>
      </c>
      <c r="E264" s="45">
        <f>+'فرع السلام'!E69</f>
        <v>0</v>
      </c>
      <c r="F264" s="46">
        <f>'فرع السلام'!F69</f>
        <v>0</v>
      </c>
      <c r="G264" s="46">
        <f>'فرع السلام'!G69</f>
        <v>0</v>
      </c>
      <c r="H264" s="46">
        <f>'فرع السلام'!H69</f>
        <v>0</v>
      </c>
      <c r="I264" s="46">
        <f>'فرع السلام'!I69</f>
        <v>0</v>
      </c>
      <c r="J264" s="46">
        <f>'فرع السلام'!J69</f>
        <v>0</v>
      </c>
      <c r="K264" s="46">
        <f>'فرع السلام'!K69</f>
        <v>0</v>
      </c>
      <c r="L264" s="46">
        <f>'فرع السلام'!L69</f>
        <v>0</v>
      </c>
      <c r="M264" s="46">
        <f>'فرع السلام'!M69</f>
        <v>0</v>
      </c>
      <c r="N264" s="46">
        <f>'فرع السلام'!N69</f>
        <v>0</v>
      </c>
      <c r="O264" s="46">
        <f>'فرع السلام'!O69</f>
        <v>0</v>
      </c>
      <c r="P264" s="46">
        <f>'فرع السلام'!P69</f>
        <v>0</v>
      </c>
      <c r="Q264" s="46">
        <f>'فرع السلام'!Q69</f>
        <v>0</v>
      </c>
      <c r="R264" s="47">
        <f>'فرع السلام'!R69</f>
        <v>0</v>
      </c>
      <c r="S264" s="47">
        <f>'فرع السلام'!S69</f>
        <v>0</v>
      </c>
      <c r="T264" s="46">
        <f>'فرع السلام'!T69</f>
        <v>0</v>
      </c>
      <c r="U264" s="46">
        <f>'فرع السلام'!U69</f>
        <v>0</v>
      </c>
      <c r="V264" s="46">
        <f>'فرع السلام'!V69</f>
        <v>0</v>
      </c>
      <c r="W264" s="46">
        <f>'فرع السلام'!W69</f>
        <v>0</v>
      </c>
      <c r="X264" s="46">
        <f>'فرع السلام'!X69</f>
        <v>0</v>
      </c>
      <c r="Y264" s="46">
        <f>'فرع السلام'!Y69</f>
        <v>0</v>
      </c>
      <c r="Z264" s="46">
        <f>'فرع السلام'!Z69</f>
        <v>0</v>
      </c>
      <c r="AA264" s="46">
        <f>'فرع السلام'!AA69</f>
        <v>0</v>
      </c>
      <c r="AB264" s="46">
        <f>'فرع السلام'!AB69</f>
        <v>0</v>
      </c>
      <c r="AC264" s="46">
        <f>'فرع السلام'!AC69</f>
        <v>0</v>
      </c>
      <c r="AD264" s="46">
        <f>'فرع السلام'!AD69</f>
        <v>0</v>
      </c>
      <c r="AE264" s="46">
        <f>'فرع السلام'!AE69</f>
        <v>0</v>
      </c>
      <c r="AF264" s="46">
        <f>'فرع السلام'!AF69</f>
        <v>0</v>
      </c>
      <c r="AG264" s="46">
        <f>'فرع السلام'!AG69</f>
        <v>0</v>
      </c>
      <c r="AH264" s="46">
        <f>'فرع السلام'!AH69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+'فرع السلام'!A70</f>
        <v>0</v>
      </c>
      <c r="B268" s="44">
        <f>+'فرع السلام'!B70</f>
        <v>0</v>
      </c>
      <c r="C268" s="45">
        <f>+'فرع السلام'!C70</f>
        <v>0</v>
      </c>
      <c r="D268" s="45">
        <f>+'فرع السلام'!D70</f>
        <v>0</v>
      </c>
      <c r="E268" s="45">
        <f>+'فرع السلام'!E70</f>
        <v>0</v>
      </c>
      <c r="F268" s="46">
        <f>'فرع السلام'!F70</f>
        <v>0</v>
      </c>
      <c r="G268" s="46">
        <f>'فرع السلام'!G70</f>
        <v>0</v>
      </c>
      <c r="H268" s="46">
        <f>'فرع السلام'!H70</f>
        <v>0</v>
      </c>
      <c r="I268" s="46">
        <f>'فرع السلام'!I70</f>
        <v>0</v>
      </c>
      <c r="J268" s="46">
        <f>'فرع السلام'!J70</f>
        <v>0</v>
      </c>
      <c r="K268" s="46">
        <f>'فرع السلام'!K70</f>
        <v>0</v>
      </c>
      <c r="L268" s="46">
        <f>'فرع السلام'!L70</f>
        <v>0</v>
      </c>
      <c r="M268" s="46">
        <f>'فرع السلام'!M70</f>
        <v>0</v>
      </c>
      <c r="N268" s="46">
        <f>'فرع السلام'!N70</f>
        <v>0</v>
      </c>
      <c r="O268" s="46">
        <f>'فرع السلام'!O70</f>
        <v>0</v>
      </c>
      <c r="P268" s="46">
        <f>'فرع السلام'!P70</f>
        <v>0</v>
      </c>
      <c r="Q268" s="46">
        <f>'فرع السلام'!Q70</f>
        <v>0</v>
      </c>
      <c r="R268" s="47">
        <f>'فرع السلام'!R70</f>
        <v>0</v>
      </c>
      <c r="S268" s="47">
        <f>'فرع السلام'!S70</f>
        <v>0</v>
      </c>
      <c r="T268" s="46">
        <f>'فرع السلام'!T70</f>
        <v>0</v>
      </c>
      <c r="U268" s="46">
        <f>'فرع السلام'!U70</f>
        <v>0</v>
      </c>
      <c r="V268" s="46">
        <f>'فرع السلام'!V70</f>
        <v>0</v>
      </c>
      <c r="W268" s="46">
        <f>'فرع السلام'!W70</f>
        <v>0</v>
      </c>
      <c r="X268" s="46">
        <f>'فرع السلام'!X70</f>
        <v>0</v>
      </c>
      <c r="Y268" s="46">
        <f>'فرع السلام'!Y70</f>
        <v>0</v>
      </c>
      <c r="Z268" s="46">
        <f>'فرع السلام'!Z70</f>
        <v>0</v>
      </c>
      <c r="AA268" s="46">
        <f>'فرع السلام'!AA70</f>
        <v>0</v>
      </c>
      <c r="AB268" s="46">
        <f>'فرع السلام'!AB70</f>
        <v>0</v>
      </c>
      <c r="AC268" s="46">
        <f>'فرع السلام'!AC70</f>
        <v>0</v>
      </c>
      <c r="AD268" s="46">
        <f>'فرع السلام'!AD70</f>
        <v>0</v>
      </c>
      <c r="AE268" s="46">
        <f>'فرع السلام'!AE70</f>
        <v>0</v>
      </c>
      <c r="AF268" s="46">
        <f>'فرع السلام'!AF70</f>
        <v>0</v>
      </c>
      <c r="AG268" s="46">
        <f>'فرع السلام'!AG70</f>
        <v>0</v>
      </c>
      <c r="AH268" s="46">
        <f>'فرع السلام'!AH70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+'فرع السلام'!A71</f>
        <v>0</v>
      </c>
      <c r="B272" s="44">
        <f>+'فرع السلام'!B71</f>
        <v>0</v>
      </c>
      <c r="C272" s="45">
        <f>+'فرع السلام'!C71</f>
        <v>0</v>
      </c>
      <c r="D272" s="45">
        <f>+'فرع السلام'!D71</f>
        <v>0</v>
      </c>
      <c r="E272" s="45">
        <f>+'فرع السلام'!E71</f>
        <v>0</v>
      </c>
      <c r="F272" s="46">
        <f>'فرع السلام'!F71</f>
        <v>0</v>
      </c>
      <c r="G272" s="46">
        <f>'فرع السلام'!G71</f>
        <v>0</v>
      </c>
      <c r="H272" s="46">
        <f>'فرع السلام'!H71</f>
        <v>0</v>
      </c>
      <c r="I272" s="46">
        <f>'فرع السلام'!I71</f>
        <v>0</v>
      </c>
      <c r="J272" s="46">
        <f>'فرع السلام'!J71</f>
        <v>0</v>
      </c>
      <c r="K272" s="46">
        <f>'فرع السلام'!K71</f>
        <v>0</v>
      </c>
      <c r="L272" s="46">
        <f>'فرع السلام'!L71</f>
        <v>0</v>
      </c>
      <c r="M272" s="46">
        <f>'فرع السلام'!M71</f>
        <v>0</v>
      </c>
      <c r="N272" s="46">
        <f>'فرع السلام'!N71</f>
        <v>0</v>
      </c>
      <c r="O272" s="46">
        <f>'فرع السلام'!O71</f>
        <v>0</v>
      </c>
      <c r="P272" s="46">
        <f>'فرع السلام'!P71</f>
        <v>0</v>
      </c>
      <c r="Q272" s="46">
        <f>'فرع السلام'!Q71</f>
        <v>0</v>
      </c>
      <c r="R272" s="47">
        <f>'فرع السلام'!R71</f>
        <v>0</v>
      </c>
      <c r="S272" s="47">
        <f>'فرع السلام'!S71</f>
        <v>0</v>
      </c>
      <c r="T272" s="46">
        <f>'فرع السلام'!T71</f>
        <v>0</v>
      </c>
      <c r="U272" s="46">
        <f>'فرع السلام'!U71</f>
        <v>0</v>
      </c>
      <c r="V272" s="46">
        <f>'فرع السلام'!V71</f>
        <v>0</v>
      </c>
      <c r="W272" s="46">
        <f>'فرع السلام'!W71</f>
        <v>0</v>
      </c>
      <c r="X272" s="46">
        <f>'فرع السلام'!X71</f>
        <v>0</v>
      </c>
      <c r="Y272" s="46">
        <f>'فرع السلام'!Y71</f>
        <v>0</v>
      </c>
      <c r="Z272" s="46">
        <f>'فرع السلام'!Z71</f>
        <v>0</v>
      </c>
      <c r="AA272" s="46">
        <f>'فرع السلام'!AA71</f>
        <v>0</v>
      </c>
      <c r="AB272" s="46">
        <f>'فرع السلام'!AB71</f>
        <v>0</v>
      </c>
      <c r="AC272" s="46">
        <f>'فرع السلام'!AC71</f>
        <v>0</v>
      </c>
      <c r="AD272" s="46">
        <f>'فرع السلام'!AD71</f>
        <v>0</v>
      </c>
      <c r="AE272" s="46">
        <f>'فرع السلام'!AE71</f>
        <v>0</v>
      </c>
      <c r="AF272" s="46">
        <f>'فرع السلام'!AF71</f>
        <v>0</v>
      </c>
      <c r="AG272" s="46">
        <f>'فرع السلام'!AG71</f>
        <v>0</v>
      </c>
      <c r="AH272" s="46">
        <f>'فرع السلام'!AH71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+'فرع السلام'!A72</f>
        <v>0</v>
      </c>
      <c r="B276" s="44">
        <f>+'فرع السلام'!B72</f>
        <v>0</v>
      </c>
      <c r="C276" s="45">
        <f>+'فرع السلام'!C72</f>
        <v>0</v>
      </c>
      <c r="D276" s="45">
        <f>+'فرع السلام'!D72</f>
        <v>0</v>
      </c>
      <c r="E276" s="45">
        <f>+'فرع السلام'!E72</f>
        <v>0</v>
      </c>
      <c r="F276" s="46">
        <f>'فرع السلام'!F72</f>
        <v>0</v>
      </c>
      <c r="G276" s="46">
        <f>'فرع السلام'!G72</f>
        <v>0</v>
      </c>
      <c r="H276" s="46">
        <f>'فرع السلام'!H72</f>
        <v>0</v>
      </c>
      <c r="I276" s="46">
        <f>'فرع السلام'!I72</f>
        <v>0</v>
      </c>
      <c r="J276" s="46">
        <f>'فرع السلام'!J72</f>
        <v>0</v>
      </c>
      <c r="K276" s="46">
        <f>'فرع السلام'!K72</f>
        <v>0</v>
      </c>
      <c r="L276" s="46">
        <f>'فرع السلام'!L72</f>
        <v>0</v>
      </c>
      <c r="M276" s="46">
        <f>'فرع السلام'!M72</f>
        <v>0</v>
      </c>
      <c r="N276" s="46">
        <f>'فرع السلام'!N72</f>
        <v>0</v>
      </c>
      <c r="O276" s="46">
        <f>'فرع السلام'!O72</f>
        <v>0</v>
      </c>
      <c r="P276" s="46">
        <f>'فرع السلام'!P72</f>
        <v>0</v>
      </c>
      <c r="Q276" s="46">
        <f>'فرع السلام'!Q72</f>
        <v>0</v>
      </c>
      <c r="R276" s="47">
        <f>'فرع السلام'!R72</f>
        <v>0</v>
      </c>
      <c r="S276" s="47">
        <f>'فرع السلام'!S72</f>
        <v>0</v>
      </c>
      <c r="T276" s="46">
        <f>'فرع السلام'!T72</f>
        <v>0</v>
      </c>
      <c r="U276" s="46">
        <f>'فرع السلام'!U72</f>
        <v>0</v>
      </c>
      <c r="V276" s="46">
        <f>'فرع السلام'!V72</f>
        <v>0</v>
      </c>
      <c r="W276" s="46">
        <f>'فرع السلام'!W72</f>
        <v>0</v>
      </c>
      <c r="X276" s="46">
        <f>'فرع السلام'!X72</f>
        <v>0</v>
      </c>
      <c r="Y276" s="46">
        <f>'فرع السلام'!Y72</f>
        <v>0</v>
      </c>
      <c r="Z276" s="46">
        <f>'فرع السلام'!Z72</f>
        <v>0</v>
      </c>
      <c r="AA276" s="46">
        <f>'فرع السلام'!AA72</f>
        <v>0</v>
      </c>
      <c r="AB276" s="46">
        <f>'فرع السلام'!AB72</f>
        <v>0</v>
      </c>
      <c r="AC276" s="46">
        <f>'فرع السلام'!AC72</f>
        <v>0</v>
      </c>
      <c r="AD276" s="46">
        <f>'فرع السلام'!AD72</f>
        <v>0</v>
      </c>
      <c r="AE276" s="46">
        <f>'فرع السلام'!AE72</f>
        <v>0</v>
      </c>
      <c r="AF276" s="46">
        <f>'فرع السلام'!AF72</f>
        <v>0</v>
      </c>
      <c r="AG276" s="46">
        <f>'فرع السلام'!AG72</f>
        <v>0</v>
      </c>
      <c r="AH276" s="46">
        <f>'فرع السلام'!AH72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+'فرع السلام'!A73</f>
        <v>0</v>
      </c>
      <c r="B280" s="44">
        <f>+'فرع السلام'!B73</f>
        <v>0</v>
      </c>
      <c r="C280" s="45">
        <f>+'فرع السلام'!C73</f>
        <v>0</v>
      </c>
      <c r="D280" s="45">
        <f>+'فرع السلام'!D73</f>
        <v>0</v>
      </c>
      <c r="E280" s="45">
        <f>+'فرع السلام'!E73</f>
        <v>0</v>
      </c>
      <c r="F280" s="46">
        <f>'فرع السلام'!F73</f>
        <v>0</v>
      </c>
      <c r="G280" s="46">
        <f>'فرع السلام'!G73</f>
        <v>0</v>
      </c>
      <c r="H280" s="46">
        <f>'فرع السلام'!H73</f>
        <v>0</v>
      </c>
      <c r="I280" s="46">
        <f>'فرع السلام'!I73</f>
        <v>0</v>
      </c>
      <c r="J280" s="46">
        <f>'فرع السلام'!J73</f>
        <v>0</v>
      </c>
      <c r="K280" s="46">
        <f>'فرع السلام'!K73</f>
        <v>0</v>
      </c>
      <c r="L280" s="46">
        <f>'فرع السلام'!L73</f>
        <v>0</v>
      </c>
      <c r="M280" s="46">
        <f>'فرع السلام'!M73</f>
        <v>0</v>
      </c>
      <c r="N280" s="46">
        <f>'فرع السلام'!N73</f>
        <v>0</v>
      </c>
      <c r="O280" s="46">
        <f>'فرع السلام'!O73</f>
        <v>0</v>
      </c>
      <c r="P280" s="46">
        <f>'فرع السلام'!P73</f>
        <v>0</v>
      </c>
      <c r="Q280" s="46">
        <f>'فرع السلام'!Q73</f>
        <v>0</v>
      </c>
      <c r="R280" s="47">
        <f>'فرع السلام'!R73</f>
        <v>0</v>
      </c>
      <c r="S280" s="47">
        <f>'فرع السلام'!S73</f>
        <v>0</v>
      </c>
      <c r="T280" s="46">
        <f>'فرع السلام'!T73</f>
        <v>0</v>
      </c>
      <c r="U280" s="46">
        <f>'فرع السلام'!U73</f>
        <v>0</v>
      </c>
      <c r="V280" s="46">
        <f>'فرع السلام'!V73</f>
        <v>0</v>
      </c>
      <c r="W280" s="46">
        <f>'فرع السلام'!W73</f>
        <v>0</v>
      </c>
      <c r="X280" s="46">
        <f>'فرع السلام'!X73</f>
        <v>0</v>
      </c>
      <c r="Y280" s="46">
        <f>'فرع السلام'!Y73</f>
        <v>0</v>
      </c>
      <c r="Z280" s="46">
        <f>'فرع السلام'!Z73</f>
        <v>0</v>
      </c>
      <c r="AA280" s="46">
        <f>'فرع السلام'!AA73</f>
        <v>0</v>
      </c>
      <c r="AB280" s="46">
        <f>'فرع السلام'!AB73</f>
        <v>0</v>
      </c>
      <c r="AC280" s="46">
        <f>'فرع السلام'!AC73</f>
        <v>0</v>
      </c>
      <c r="AD280" s="46">
        <f>'فرع السلام'!AD73</f>
        <v>0</v>
      </c>
      <c r="AE280" s="46">
        <f>'فرع السلام'!AE73</f>
        <v>0</v>
      </c>
      <c r="AF280" s="46">
        <f>'فرع السلام'!AF73</f>
        <v>0</v>
      </c>
      <c r="AG280" s="46">
        <f>'فرع السلام'!AG73</f>
        <v>0</v>
      </c>
      <c r="AH280" s="46">
        <f>'فرع السلام'!AH73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+'فرع السلام'!A74</f>
        <v>0</v>
      </c>
      <c r="B284" s="44">
        <f>+'فرع السلام'!B74</f>
        <v>0</v>
      </c>
      <c r="C284" s="45">
        <f>+'فرع السلام'!C74</f>
        <v>0</v>
      </c>
      <c r="D284" s="45">
        <f>+'فرع السلام'!D74</f>
        <v>0</v>
      </c>
      <c r="E284" s="45">
        <f>+'فرع السلام'!E74</f>
        <v>0</v>
      </c>
      <c r="F284" s="46">
        <f>'فرع السلام'!F74</f>
        <v>0</v>
      </c>
      <c r="G284" s="46">
        <f>'فرع السلام'!G74</f>
        <v>0</v>
      </c>
      <c r="H284" s="46">
        <f>'فرع السلام'!H74</f>
        <v>0</v>
      </c>
      <c r="I284" s="46">
        <f>'فرع السلام'!I74</f>
        <v>0</v>
      </c>
      <c r="J284" s="46">
        <f>'فرع السلام'!J74</f>
        <v>0</v>
      </c>
      <c r="K284" s="46">
        <f>'فرع السلام'!K74</f>
        <v>0</v>
      </c>
      <c r="L284" s="46">
        <f>'فرع السلام'!L74</f>
        <v>0</v>
      </c>
      <c r="M284" s="46">
        <f>'فرع السلام'!M74</f>
        <v>0</v>
      </c>
      <c r="N284" s="46">
        <f>'فرع السلام'!N74</f>
        <v>0</v>
      </c>
      <c r="O284" s="46">
        <f>'فرع السلام'!O74</f>
        <v>0</v>
      </c>
      <c r="P284" s="46">
        <f>'فرع السلام'!P74</f>
        <v>0</v>
      </c>
      <c r="Q284" s="46">
        <f>'فرع السلام'!Q74</f>
        <v>0</v>
      </c>
      <c r="R284" s="47">
        <f>'فرع السلام'!R74</f>
        <v>0</v>
      </c>
      <c r="S284" s="47">
        <f>'فرع السلام'!S74</f>
        <v>0</v>
      </c>
      <c r="T284" s="46">
        <f>'فرع السلام'!T74</f>
        <v>0</v>
      </c>
      <c r="U284" s="46">
        <f>'فرع السلام'!U74</f>
        <v>0</v>
      </c>
      <c r="V284" s="46">
        <f>'فرع السلام'!V74</f>
        <v>0</v>
      </c>
      <c r="W284" s="46">
        <f>'فرع السلام'!W74</f>
        <v>0</v>
      </c>
      <c r="X284" s="46">
        <f>'فرع السلام'!X74</f>
        <v>0</v>
      </c>
      <c r="Y284" s="46">
        <f>'فرع السلام'!Y74</f>
        <v>0</v>
      </c>
      <c r="Z284" s="46">
        <f>'فرع السلام'!Z74</f>
        <v>0</v>
      </c>
      <c r="AA284" s="46">
        <f>'فرع السلام'!AA74</f>
        <v>0</v>
      </c>
      <c r="AB284" s="46">
        <f>'فرع السلام'!AB74</f>
        <v>0</v>
      </c>
      <c r="AC284" s="46">
        <f>'فرع السلام'!AC74</f>
        <v>0</v>
      </c>
      <c r="AD284" s="46">
        <f>'فرع السلام'!AD74</f>
        <v>0</v>
      </c>
      <c r="AE284" s="46">
        <f>'فرع السلام'!AE74</f>
        <v>0</v>
      </c>
      <c r="AF284" s="46">
        <f>'فرع السلام'!AF74</f>
        <v>0</v>
      </c>
      <c r="AG284" s="46">
        <f>'فرع السلام'!AG74</f>
        <v>0</v>
      </c>
      <c r="AH284" s="46">
        <f>'فرع السلام'!AH74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+'فرع السلام'!A75</f>
        <v>0</v>
      </c>
      <c r="B288" s="44">
        <f>+'فرع السلام'!B75</f>
        <v>0</v>
      </c>
      <c r="C288" s="45">
        <f>+'فرع السلام'!C75</f>
        <v>0</v>
      </c>
      <c r="D288" s="45">
        <f>+'فرع السلام'!D75</f>
        <v>0</v>
      </c>
      <c r="E288" s="45">
        <f>+'فرع السلام'!E75</f>
        <v>0</v>
      </c>
      <c r="F288" s="46">
        <f>'فرع السلام'!F75</f>
        <v>0</v>
      </c>
      <c r="G288" s="46">
        <f>'فرع السلام'!G75</f>
        <v>0</v>
      </c>
      <c r="H288" s="46">
        <f>'فرع السلام'!H75</f>
        <v>0</v>
      </c>
      <c r="I288" s="46">
        <f>'فرع السلام'!I75</f>
        <v>0</v>
      </c>
      <c r="J288" s="46">
        <f>'فرع السلام'!J75</f>
        <v>0</v>
      </c>
      <c r="K288" s="46">
        <f>'فرع السلام'!K75</f>
        <v>0</v>
      </c>
      <c r="L288" s="46">
        <f>'فرع السلام'!L75</f>
        <v>0</v>
      </c>
      <c r="M288" s="46">
        <f>'فرع السلام'!M75</f>
        <v>0</v>
      </c>
      <c r="N288" s="46">
        <f>'فرع السلام'!N75</f>
        <v>0</v>
      </c>
      <c r="O288" s="46">
        <f>'فرع السلام'!O75</f>
        <v>0</v>
      </c>
      <c r="P288" s="46">
        <f>'فرع السلام'!P75</f>
        <v>0</v>
      </c>
      <c r="Q288" s="46">
        <f>'فرع السلام'!Q75</f>
        <v>0</v>
      </c>
      <c r="R288" s="47">
        <f>'فرع السلام'!R75</f>
        <v>0</v>
      </c>
      <c r="S288" s="47">
        <f>'فرع السلام'!S75</f>
        <v>0</v>
      </c>
      <c r="T288" s="46">
        <f>'فرع السلام'!T75</f>
        <v>0</v>
      </c>
      <c r="U288" s="46">
        <f>'فرع السلام'!U75</f>
        <v>0</v>
      </c>
      <c r="V288" s="46">
        <f>'فرع السلام'!V75</f>
        <v>0</v>
      </c>
      <c r="W288" s="46">
        <f>'فرع السلام'!W75</f>
        <v>0</v>
      </c>
      <c r="X288" s="46">
        <f>'فرع السلام'!X75</f>
        <v>0</v>
      </c>
      <c r="Y288" s="46">
        <f>'فرع السلام'!Y75</f>
        <v>0</v>
      </c>
      <c r="Z288" s="46">
        <f>'فرع السلام'!Z75</f>
        <v>0</v>
      </c>
      <c r="AA288" s="46">
        <f>'فرع السلام'!AA75</f>
        <v>0</v>
      </c>
      <c r="AB288" s="46">
        <f>'فرع السلام'!AB75</f>
        <v>0</v>
      </c>
      <c r="AC288" s="46">
        <f>'فرع السلام'!AC75</f>
        <v>0</v>
      </c>
      <c r="AD288" s="46">
        <f>'فرع السلام'!AD75</f>
        <v>0</v>
      </c>
      <c r="AE288" s="46">
        <f>'فرع السلام'!AE75</f>
        <v>0</v>
      </c>
      <c r="AF288" s="46">
        <f>'فرع السلام'!AF75</f>
        <v>0</v>
      </c>
      <c r="AG288" s="46">
        <f>'فرع السلام'!AG75</f>
        <v>0</v>
      </c>
      <c r="AH288" s="46">
        <f>'فرع السلام'!AH75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+'فرع السلام'!A76</f>
        <v>0</v>
      </c>
      <c r="B292" s="44">
        <f>+'فرع السلام'!B76</f>
        <v>0</v>
      </c>
      <c r="C292" s="45">
        <f>+'فرع السلام'!C76</f>
        <v>0</v>
      </c>
      <c r="D292" s="45">
        <f>+'فرع السلام'!D76</f>
        <v>0</v>
      </c>
      <c r="E292" s="45">
        <f>+'فرع السلام'!E76</f>
        <v>0</v>
      </c>
      <c r="F292" s="46">
        <f>'فرع السلام'!F76</f>
        <v>0</v>
      </c>
      <c r="G292" s="46">
        <f>'فرع السلام'!G76</f>
        <v>0</v>
      </c>
      <c r="H292" s="46">
        <f>'فرع السلام'!H76</f>
        <v>0</v>
      </c>
      <c r="I292" s="46">
        <f>'فرع السلام'!I76</f>
        <v>0</v>
      </c>
      <c r="J292" s="46">
        <f>'فرع السلام'!J76</f>
        <v>0</v>
      </c>
      <c r="K292" s="46">
        <f>'فرع السلام'!K76</f>
        <v>0</v>
      </c>
      <c r="L292" s="46">
        <f>'فرع السلام'!L76</f>
        <v>0</v>
      </c>
      <c r="M292" s="46">
        <f>'فرع السلام'!M76</f>
        <v>0</v>
      </c>
      <c r="N292" s="46">
        <f>'فرع السلام'!N76</f>
        <v>0</v>
      </c>
      <c r="O292" s="46">
        <f>'فرع السلام'!O76</f>
        <v>0</v>
      </c>
      <c r="P292" s="46">
        <f>'فرع السلام'!P76</f>
        <v>0</v>
      </c>
      <c r="Q292" s="46">
        <f>'فرع السلام'!Q76</f>
        <v>0</v>
      </c>
      <c r="R292" s="47">
        <f>'فرع السلام'!R76</f>
        <v>0</v>
      </c>
      <c r="S292" s="47">
        <f>'فرع السلام'!S76</f>
        <v>0</v>
      </c>
      <c r="T292" s="46">
        <f>'فرع السلام'!T76</f>
        <v>0</v>
      </c>
      <c r="U292" s="46">
        <f>'فرع السلام'!U76</f>
        <v>0</v>
      </c>
      <c r="V292" s="46">
        <f>'فرع السلام'!V76</f>
        <v>0</v>
      </c>
      <c r="W292" s="46">
        <f>'فرع السلام'!W76</f>
        <v>0</v>
      </c>
      <c r="X292" s="46">
        <f>'فرع السلام'!X76</f>
        <v>0</v>
      </c>
      <c r="Y292" s="46">
        <f>'فرع السلام'!Y76</f>
        <v>0</v>
      </c>
      <c r="Z292" s="46">
        <f>'فرع السلام'!Z76</f>
        <v>0</v>
      </c>
      <c r="AA292" s="46">
        <f>'فرع السلام'!AA76</f>
        <v>0</v>
      </c>
      <c r="AB292" s="46">
        <f>'فرع السلام'!AB76</f>
        <v>0</v>
      </c>
      <c r="AC292" s="46">
        <f>'فرع السلام'!AC76</f>
        <v>0</v>
      </c>
      <c r="AD292" s="46">
        <f>'فرع السلام'!AD76</f>
        <v>0</v>
      </c>
      <c r="AE292" s="46">
        <f>'فرع السلام'!AE76</f>
        <v>0</v>
      </c>
      <c r="AF292" s="46">
        <f>'فرع السلام'!AF76</f>
        <v>0</v>
      </c>
      <c r="AG292" s="46">
        <f>'فرع السلام'!AG76</f>
        <v>0</v>
      </c>
      <c r="AH292" s="46">
        <f>'فرع السلام'!AH76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+'فرع السلام'!A77</f>
        <v>0</v>
      </c>
      <c r="B296" s="44">
        <f>+'فرع السلام'!B77</f>
        <v>0</v>
      </c>
      <c r="C296" s="45">
        <f>+'فرع السلام'!C77</f>
        <v>0</v>
      </c>
      <c r="D296" s="45">
        <f>+'فرع السلام'!D77</f>
        <v>0</v>
      </c>
      <c r="E296" s="45">
        <f>+'فرع السلام'!E77</f>
        <v>0</v>
      </c>
      <c r="F296" s="46">
        <f>'فرع السلام'!F77</f>
        <v>0</v>
      </c>
      <c r="G296" s="46">
        <f>'فرع السلام'!G77</f>
        <v>0</v>
      </c>
      <c r="H296" s="46">
        <f>'فرع السلام'!H77</f>
        <v>0</v>
      </c>
      <c r="I296" s="46">
        <f>'فرع السلام'!I77</f>
        <v>0</v>
      </c>
      <c r="J296" s="46">
        <f>'فرع السلام'!J77</f>
        <v>0</v>
      </c>
      <c r="K296" s="46">
        <f>'فرع السلام'!K77</f>
        <v>0</v>
      </c>
      <c r="L296" s="46">
        <f>'فرع السلام'!L77</f>
        <v>0</v>
      </c>
      <c r="M296" s="46">
        <f>'فرع السلام'!M77</f>
        <v>0</v>
      </c>
      <c r="N296" s="46">
        <f>'فرع السلام'!N77</f>
        <v>0</v>
      </c>
      <c r="O296" s="46">
        <f>'فرع السلام'!O77</f>
        <v>0</v>
      </c>
      <c r="P296" s="46">
        <f>'فرع السلام'!P77</f>
        <v>0</v>
      </c>
      <c r="Q296" s="46">
        <f>'فرع السلام'!Q77</f>
        <v>0</v>
      </c>
      <c r="R296" s="47">
        <f>'فرع السلام'!R77</f>
        <v>0</v>
      </c>
      <c r="S296" s="47">
        <f>'فرع السلام'!S77</f>
        <v>0</v>
      </c>
      <c r="T296" s="46">
        <f>'فرع السلام'!T77</f>
        <v>0</v>
      </c>
      <c r="U296" s="46">
        <f>'فرع السلام'!U77</f>
        <v>0</v>
      </c>
      <c r="V296" s="46">
        <f>'فرع السلام'!V77</f>
        <v>0</v>
      </c>
      <c r="W296" s="46">
        <f>'فرع السلام'!W77</f>
        <v>0</v>
      </c>
      <c r="X296" s="46">
        <f>'فرع السلام'!X77</f>
        <v>0</v>
      </c>
      <c r="Y296" s="46">
        <f>'فرع السلام'!Y77</f>
        <v>0</v>
      </c>
      <c r="Z296" s="46">
        <f>'فرع السلام'!Z77</f>
        <v>0</v>
      </c>
      <c r="AA296" s="46">
        <f>'فرع السلام'!AA77</f>
        <v>0</v>
      </c>
      <c r="AB296" s="46">
        <f>'فرع السلام'!AB77</f>
        <v>0</v>
      </c>
      <c r="AC296" s="46">
        <f>'فرع السلام'!AC77</f>
        <v>0</v>
      </c>
      <c r="AD296" s="46">
        <f>'فرع السلام'!AD77</f>
        <v>0</v>
      </c>
      <c r="AE296" s="46">
        <f>'فرع السلام'!AE77</f>
        <v>0</v>
      </c>
      <c r="AF296" s="46">
        <f>'فرع السلام'!AF77</f>
        <v>0</v>
      </c>
      <c r="AG296" s="46">
        <f>'فرع السلام'!AG77</f>
        <v>0</v>
      </c>
      <c r="AH296" s="46">
        <f>'فرع السلام'!AH77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+'فرع السلام'!A78</f>
        <v>0</v>
      </c>
      <c r="B300" s="44">
        <f>+'فرع السلام'!B78</f>
        <v>0</v>
      </c>
      <c r="C300" s="45">
        <f>+'فرع السلام'!C78</f>
        <v>0</v>
      </c>
      <c r="D300" s="45">
        <f>+'فرع السلام'!D78</f>
        <v>0</v>
      </c>
      <c r="E300" s="45">
        <f>+'فرع السلام'!E78</f>
        <v>0</v>
      </c>
      <c r="F300" s="46">
        <f>'فرع السلام'!F78</f>
        <v>0</v>
      </c>
      <c r="G300" s="46">
        <f>'فرع السلام'!G78</f>
        <v>0</v>
      </c>
      <c r="H300" s="46">
        <f>'فرع السلام'!H78</f>
        <v>0</v>
      </c>
      <c r="I300" s="46">
        <f>'فرع السلام'!I78</f>
        <v>0</v>
      </c>
      <c r="J300" s="46">
        <f>'فرع السلام'!J78</f>
        <v>0</v>
      </c>
      <c r="K300" s="46">
        <f>'فرع السلام'!K78</f>
        <v>0</v>
      </c>
      <c r="L300" s="46">
        <f>'فرع السلام'!L78</f>
        <v>0</v>
      </c>
      <c r="M300" s="46">
        <f>'فرع السلام'!M78</f>
        <v>0</v>
      </c>
      <c r="N300" s="46">
        <f>'فرع السلام'!N78</f>
        <v>0</v>
      </c>
      <c r="O300" s="46">
        <f>'فرع السلام'!O78</f>
        <v>0</v>
      </c>
      <c r="P300" s="46">
        <f>'فرع السلام'!P78</f>
        <v>0</v>
      </c>
      <c r="Q300" s="46">
        <f>'فرع السلام'!Q78</f>
        <v>0</v>
      </c>
      <c r="R300" s="47">
        <f>'فرع السلام'!R78</f>
        <v>0</v>
      </c>
      <c r="S300" s="47">
        <f>'فرع السلام'!S78</f>
        <v>0</v>
      </c>
      <c r="T300" s="46">
        <f>'فرع السلام'!T78</f>
        <v>0</v>
      </c>
      <c r="U300" s="46">
        <f>'فرع السلام'!U78</f>
        <v>0</v>
      </c>
      <c r="V300" s="46">
        <f>'فرع السلام'!V78</f>
        <v>0</v>
      </c>
      <c r="W300" s="46">
        <f>'فرع السلام'!W78</f>
        <v>0</v>
      </c>
      <c r="X300" s="46">
        <f>'فرع السلام'!X78</f>
        <v>0</v>
      </c>
      <c r="Y300" s="46">
        <f>'فرع السلام'!Y78</f>
        <v>0</v>
      </c>
      <c r="Z300" s="46">
        <f>'فرع السلام'!Z78</f>
        <v>0</v>
      </c>
      <c r="AA300" s="46">
        <f>'فرع السلام'!AA78</f>
        <v>0</v>
      </c>
      <c r="AB300" s="46">
        <f>'فرع السلام'!AB78</f>
        <v>0</v>
      </c>
      <c r="AC300" s="46">
        <f>'فرع السلام'!AC78</f>
        <v>0</v>
      </c>
      <c r="AD300" s="46">
        <f>'فرع السلام'!AD78</f>
        <v>0</v>
      </c>
      <c r="AE300" s="46">
        <f>'فرع السلام'!AE78</f>
        <v>0</v>
      </c>
      <c r="AF300" s="46">
        <f>'فرع السلام'!AF78</f>
        <v>0</v>
      </c>
      <c r="AG300" s="46">
        <f>'فرع السلام'!AG78</f>
        <v>0</v>
      </c>
      <c r="AH300" s="46">
        <f>'فرع السلام'!AH78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+'فرع السلام'!A79</f>
        <v>0</v>
      </c>
      <c r="B304" s="44">
        <f>+'فرع السلام'!B79</f>
        <v>0</v>
      </c>
      <c r="C304" s="45">
        <f>+'فرع السلام'!C79</f>
        <v>0</v>
      </c>
      <c r="D304" s="45">
        <f>+'فرع السلام'!D79</f>
        <v>0</v>
      </c>
      <c r="E304" s="45">
        <f>+'فرع السلام'!E79</f>
        <v>0</v>
      </c>
      <c r="F304" s="46">
        <f>'فرع السلام'!F79</f>
        <v>0</v>
      </c>
      <c r="G304" s="46">
        <f>'فرع السلام'!G79</f>
        <v>0</v>
      </c>
      <c r="H304" s="46">
        <f>'فرع السلام'!H79</f>
        <v>0</v>
      </c>
      <c r="I304" s="46">
        <f>'فرع السلام'!I79</f>
        <v>0</v>
      </c>
      <c r="J304" s="46">
        <f>'فرع السلام'!J79</f>
        <v>0</v>
      </c>
      <c r="K304" s="46">
        <f>'فرع السلام'!K79</f>
        <v>0</v>
      </c>
      <c r="L304" s="46">
        <f>'فرع السلام'!L79</f>
        <v>0</v>
      </c>
      <c r="M304" s="46">
        <f>'فرع السلام'!M79</f>
        <v>0</v>
      </c>
      <c r="N304" s="46">
        <f>'فرع السلام'!N79</f>
        <v>0</v>
      </c>
      <c r="O304" s="46">
        <f>'فرع السلام'!O79</f>
        <v>0</v>
      </c>
      <c r="P304" s="46">
        <f>'فرع السلام'!P79</f>
        <v>0</v>
      </c>
      <c r="Q304" s="46">
        <f>'فرع السلام'!Q79</f>
        <v>0</v>
      </c>
      <c r="R304" s="47">
        <f>'فرع السلام'!R79</f>
        <v>0</v>
      </c>
      <c r="S304" s="47">
        <f>'فرع السلام'!S79</f>
        <v>0</v>
      </c>
      <c r="T304" s="46">
        <f>'فرع السلام'!T79</f>
        <v>0</v>
      </c>
      <c r="U304" s="46">
        <f>'فرع السلام'!U79</f>
        <v>0</v>
      </c>
      <c r="V304" s="46">
        <f>'فرع السلام'!V79</f>
        <v>0</v>
      </c>
      <c r="W304" s="46">
        <f>'فرع السلام'!W79</f>
        <v>0</v>
      </c>
      <c r="X304" s="46">
        <f>'فرع السلام'!X79</f>
        <v>0</v>
      </c>
      <c r="Y304" s="46">
        <f>'فرع السلام'!Y79</f>
        <v>0</v>
      </c>
      <c r="Z304" s="46">
        <f>'فرع السلام'!Z79</f>
        <v>0</v>
      </c>
      <c r="AA304" s="46">
        <f>'فرع السلام'!AA79</f>
        <v>0</v>
      </c>
      <c r="AB304" s="46">
        <f>'فرع السلام'!AB79</f>
        <v>0</v>
      </c>
      <c r="AC304" s="46">
        <f>'فرع السلام'!AC79</f>
        <v>0</v>
      </c>
      <c r="AD304" s="46">
        <f>'فرع السلام'!AD79</f>
        <v>0</v>
      </c>
      <c r="AE304" s="46">
        <f>'فرع السلام'!AE79</f>
        <v>0</v>
      </c>
      <c r="AF304" s="46">
        <f>'فرع السلام'!AF79</f>
        <v>0</v>
      </c>
      <c r="AG304" s="46">
        <f>'فرع السلام'!AG79</f>
        <v>0</v>
      </c>
      <c r="AH304" s="46">
        <f>'فرع السلام'!AH79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+'فرع السلام'!A80</f>
        <v>0</v>
      </c>
      <c r="B308" s="44">
        <f>+'فرع السلام'!B80</f>
        <v>0</v>
      </c>
      <c r="C308" s="45">
        <f>+'فرع السلام'!C80</f>
        <v>0</v>
      </c>
      <c r="D308" s="45">
        <f>+'فرع السلام'!D80</f>
        <v>0</v>
      </c>
      <c r="E308" s="45">
        <f>+'فرع السلام'!E80</f>
        <v>0</v>
      </c>
      <c r="F308" s="46">
        <f>'فرع السلام'!F80</f>
        <v>0</v>
      </c>
      <c r="G308" s="46">
        <f>'فرع السلام'!G80</f>
        <v>0</v>
      </c>
      <c r="H308" s="46">
        <f>'فرع السلام'!H80</f>
        <v>0</v>
      </c>
      <c r="I308" s="46">
        <f>'فرع السلام'!I80</f>
        <v>0</v>
      </c>
      <c r="J308" s="46">
        <f>'فرع السلام'!J80</f>
        <v>0</v>
      </c>
      <c r="K308" s="46">
        <f>'فرع السلام'!K80</f>
        <v>0</v>
      </c>
      <c r="L308" s="46">
        <f>'فرع السلام'!L80</f>
        <v>0</v>
      </c>
      <c r="M308" s="46">
        <f>'فرع السلام'!M80</f>
        <v>0</v>
      </c>
      <c r="N308" s="46">
        <f>'فرع السلام'!N80</f>
        <v>0</v>
      </c>
      <c r="O308" s="46">
        <f>'فرع السلام'!O80</f>
        <v>0</v>
      </c>
      <c r="P308" s="46">
        <f>'فرع السلام'!P80</f>
        <v>0</v>
      </c>
      <c r="Q308" s="46">
        <f>'فرع السلام'!Q80</f>
        <v>0</v>
      </c>
      <c r="R308" s="47">
        <f>'فرع السلام'!R80</f>
        <v>0</v>
      </c>
      <c r="S308" s="47">
        <f>'فرع السلام'!S80</f>
        <v>0</v>
      </c>
      <c r="T308" s="46">
        <f>'فرع السلام'!T80</f>
        <v>0</v>
      </c>
      <c r="U308" s="46">
        <f>'فرع السلام'!U80</f>
        <v>0</v>
      </c>
      <c r="V308" s="46">
        <f>'فرع السلام'!V80</f>
        <v>0</v>
      </c>
      <c r="W308" s="46">
        <f>'فرع السلام'!W80</f>
        <v>0</v>
      </c>
      <c r="X308" s="46">
        <f>'فرع السلام'!X80</f>
        <v>0</v>
      </c>
      <c r="Y308" s="46">
        <f>'فرع السلام'!Y80</f>
        <v>0</v>
      </c>
      <c r="Z308" s="46">
        <f>'فرع السلام'!Z80</f>
        <v>0</v>
      </c>
      <c r="AA308" s="46">
        <f>'فرع السلام'!AA80</f>
        <v>0</v>
      </c>
      <c r="AB308" s="46">
        <f>'فرع السلام'!AB80</f>
        <v>0</v>
      </c>
      <c r="AC308" s="46">
        <f>'فرع السلام'!AC80</f>
        <v>0</v>
      </c>
      <c r="AD308" s="46">
        <f>'فرع السلام'!AD80</f>
        <v>0</v>
      </c>
      <c r="AE308" s="46">
        <f>'فرع السلام'!AE80</f>
        <v>0</v>
      </c>
      <c r="AF308" s="46">
        <f>'فرع السلام'!AF80</f>
        <v>0</v>
      </c>
      <c r="AG308" s="46">
        <f>'فرع السلام'!AG80</f>
        <v>0</v>
      </c>
      <c r="AH308" s="46">
        <f>'فرع السلام'!AH80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</mergeCells>
  <pageMargins left="0" right="0.5" top="0" bottom="0" header="0" footer="0"/>
  <pageSetup paperSize="9" scale="3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H309"/>
  <sheetViews>
    <sheetView rightToLeft="1" topLeftCell="A82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+'مركز التجهيزات'!A4</f>
        <v>0</v>
      </c>
      <c r="B4" s="44">
        <f>+'مركز التجهيزات'!B4</f>
        <v>0</v>
      </c>
      <c r="C4" s="45">
        <f>+'مركز التجهيزات'!C4</f>
        <v>0</v>
      </c>
      <c r="D4" s="45">
        <f>+'مركز التجهيزات'!D4</f>
        <v>0</v>
      </c>
      <c r="E4" s="45">
        <f>+'مركز التجهيزات'!E4</f>
        <v>0</v>
      </c>
      <c r="F4" s="46">
        <f>'مركز التجهيزات'!F4</f>
        <v>0</v>
      </c>
      <c r="G4" s="46">
        <f>'مركز التجهيزات'!G4</f>
        <v>0</v>
      </c>
      <c r="H4" s="46">
        <f>'مركز التجهيزات'!H4</f>
        <v>0</v>
      </c>
      <c r="I4" s="46">
        <f>'مركز التجهيزات'!I4</f>
        <v>0</v>
      </c>
      <c r="J4" s="46">
        <f>'مركز التجهيزات'!J4</f>
        <v>0</v>
      </c>
      <c r="K4" s="46">
        <f>'مركز التجهيزات'!K4</f>
        <v>0</v>
      </c>
      <c r="L4" s="46">
        <f>'مركز التجهيزات'!L4</f>
        <v>0</v>
      </c>
      <c r="M4" s="46">
        <f>'مركز التجهيزات'!M4</f>
        <v>0</v>
      </c>
      <c r="N4" s="46">
        <f>'مركز التجهيزات'!N4</f>
        <v>0</v>
      </c>
      <c r="O4" s="46">
        <f>'مركز التجهيزات'!O4</f>
        <v>0</v>
      </c>
      <c r="P4" s="46">
        <f>'مركز التجهيزات'!P4</f>
        <v>0</v>
      </c>
      <c r="Q4" s="46">
        <f>'مركز التجهيزات'!Q4</f>
        <v>0</v>
      </c>
      <c r="R4" s="47">
        <f>'مركز التجهيزات'!R4</f>
        <v>0</v>
      </c>
      <c r="S4" s="47">
        <f>'مركز التجهيزات'!S4</f>
        <v>0</v>
      </c>
      <c r="T4" s="46">
        <f>'مركز التجهيزات'!T4</f>
        <v>0</v>
      </c>
      <c r="U4" s="46">
        <f>'مركز التجهيزات'!U4</f>
        <v>0</v>
      </c>
      <c r="V4" s="46">
        <f>'مركز التجهيزات'!V4</f>
        <v>0</v>
      </c>
      <c r="W4" s="46">
        <f>'مركز التجهيزات'!W4</f>
        <v>0</v>
      </c>
      <c r="X4" s="46">
        <f>'مركز التجهيزات'!X4</f>
        <v>0</v>
      </c>
      <c r="Y4" s="46">
        <f>'مركز التجهيزات'!Y4</f>
        <v>0</v>
      </c>
      <c r="Z4" s="46">
        <f>'مركز التجهيزات'!Z4</f>
        <v>0</v>
      </c>
      <c r="AA4" s="46">
        <f>'مركز التجهيزات'!AA4</f>
        <v>0</v>
      </c>
      <c r="AB4" s="46">
        <f>'مركز التجهيزات'!AB4</f>
        <v>0</v>
      </c>
      <c r="AC4" s="46">
        <f>'مركز التجهيزات'!AC4</f>
        <v>0</v>
      </c>
      <c r="AD4" s="46">
        <f>'مركز التجهيزات'!AD4</f>
        <v>0</v>
      </c>
      <c r="AE4" s="46">
        <f>'مركز التجهيزات'!AE4</f>
        <v>0</v>
      </c>
      <c r="AF4" s="46">
        <f>'مركز التجهيزات'!AF4</f>
        <v>0</v>
      </c>
      <c r="AG4" s="46">
        <f>'مركز التجهيزات'!AG4</f>
        <v>0</v>
      </c>
      <c r="AH4" s="46">
        <f>'مركز التجهيزات'!AH4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+'مركز التجهيزات'!A5</f>
        <v>0</v>
      </c>
      <c r="B8" s="44">
        <f>+'مركز التجهيزات'!B5</f>
        <v>0</v>
      </c>
      <c r="C8" s="45">
        <f>+'مركز التجهيزات'!C5</f>
        <v>0</v>
      </c>
      <c r="D8" s="45">
        <f>+'مركز التجهيزات'!D5</f>
        <v>0</v>
      </c>
      <c r="E8" s="45">
        <f>+'مركز التجهيزات'!E5</f>
        <v>0</v>
      </c>
      <c r="F8" s="46">
        <f>+'مركز التجهيزات'!F5</f>
        <v>0</v>
      </c>
      <c r="G8" s="46">
        <f>+'مركز التجهيزات'!G5</f>
        <v>0</v>
      </c>
      <c r="H8" s="46">
        <f>+'مركز التجهيزات'!H5</f>
        <v>0</v>
      </c>
      <c r="I8" s="46">
        <f>+'مركز التجهيزات'!I5</f>
        <v>0</v>
      </c>
      <c r="J8" s="46">
        <f>+'مركز التجهيزات'!J5</f>
        <v>0</v>
      </c>
      <c r="K8" s="46">
        <f>+'مركز التجهيزات'!K5</f>
        <v>0</v>
      </c>
      <c r="L8" s="46">
        <f>+'مركز التجهيزات'!L5</f>
        <v>0</v>
      </c>
      <c r="M8" s="46">
        <f>+'مركز التجهيزات'!M5</f>
        <v>0</v>
      </c>
      <c r="N8" s="46">
        <f>+'مركز التجهيزات'!N5</f>
        <v>0</v>
      </c>
      <c r="O8" s="46">
        <f>+'مركز التجهيزات'!O5</f>
        <v>0</v>
      </c>
      <c r="P8" s="46">
        <f>+'مركز التجهيزات'!P5</f>
        <v>0</v>
      </c>
      <c r="Q8" s="46">
        <f>+'مركز التجهيزات'!Q5</f>
        <v>0</v>
      </c>
      <c r="R8" s="47">
        <f>+'مركز التجهيزات'!R5</f>
        <v>0</v>
      </c>
      <c r="S8" s="47">
        <f>+'مركز التجهيزات'!S5</f>
        <v>0</v>
      </c>
      <c r="T8" s="46">
        <f>+'مركز التجهيزات'!T5</f>
        <v>0</v>
      </c>
      <c r="U8" s="46">
        <f>+'مركز التجهيزات'!U5</f>
        <v>0</v>
      </c>
      <c r="V8" s="46">
        <f>+'مركز التجهيزات'!V5</f>
        <v>0</v>
      </c>
      <c r="W8" s="46">
        <f>+'مركز التجهيزات'!W5</f>
        <v>0</v>
      </c>
      <c r="X8" s="46">
        <f>+'مركز التجهيزات'!X5</f>
        <v>0</v>
      </c>
      <c r="Y8" s="46">
        <f>+'مركز التجهيزات'!Y5</f>
        <v>0</v>
      </c>
      <c r="Z8" s="46">
        <f>+'مركز التجهيزات'!Z5</f>
        <v>0</v>
      </c>
      <c r="AA8" s="46">
        <f>+'مركز التجهيزات'!AA5</f>
        <v>0</v>
      </c>
      <c r="AB8" s="46">
        <f>+'مركز التجهيزات'!AB5</f>
        <v>0</v>
      </c>
      <c r="AC8" s="46">
        <f>+'مركز التجهيزات'!AC5</f>
        <v>0</v>
      </c>
      <c r="AD8" s="46">
        <f>+'مركز التجهيزات'!AD5</f>
        <v>0</v>
      </c>
      <c r="AE8" s="46">
        <f>+'مركز التجهيزات'!AE5</f>
        <v>0</v>
      </c>
      <c r="AF8" s="46">
        <f>+'مركز التجهيزات'!AF5</f>
        <v>0</v>
      </c>
      <c r="AG8" s="46">
        <f>+'مركز التجهيزات'!AG5</f>
        <v>0</v>
      </c>
      <c r="AH8" s="46">
        <f>+'مركز التجهيزات'!AH5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+'مركز التجهيزات'!A6</f>
        <v>0</v>
      </c>
      <c r="B12" s="44">
        <f>+'مركز التجهيزات'!B6</f>
        <v>0</v>
      </c>
      <c r="C12" s="45">
        <f>+'مركز التجهيزات'!C6</f>
        <v>0</v>
      </c>
      <c r="D12" s="45">
        <f>+'مركز التجهيزات'!D6</f>
        <v>0</v>
      </c>
      <c r="E12" s="45">
        <f>+'مركز التجهيزات'!E6</f>
        <v>0</v>
      </c>
      <c r="F12" s="46">
        <f>+'مركز التجهيزات'!F6</f>
        <v>0</v>
      </c>
      <c r="G12" s="46">
        <f>+'مركز التجهيزات'!G6</f>
        <v>0</v>
      </c>
      <c r="H12" s="46">
        <f>+'مركز التجهيزات'!H6</f>
        <v>0</v>
      </c>
      <c r="I12" s="46">
        <f>+'مركز التجهيزات'!I6</f>
        <v>0</v>
      </c>
      <c r="J12" s="46">
        <f>+'مركز التجهيزات'!J6</f>
        <v>0</v>
      </c>
      <c r="K12" s="46">
        <f>+'مركز التجهيزات'!K6</f>
        <v>0</v>
      </c>
      <c r="L12" s="46">
        <f>+'مركز التجهيزات'!L6</f>
        <v>0</v>
      </c>
      <c r="M12" s="46">
        <f>+'مركز التجهيزات'!M6</f>
        <v>0</v>
      </c>
      <c r="N12" s="46">
        <f>+'مركز التجهيزات'!N6</f>
        <v>0</v>
      </c>
      <c r="O12" s="46">
        <f>+'مركز التجهيزات'!O6</f>
        <v>0</v>
      </c>
      <c r="P12" s="46">
        <f>+'مركز التجهيزات'!P6</f>
        <v>0</v>
      </c>
      <c r="Q12" s="46">
        <f>+'مركز التجهيزات'!Q6</f>
        <v>0</v>
      </c>
      <c r="R12" s="47">
        <f>+'مركز التجهيزات'!R6</f>
        <v>0</v>
      </c>
      <c r="S12" s="47">
        <f>+'مركز التجهيزات'!S6</f>
        <v>0</v>
      </c>
      <c r="T12" s="46">
        <f>+'مركز التجهيزات'!T6</f>
        <v>0</v>
      </c>
      <c r="U12" s="46">
        <f>+'مركز التجهيزات'!U6</f>
        <v>0</v>
      </c>
      <c r="V12" s="46">
        <f>+'مركز التجهيزات'!V6</f>
        <v>0</v>
      </c>
      <c r="W12" s="46">
        <f>+'مركز التجهيزات'!W6</f>
        <v>0</v>
      </c>
      <c r="X12" s="46">
        <f>+'مركز التجهيزات'!X6</f>
        <v>0</v>
      </c>
      <c r="Y12" s="46">
        <f>+'مركز التجهيزات'!Y6</f>
        <v>0</v>
      </c>
      <c r="Z12" s="46">
        <f>+'مركز التجهيزات'!Z6</f>
        <v>0</v>
      </c>
      <c r="AA12" s="46">
        <f>+'مركز التجهيزات'!AA6</f>
        <v>0</v>
      </c>
      <c r="AB12" s="46">
        <f>+'مركز التجهيزات'!AB6</f>
        <v>0</v>
      </c>
      <c r="AC12" s="46">
        <f>+'مركز التجهيزات'!AC6</f>
        <v>0</v>
      </c>
      <c r="AD12" s="46">
        <f>+'مركز التجهيزات'!AD6</f>
        <v>0</v>
      </c>
      <c r="AE12" s="46">
        <f>+'مركز التجهيزات'!AE6</f>
        <v>0</v>
      </c>
      <c r="AF12" s="46">
        <f>+'مركز التجهيزات'!AF6</f>
        <v>0</v>
      </c>
      <c r="AG12" s="46">
        <f>+'مركز التجهيزات'!AG6</f>
        <v>0</v>
      </c>
      <c r="AH12" s="46">
        <f>+'مركز التجهيزات'!AH6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+'مركز التجهيزات'!A7</f>
        <v>0</v>
      </c>
      <c r="B16" s="44">
        <f>+'مركز التجهيزات'!B7</f>
        <v>0</v>
      </c>
      <c r="C16" s="45">
        <f>+'مركز التجهيزات'!C7</f>
        <v>0</v>
      </c>
      <c r="D16" s="45">
        <f>+'مركز التجهيزات'!D7</f>
        <v>0</v>
      </c>
      <c r="E16" s="45">
        <f>+'مركز التجهيزات'!E7</f>
        <v>0</v>
      </c>
      <c r="F16" s="46">
        <f>+'مركز التجهيزات'!F7</f>
        <v>0</v>
      </c>
      <c r="G16" s="46">
        <f>+'مركز التجهيزات'!G7</f>
        <v>0</v>
      </c>
      <c r="H16" s="46">
        <f>+'مركز التجهيزات'!H7</f>
        <v>0</v>
      </c>
      <c r="I16" s="46">
        <f>+'مركز التجهيزات'!I7</f>
        <v>0</v>
      </c>
      <c r="J16" s="46">
        <f>+'مركز التجهيزات'!J7</f>
        <v>0</v>
      </c>
      <c r="K16" s="46">
        <f>+'مركز التجهيزات'!K7</f>
        <v>0</v>
      </c>
      <c r="L16" s="46">
        <f>+'مركز التجهيزات'!L7</f>
        <v>0</v>
      </c>
      <c r="M16" s="46">
        <f>+'مركز التجهيزات'!M7</f>
        <v>0</v>
      </c>
      <c r="N16" s="46">
        <f>+'مركز التجهيزات'!N7</f>
        <v>0</v>
      </c>
      <c r="O16" s="46">
        <f>+'مركز التجهيزات'!O7</f>
        <v>0</v>
      </c>
      <c r="P16" s="46">
        <f>+'مركز التجهيزات'!P7</f>
        <v>0</v>
      </c>
      <c r="Q16" s="46">
        <f>+'مركز التجهيزات'!Q7</f>
        <v>0</v>
      </c>
      <c r="R16" s="47">
        <f>+'مركز التجهيزات'!R7</f>
        <v>0</v>
      </c>
      <c r="S16" s="47">
        <f>+'مركز التجهيزات'!S7</f>
        <v>0</v>
      </c>
      <c r="T16" s="46">
        <f>+'مركز التجهيزات'!T7</f>
        <v>0</v>
      </c>
      <c r="U16" s="46">
        <f>+'مركز التجهيزات'!U7</f>
        <v>0</v>
      </c>
      <c r="V16" s="46">
        <f>+'مركز التجهيزات'!V7</f>
        <v>0</v>
      </c>
      <c r="W16" s="46">
        <f>+'مركز التجهيزات'!W7</f>
        <v>0</v>
      </c>
      <c r="X16" s="46">
        <f>+'مركز التجهيزات'!X7</f>
        <v>0</v>
      </c>
      <c r="Y16" s="46">
        <f>+'مركز التجهيزات'!Y7</f>
        <v>0</v>
      </c>
      <c r="Z16" s="46">
        <f>+'مركز التجهيزات'!Z7</f>
        <v>0</v>
      </c>
      <c r="AA16" s="46">
        <f>+'مركز التجهيزات'!AA7</f>
        <v>0</v>
      </c>
      <c r="AB16" s="46">
        <f>+'مركز التجهيزات'!AB7</f>
        <v>0</v>
      </c>
      <c r="AC16" s="46">
        <f>+'مركز التجهيزات'!AC7</f>
        <v>0</v>
      </c>
      <c r="AD16" s="46">
        <f>+'مركز التجهيزات'!AD7</f>
        <v>0</v>
      </c>
      <c r="AE16" s="46">
        <f>+'مركز التجهيزات'!AE7</f>
        <v>0</v>
      </c>
      <c r="AF16" s="46">
        <f>+'مركز التجهيزات'!AF7</f>
        <v>0</v>
      </c>
      <c r="AG16" s="46">
        <f>+'مركز التجهيزات'!AG7</f>
        <v>0</v>
      </c>
      <c r="AH16" s="46">
        <f>+'مركز التجهيزات'!AH7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+'مركز التجهيزات'!A8</f>
        <v>0</v>
      </c>
      <c r="B20" s="44">
        <f>+'مركز التجهيزات'!B8</f>
        <v>0</v>
      </c>
      <c r="C20" s="45">
        <f>+'مركز التجهيزات'!C8</f>
        <v>0</v>
      </c>
      <c r="D20" s="45">
        <f>+'مركز التجهيزات'!D8</f>
        <v>0</v>
      </c>
      <c r="E20" s="45">
        <f>+'مركز التجهيزات'!E8</f>
        <v>0</v>
      </c>
      <c r="F20" s="46">
        <f>+'مركز التجهيزات'!F8</f>
        <v>0</v>
      </c>
      <c r="G20" s="46">
        <f>+'مركز التجهيزات'!G8</f>
        <v>0</v>
      </c>
      <c r="H20" s="46">
        <f>+'مركز التجهيزات'!H8</f>
        <v>0</v>
      </c>
      <c r="I20" s="46">
        <f>+'مركز التجهيزات'!I8</f>
        <v>0</v>
      </c>
      <c r="J20" s="46">
        <f>+'مركز التجهيزات'!J8</f>
        <v>0</v>
      </c>
      <c r="K20" s="46">
        <f>+'مركز التجهيزات'!K8</f>
        <v>0</v>
      </c>
      <c r="L20" s="46">
        <f>+'مركز التجهيزات'!L8</f>
        <v>0</v>
      </c>
      <c r="M20" s="46">
        <f>+'مركز التجهيزات'!M8</f>
        <v>0</v>
      </c>
      <c r="N20" s="46">
        <f>+'مركز التجهيزات'!N8</f>
        <v>0</v>
      </c>
      <c r="O20" s="46">
        <f>+'مركز التجهيزات'!O8</f>
        <v>0</v>
      </c>
      <c r="P20" s="46">
        <f>+'مركز التجهيزات'!P8</f>
        <v>0</v>
      </c>
      <c r="Q20" s="46">
        <f>+'مركز التجهيزات'!Q8</f>
        <v>0</v>
      </c>
      <c r="R20" s="47">
        <f>+'مركز التجهيزات'!R8</f>
        <v>0</v>
      </c>
      <c r="S20" s="47">
        <f>+'مركز التجهيزات'!S8</f>
        <v>0</v>
      </c>
      <c r="T20" s="46">
        <f>+'مركز التجهيزات'!T8</f>
        <v>0</v>
      </c>
      <c r="U20" s="46">
        <f>+'مركز التجهيزات'!U8</f>
        <v>0</v>
      </c>
      <c r="V20" s="46">
        <f>+'مركز التجهيزات'!V8</f>
        <v>0</v>
      </c>
      <c r="W20" s="46">
        <f>+'مركز التجهيزات'!W8</f>
        <v>0</v>
      </c>
      <c r="X20" s="46">
        <f>+'مركز التجهيزات'!X8</f>
        <v>0</v>
      </c>
      <c r="Y20" s="46">
        <f>+'مركز التجهيزات'!Y8</f>
        <v>0</v>
      </c>
      <c r="Z20" s="46">
        <f>+'مركز التجهيزات'!Z8</f>
        <v>0</v>
      </c>
      <c r="AA20" s="46">
        <f>+'مركز التجهيزات'!AA8</f>
        <v>0</v>
      </c>
      <c r="AB20" s="46">
        <f>+'مركز التجهيزات'!AB8</f>
        <v>0</v>
      </c>
      <c r="AC20" s="46">
        <f>+'مركز التجهيزات'!AC8</f>
        <v>0</v>
      </c>
      <c r="AD20" s="46">
        <f>+'مركز التجهيزات'!AD8</f>
        <v>0</v>
      </c>
      <c r="AE20" s="46">
        <f>+'مركز التجهيزات'!AE8</f>
        <v>0</v>
      </c>
      <c r="AF20" s="46">
        <f>+'مركز التجهيزات'!AF8</f>
        <v>0</v>
      </c>
      <c r="AG20" s="46">
        <f>+'مركز التجهيزات'!AG8</f>
        <v>0</v>
      </c>
      <c r="AH20" s="46">
        <f>+'مركز التجهيزات'!AH8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+'مركز التجهيزات'!A9</f>
        <v>0</v>
      </c>
      <c r="B24" s="44">
        <f>+'مركز التجهيزات'!B9</f>
        <v>0</v>
      </c>
      <c r="C24" s="45">
        <f>+'مركز التجهيزات'!C9</f>
        <v>0</v>
      </c>
      <c r="D24" s="45">
        <f>+'مركز التجهيزات'!D9</f>
        <v>0</v>
      </c>
      <c r="E24" s="45">
        <f>+'مركز التجهيزات'!E9</f>
        <v>0</v>
      </c>
      <c r="F24" s="46">
        <f>+'مركز التجهيزات'!F9</f>
        <v>0</v>
      </c>
      <c r="G24" s="46">
        <f>+'مركز التجهيزات'!G9</f>
        <v>0</v>
      </c>
      <c r="H24" s="46">
        <f>+'مركز التجهيزات'!H9</f>
        <v>0</v>
      </c>
      <c r="I24" s="46">
        <f>+'مركز التجهيزات'!I9</f>
        <v>0</v>
      </c>
      <c r="J24" s="46">
        <f>+'مركز التجهيزات'!J9</f>
        <v>0</v>
      </c>
      <c r="K24" s="46">
        <f>+'مركز التجهيزات'!K9</f>
        <v>0</v>
      </c>
      <c r="L24" s="46">
        <f>+'مركز التجهيزات'!L9</f>
        <v>0</v>
      </c>
      <c r="M24" s="46">
        <f>+'مركز التجهيزات'!M9</f>
        <v>0</v>
      </c>
      <c r="N24" s="46">
        <f>+'مركز التجهيزات'!N9</f>
        <v>0</v>
      </c>
      <c r="O24" s="46">
        <f>+'مركز التجهيزات'!O9</f>
        <v>0</v>
      </c>
      <c r="P24" s="46">
        <f>+'مركز التجهيزات'!P9</f>
        <v>0</v>
      </c>
      <c r="Q24" s="46">
        <f>+'مركز التجهيزات'!Q9</f>
        <v>0</v>
      </c>
      <c r="R24" s="47">
        <f>+'مركز التجهيزات'!R9</f>
        <v>0</v>
      </c>
      <c r="S24" s="47">
        <f>+'مركز التجهيزات'!S9</f>
        <v>0</v>
      </c>
      <c r="T24" s="46">
        <f>+'مركز التجهيزات'!T9</f>
        <v>0</v>
      </c>
      <c r="U24" s="46">
        <f>+'مركز التجهيزات'!U9</f>
        <v>0</v>
      </c>
      <c r="V24" s="46">
        <f>+'مركز التجهيزات'!V9</f>
        <v>0</v>
      </c>
      <c r="W24" s="46">
        <f>+'مركز التجهيزات'!W9</f>
        <v>0</v>
      </c>
      <c r="X24" s="46">
        <f>+'مركز التجهيزات'!X9</f>
        <v>0</v>
      </c>
      <c r="Y24" s="46">
        <f>+'مركز التجهيزات'!Y9</f>
        <v>0</v>
      </c>
      <c r="Z24" s="46">
        <f>+'مركز التجهيزات'!Z9</f>
        <v>0</v>
      </c>
      <c r="AA24" s="46">
        <f>+'مركز التجهيزات'!AA9</f>
        <v>0</v>
      </c>
      <c r="AB24" s="46">
        <f>+'مركز التجهيزات'!AB9</f>
        <v>0</v>
      </c>
      <c r="AC24" s="46">
        <f>+'مركز التجهيزات'!AC9</f>
        <v>0</v>
      </c>
      <c r="AD24" s="46">
        <f>+'مركز التجهيزات'!AD9</f>
        <v>0</v>
      </c>
      <c r="AE24" s="46">
        <f>+'مركز التجهيزات'!AE9</f>
        <v>0</v>
      </c>
      <c r="AF24" s="46">
        <f>+'مركز التجهيزات'!AF9</f>
        <v>0</v>
      </c>
      <c r="AG24" s="46">
        <f>+'مركز التجهيزات'!AG9</f>
        <v>0</v>
      </c>
      <c r="AH24" s="46">
        <f>+'مركز التجهيزات'!AH9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+'مركز التجهيزات'!A10</f>
        <v>0</v>
      </c>
      <c r="B28" s="44">
        <f>+'مركز التجهيزات'!B10</f>
        <v>0</v>
      </c>
      <c r="C28" s="45">
        <f>+'مركز التجهيزات'!C10</f>
        <v>0</v>
      </c>
      <c r="D28" s="45">
        <f>+'مركز التجهيزات'!D10</f>
        <v>0</v>
      </c>
      <c r="E28" s="45">
        <f>+'مركز التجهيزات'!E10</f>
        <v>0</v>
      </c>
      <c r="F28" s="46">
        <f>+'مركز التجهيزات'!F10</f>
        <v>0</v>
      </c>
      <c r="G28" s="46">
        <f>+'مركز التجهيزات'!G10</f>
        <v>0</v>
      </c>
      <c r="H28" s="46">
        <f>+'مركز التجهيزات'!H10</f>
        <v>0</v>
      </c>
      <c r="I28" s="46">
        <f>+'مركز التجهيزات'!I10</f>
        <v>0</v>
      </c>
      <c r="J28" s="46">
        <f>+'مركز التجهيزات'!J10</f>
        <v>0</v>
      </c>
      <c r="K28" s="46">
        <f>+'مركز التجهيزات'!K10</f>
        <v>0</v>
      </c>
      <c r="L28" s="46">
        <f>+'مركز التجهيزات'!L10</f>
        <v>0</v>
      </c>
      <c r="M28" s="46">
        <f>+'مركز التجهيزات'!M10</f>
        <v>0</v>
      </c>
      <c r="N28" s="46">
        <f>+'مركز التجهيزات'!N10</f>
        <v>0</v>
      </c>
      <c r="O28" s="46">
        <f>+'مركز التجهيزات'!O10</f>
        <v>0</v>
      </c>
      <c r="P28" s="46">
        <f>+'مركز التجهيزات'!P10</f>
        <v>0</v>
      </c>
      <c r="Q28" s="46">
        <f>+'مركز التجهيزات'!Q10</f>
        <v>0</v>
      </c>
      <c r="R28" s="47">
        <f>+'مركز التجهيزات'!R10</f>
        <v>0</v>
      </c>
      <c r="S28" s="47">
        <f>+'مركز التجهيزات'!S10</f>
        <v>0</v>
      </c>
      <c r="T28" s="46">
        <f>+'مركز التجهيزات'!T10</f>
        <v>0</v>
      </c>
      <c r="U28" s="46">
        <f>+'مركز التجهيزات'!U10</f>
        <v>0</v>
      </c>
      <c r="V28" s="46">
        <f>+'مركز التجهيزات'!V10</f>
        <v>0</v>
      </c>
      <c r="W28" s="46">
        <f>+'مركز التجهيزات'!W10</f>
        <v>0</v>
      </c>
      <c r="X28" s="46">
        <f>+'مركز التجهيزات'!X10</f>
        <v>0</v>
      </c>
      <c r="Y28" s="46">
        <f>+'مركز التجهيزات'!Y10</f>
        <v>0</v>
      </c>
      <c r="Z28" s="46">
        <f>+'مركز التجهيزات'!Z10</f>
        <v>0</v>
      </c>
      <c r="AA28" s="46">
        <f>+'مركز التجهيزات'!AA10</f>
        <v>0</v>
      </c>
      <c r="AB28" s="46">
        <f>+'مركز التجهيزات'!AB10</f>
        <v>0</v>
      </c>
      <c r="AC28" s="46">
        <f>+'مركز التجهيزات'!AC10</f>
        <v>0</v>
      </c>
      <c r="AD28" s="46">
        <f>+'مركز التجهيزات'!AD10</f>
        <v>0</v>
      </c>
      <c r="AE28" s="46">
        <f>+'مركز التجهيزات'!AE10</f>
        <v>0</v>
      </c>
      <c r="AF28" s="46">
        <f>+'مركز التجهيزات'!AF10</f>
        <v>0</v>
      </c>
      <c r="AG28" s="46">
        <f>+'مركز التجهيزات'!AG10</f>
        <v>0</v>
      </c>
      <c r="AH28" s="46">
        <f>+'مركز التجهيزات'!AH10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+'مركز التجهيزات'!A11</f>
        <v>0</v>
      </c>
      <c r="B32" s="44">
        <f>+'مركز التجهيزات'!B11</f>
        <v>0</v>
      </c>
      <c r="C32" s="45">
        <f>+'مركز التجهيزات'!C11</f>
        <v>0</v>
      </c>
      <c r="D32" s="45">
        <f>+'مركز التجهيزات'!D11</f>
        <v>0</v>
      </c>
      <c r="E32" s="45">
        <f>+'مركز التجهيزات'!E11</f>
        <v>0</v>
      </c>
      <c r="F32" s="46">
        <f>+'مركز التجهيزات'!F11</f>
        <v>0</v>
      </c>
      <c r="G32" s="46">
        <f>+'مركز التجهيزات'!G11</f>
        <v>0</v>
      </c>
      <c r="H32" s="46">
        <f>+'مركز التجهيزات'!H11</f>
        <v>0</v>
      </c>
      <c r="I32" s="46">
        <f>+'مركز التجهيزات'!I11</f>
        <v>0</v>
      </c>
      <c r="J32" s="46">
        <f>+'مركز التجهيزات'!J11</f>
        <v>0</v>
      </c>
      <c r="K32" s="46">
        <f>+'مركز التجهيزات'!K11</f>
        <v>0</v>
      </c>
      <c r="L32" s="46">
        <f>+'مركز التجهيزات'!L11</f>
        <v>0</v>
      </c>
      <c r="M32" s="46">
        <f>+'مركز التجهيزات'!M11</f>
        <v>0</v>
      </c>
      <c r="N32" s="46">
        <f>+'مركز التجهيزات'!N11</f>
        <v>0</v>
      </c>
      <c r="O32" s="46">
        <f>+'مركز التجهيزات'!O11</f>
        <v>0</v>
      </c>
      <c r="P32" s="46">
        <f>+'مركز التجهيزات'!P11</f>
        <v>0</v>
      </c>
      <c r="Q32" s="46">
        <f>+'مركز التجهيزات'!Q11</f>
        <v>0</v>
      </c>
      <c r="R32" s="47">
        <f>+'مركز التجهيزات'!R11</f>
        <v>0</v>
      </c>
      <c r="S32" s="47">
        <f>+'مركز التجهيزات'!S11</f>
        <v>0</v>
      </c>
      <c r="T32" s="46">
        <f>+'مركز التجهيزات'!T11</f>
        <v>0</v>
      </c>
      <c r="U32" s="46">
        <f>+'مركز التجهيزات'!U11</f>
        <v>0</v>
      </c>
      <c r="V32" s="46">
        <f>+'مركز التجهيزات'!V11</f>
        <v>0</v>
      </c>
      <c r="W32" s="46">
        <f>+'مركز التجهيزات'!W11</f>
        <v>0</v>
      </c>
      <c r="X32" s="46">
        <f>+'مركز التجهيزات'!X11</f>
        <v>0</v>
      </c>
      <c r="Y32" s="46">
        <f>+'مركز التجهيزات'!Y11</f>
        <v>0</v>
      </c>
      <c r="Z32" s="46">
        <f>+'مركز التجهيزات'!Z11</f>
        <v>0</v>
      </c>
      <c r="AA32" s="46">
        <f>+'مركز التجهيزات'!AA11</f>
        <v>0</v>
      </c>
      <c r="AB32" s="46">
        <f>+'مركز التجهيزات'!AB11</f>
        <v>0</v>
      </c>
      <c r="AC32" s="46">
        <f>+'مركز التجهيزات'!AC11</f>
        <v>0</v>
      </c>
      <c r="AD32" s="46">
        <f>+'مركز التجهيزات'!AD11</f>
        <v>0</v>
      </c>
      <c r="AE32" s="46">
        <f>+'مركز التجهيزات'!AE11</f>
        <v>0</v>
      </c>
      <c r="AF32" s="46">
        <f>+'مركز التجهيزات'!AF11</f>
        <v>0</v>
      </c>
      <c r="AG32" s="46">
        <f>+'مركز التجهيزات'!AG11</f>
        <v>0</v>
      </c>
      <c r="AH32" s="46">
        <f>+'مركز التجهيزات'!AH11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+'مركز التجهيزات'!A12</f>
        <v>0</v>
      </c>
      <c r="B36" s="44">
        <f>+'مركز التجهيزات'!B12</f>
        <v>0</v>
      </c>
      <c r="C36" s="45">
        <f>+'مركز التجهيزات'!C12</f>
        <v>0</v>
      </c>
      <c r="D36" s="45">
        <f>+'مركز التجهيزات'!D12</f>
        <v>0</v>
      </c>
      <c r="E36" s="45">
        <f>+'مركز التجهيزات'!E12</f>
        <v>0</v>
      </c>
      <c r="F36" s="46">
        <f>+'مركز التجهيزات'!F12</f>
        <v>0</v>
      </c>
      <c r="G36" s="46">
        <f>+'مركز التجهيزات'!G12</f>
        <v>0</v>
      </c>
      <c r="H36" s="46">
        <f>+'مركز التجهيزات'!H12</f>
        <v>0</v>
      </c>
      <c r="I36" s="46">
        <f>+'مركز التجهيزات'!I12</f>
        <v>0</v>
      </c>
      <c r="J36" s="46">
        <f>+'مركز التجهيزات'!J12</f>
        <v>0</v>
      </c>
      <c r="K36" s="46">
        <f>+'مركز التجهيزات'!K12</f>
        <v>0</v>
      </c>
      <c r="L36" s="46">
        <f>+'مركز التجهيزات'!L12</f>
        <v>0</v>
      </c>
      <c r="M36" s="46">
        <f>+'مركز التجهيزات'!M12</f>
        <v>0</v>
      </c>
      <c r="N36" s="46">
        <f>+'مركز التجهيزات'!N12</f>
        <v>0</v>
      </c>
      <c r="O36" s="46">
        <f>+'مركز التجهيزات'!O12</f>
        <v>0</v>
      </c>
      <c r="P36" s="46">
        <f>+'مركز التجهيزات'!P12</f>
        <v>0</v>
      </c>
      <c r="Q36" s="46">
        <f>+'مركز التجهيزات'!Q12</f>
        <v>0</v>
      </c>
      <c r="R36" s="47">
        <f>+'مركز التجهيزات'!R12</f>
        <v>0</v>
      </c>
      <c r="S36" s="47">
        <f>+'مركز التجهيزات'!S12</f>
        <v>0</v>
      </c>
      <c r="T36" s="46">
        <f>+'مركز التجهيزات'!T12</f>
        <v>0</v>
      </c>
      <c r="U36" s="46">
        <f>+'مركز التجهيزات'!U12</f>
        <v>0</v>
      </c>
      <c r="V36" s="46">
        <f>+'مركز التجهيزات'!V12</f>
        <v>0</v>
      </c>
      <c r="W36" s="46">
        <f>+'مركز التجهيزات'!W12</f>
        <v>0</v>
      </c>
      <c r="X36" s="46">
        <f>+'مركز التجهيزات'!X12</f>
        <v>0</v>
      </c>
      <c r="Y36" s="46">
        <f>+'مركز التجهيزات'!Y12</f>
        <v>0</v>
      </c>
      <c r="Z36" s="46">
        <f>+'مركز التجهيزات'!Z12</f>
        <v>0</v>
      </c>
      <c r="AA36" s="46">
        <f>+'مركز التجهيزات'!AA12</f>
        <v>0</v>
      </c>
      <c r="AB36" s="46">
        <f>+'مركز التجهيزات'!AB12</f>
        <v>0</v>
      </c>
      <c r="AC36" s="46">
        <f>+'مركز التجهيزات'!AC12</f>
        <v>0</v>
      </c>
      <c r="AD36" s="46">
        <f>+'مركز التجهيزات'!AD12</f>
        <v>0</v>
      </c>
      <c r="AE36" s="46">
        <f>+'مركز التجهيزات'!AE12</f>
        <v>0</v>
      </c>
      <c r="AF36" s="46">
        <f>+'مركز التجهيزات'!AF12</f>
        <v>0</v>
      </c>
      <c r="AG36" s="46">
        <f>+'مركز التجهيزات'!AG12</f>
        <v>0</v>
      </c>
      <c r="AH36" s="46">
        <f>+'مركز التجهيزات'!AH12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+'مركز التجهيزات'!A13</f>
        <v>0</v>
      </c>
      <c r="B40" s="44">
        <f>+'مركز التجهيزات'!B13</f>
        <v>0</v>
      </c>
      <c r="C40" s="45">
        <f>+'مركز التجهيزات'!C13</f>
        <v>0</v>
      </c>
      <c r="D40" s="45">
        <f>+'مركز التجهيزات'!D13</f>
        <v>0</v>
      </c>
      <c r="E40" s="45">
        <f>+'مركز التجهيزات'!E13</f>
        <v>0</v>
      </c>
      <c r="F40" s="46">
        <f>+'مركز التجهيزات'!F13</f>
        <v>0</v>
      </c>
      <c r="G40" s="46">
        <f>+'مركز التجهيزات'!G13</f>
        <v>0</v>
      </c>
      <c r="H40" s="46">
        <f>+'مركز التجهيزات'!H13</f>
        <v>0</v>
      </c>
      <c r="I40" s="46">
        <f>+'مركز التجهيزات'!I13</f>
        <v>0</v>
      </c>
      <c r="J40" s="46">
        <f>+'مركز التجهيزات'!J13</f>
        <v>0</v>
      </c>
      <c r="K40" s="46">
        <f>+'مركز التجهيزات'!K13</f>
        <v>0</v>
      </c>
      <c r="L40" s="46">
        <f>+'مركز التجهيزات'!L13</f>
        <v>0</v>
      </c>
      <c r="M40" s="46">
        <f>+'مركز التجهيزات'!M13</f>
        <v>0</v>
      </c>
      <c r="N40" s="46">
        <f>+'مركز التجهيزات'!N13</f>
        <v>0</v>
      </c>
      <c r="O40" s="46">
        <f>+'مركز التجهيزات'!O13</f>
        <v>0</v>
      </c>
      <c r="P40" s="46">
        <f>+'مركز التجهيزات'!P13</f>
        <v>0</v>
      </c>
      <c r="Q40" s="46">
        <f>+'مركز التجهيزات'!Q13</f>
        <v>0</v>
      </c>
      <c r="R40" s="47">
        <f>+'مركز التجهيزات'!R13</f>
        <v>0</v>
      </c>
      <c r="S40" s="47">
        <f>+'مركز التجهيزات'!S13</f>
        <v>0</v>
      </c>
      <c r="T40" s="46">
        <f>+'مركز التجهيزات'!T13</f>
        <v>0</v>
      </c>
      <c r="U40" s="46">
        <f>+'مركز التجهيزات'!U13</f>
        <v>0</v>
      </c>
      <c r="V40" s="46">
        <f>+'مركز التجهيزات'!V13</f>
        <v>0</v>
      </c>
      <c r="W40" s="46">
        <f>+'مركز التجهيزات'!W13</f>
        <v>0</v>
      </c>
      <c r="X40" s="46">
        <f>+'مركز التجهيزات'!X13</f>
        <v>0</v>
      </c>
      <c r="Y40" s="46">
        <f>+'مركز التجهيزات'!Y13</f>
        <v>0</v>
      </c>
      <c r="Z40" s="46">
        <f>+'مركز التجهيزات'!Z13</f>
        <v>0</v>
      </c>
      <c r="AA40" s="46">
        <f>+'مركز التجهيزات'!AA13</f>
        <v>0</v>
      </c>
      <c r="AB40" s="46">
        <f>+'مركز التجهيزات'!AB13</f>
        <v>0</v>
      </c>
      <c r="AC40" s="46">
        <f>+'مركز التجهيزات'!AC13</f>
        <v>0</v>
      </c>
      <c r="AD40" s="46">
        <f>+'مركز التجهيزات'!AD13</f>
        <v>0</v>
      </c>
      <c r="AE40" s="46">
        <f>+'مركز التجهيزات'!AE13</f>
        <v>0</v>
      </c>
      <c r="AF40" s="46">
        <f>+'مركز التجهيزات'!AF13</f>
        <v>0</v>
      </c>
      <c r="AG40" s="46">
        <f>+'مركز التجهيزات'!AG13</f>
        <v>0</v>
      </c>
      <c r="AH40" s="46">
        <f>+'مركز التجهيزات'!AH13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+'مركز التجهيزات'!A14</f>
        <v>0</v>
      </c>
      <c r="B44" s="44">
        <f>+'مركز التجهيزات'!B14</f>
        <v>0</v>
      </c>
      <c r="C44" s="45">
        <f>+'مركز التجهيزات'!C14</f>
        <v>0</v>
      </c>
      <c r="D44" s="45">
        <f>+'مركز التجهيزات'!D14</f>
        <v>0</v>
      </c>
      <c r="E44" s="45">
        <f>+'مركز التجهيزات'!E14</f>
        <v>0</v>
      </c>
      <c r="F44" s="46">
        <f>+'مركز التجهيزات'!F14</f>
        <v>0</v>
      </c>
      <c r="G44" s="46">
        <f>+'مركز التجهيزات'!G14</f>
        <v>0</v>
      </c>
      <c r="H44" s="46">
        <f>+'مركز التجهيزات'!H14</f>
        <v>0</v>
      </c>
      <c r="I44" s="46">
        <f>+'مركز التجهيزات'!I14</f>
        <v>0</v>
      </c>
      <c r="J44" s="46">
        <f>+'مركز التجهيزات'!J14</f>
        <v>0</v>
      </c>
      <c r="K44" s="46">
        <f>+'مركز التجهيزات'!K14</f>
        <v>0</v>
      </c>
      <c r="L44" s="46">
        <f>+'مركز التجهيزات'!L14</f>
        <v>0</v>
      </c>
      <c r="M44" s="46">
        <f>+'مركز التجهيزات'!M14</f>
        <v>0</v>
      </c>
      <c r="N44" s="46">
        <f>+'مركز التجهيزات'!N14</f>
        <v>0</v>
      </c>
      <c r="O44" s="46">
        <f>+'مركز التجهيزات'!O14</f>
        <v>0</v>
      </c>
      <c r="P44" s="46">
        <f>+'مركز التجهيزات'!P14</f>
        <v>0</v>
      </c>
      <c r="Q44" s="46">
        <f>+'مركز التجهيزات'!Q14</f>
        <v>0</v>
      </c>
      <c r="R44" s="47">
        <f>+'مركز التجهيزات'!R14</f>
        <v>0</v>
      </c>
      <c r="S44" s="47">
        <f>+'مركز التجهيزات'!S14</f>
        <v>0</v>
      </c>
      <c r="T44" s="46">
        <f>+'مركز التجهيزات'!T14</f>
        <v>0</v>
      </c>
      <c r="U44" s="46">
        <f>+'مركز التجهيزات'!U14</f>
        <v>0</v>
      </c>
      <c r="V44" s="46">
        <f>+'مركز التجهيزات'!V14</f>
        <v>0</v>
      </c>
      <c r="W44" s="46">
        <f>+'مركز التجهيزات'!W14</f>
        <v>0</v>
      </c>
      <c r="X44" s="46">
        <f>+'مركز التجهيزات'!X14</f>
        <v>0</v>
      </c>
      <c r="Y44" s="46">
        <f>+'مركز التجهيزات'!Y14</f>
        <v>0</v>
      </c>
      <c r="Z44" s="46">
        <f>+'مركز التجهيزات'!Z14</f>
        <v>0</v>
      </c>
      <c r="AA44" s="46">
        <f>+'مركز التجهيزات'!AA14</f>
        <v>0</v>
      </c>
      <c r="AB44" s="46">
        <f>+'مركز التجهيزات'!AB14</f>
        <v>0</v>
      </c>
      <c r="AC44" s="46">
        <f>+'مركز التجهيزات'!AC14</f>
        <v>0</v>
      </c>
      <c r="AD44" s="46">
        <f>+'مركز التجهيزات'!AD14</f>
        <v>0</v>
      </c>
      <c r="AE44" s="46">
        <f>+'مركز التجهيزات'!AE14</f>
        <v>0</v>
      </c>
      <c r="AF44" s="46">
        <f>+'مركز التجهيزات'!AF14</f>
        <v>0</v>
      </c>
      <c r="AG44" s="46">
        <f>+'مركز التجهيزات'!AG14</f>
        <v>0</v>
      </c>
      <c r="AH44" s="46">
        <f>+'مركز التجهيزات'!AH14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+'مركز التجهيزات'!A15</f>
        <v>0</v>
      </c>
      <c r="B48" s="44">
        <f>+'مركز التجهيزات'!B15</f>
        <v>0</v>
      </c>
      <c r="C48" s="45">
        <f>+'مركز التجهيزات'!C15</f>
        <v>0</v>
      </c>
      <c r="D48" s="45">
        <f>+'مركز التجهيزات'!D15</f>
        <v>0</v>
      </c>
      <c r="E48" s="45">
        <f>+'مركز التجهيزات'!E15</f>
        <v>0</v>
      </c>
      <c r="F48" s="46">
        <f>+'مركز التجهيزات'!F15</f>
        <v>0</v>
      </c>
      <c r="G48" s="46">
        <f>+'مركز التجهيزات'!G15</f>
        <v>0</v>
      </c>
      <c r="H48" s="46">
        <f>+'مركز التجهيزات'!H15</f>
        <v>0</v>
      </c>
      <c r="I48" s="46">
        <f>+'مركز التجهيزات'!I15</f>
        <v>0</v>
      </c>
      <c r="J48" s="46">
        <f>+'مركز التجهيزات'!J15</f>
        <v>0</v>
      </c>
      <c r="K48" s="46">
        <f>+'مركز التجهيزات'!K15</f>
        <v>0</v>
      </c>
      <c r="L48" s="46">
        <f>+'مركز التجهيزات'!L15</f>
        <v>0</v>
      </c>
      <c r="M48" s="46">
        <f>+'مركز التجهيزات'!M15</f>
        <v>0</v>
      </c>
      <c r="N48" s="46">
        <f>+'مركز التجهيزات'!N15</f>
        <v>0</v>
      </c>
      <c r="O48" s="46">
        <f>+'مركز التجهيزات'!O15</f>
        <v>0</v>
      </c>
      <c r="P48" s="46">
        <f>+'مركز التجهيزات'!P15</f>
        <v>0</v>
      </c>
      <c r="Q48" s="46">
        <f>+'مركز التجهيزات'!Q15</f>
        <v>0</v>
      </c>
      <c r="R48" s="47">
        <f>+'مركز التجهيزات'!R15</f>
        <v>0</v>
      </c>
      <c r="S48" s="47">
        <f>+'مركز التجهيزات'!S15</f>
        <v>0</v>
      </c>
      <c r="T48" s="46">
        <f>+'مركز التجهيزات'!T15</f>
        <v>0</v>
      </c>
      <c r="U48" s="46">
        <f>+'مركز التجهيزات'!U15</f>
        <v>0</v>
      </c>
      <c r="V48" s="46">
        <f>+'مركز التجهيزات'!V15</f>
        <v>0</v>
      </c>
      <c r="W48" s="46">
        <f>+'مركز التجهيزات'!W15</f>
        <v>0</v>
      </c>
      <c r="X48" s="46">
        <f>+'مركز التجهيزات'!X15</f>
        <v>0</v>
      </c>
      <c r="Y48" s="46">
        <f>+'مركز التجهيزات'!Y15</f>
        <v>0</v>
      </c>
      <c r="Z48" s="46">
        <f>+'مركز التجهيزات'!Z15</f>
        <v>0</v>
      </c>
      <c r="AA48" s="46">
        <f>+'مركز التجهيزات'!AA15</f>
        <v>0</v>
      </c>
      <c r="AB48" s="46">
        <f>+'مركز التجهيزات'!AB15</f>
        <v>0</v>
      </c>
      <c r="AC48" s="46">
        <f>+'مركز التجهيزات'!AC15</f>
        <v>0</v>
      </c>
      <c r="AD48" s="46">
        <f>+'مركز التجهيزات'!AD15</f>
        <v>0</v>
      </c>
      <c r="AE48" s="46">
        <f>+'مركز التجهيزات'!AE15</f>
        <v>0</v>
      </c>
      <c r="AF48" s="46">
        <f>+'مركز التجهيزات'!AF15</f>
        <v>0</v>
      </c>
      <c r="AG48" s="46">
        <f>+'مركز التجهيزات'!AG15</f>
        <v>0</v>
      </c>
      <c r="AH48" s="46">
        <f>+'مركز التجهيزات'!AH15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+'مركز التجهيزات'!A16</f>
        <v>0</v>
      </c>
      <c r="B52" s="44">
        <f>+'مركز التجهيزات'!B16</f>
        <v>0</v>
      </c>
      <c r="C52" s="45">
        <f>+'مركز التجهيزات'!C16</f>
        <v>0</v>
      </c>
      <c r="D52" s="45">
        <f>+'مركز التجهيزات'!D16</f>
        <v>0</v>
      </c>
      <c r="E52" s="45">
        <f>+'مركز التجهيزات'!E16</f>
        <v>0</v>
      </c>
      <c r="F52" s="46">
        <f>+'مركز التجهيزات'!F16</f>
        <v>0</v>
      </c>
      <c r="G52" s="46">
        <f>+'مركز التجهيزات'!G16</f>
        <v>0</v>
      </c>
      <c r="H52" s="46">
        <f>+'مركز التجهيزات'!H16</f>
        <v>0</v>
      </c>
      <c r="I52" s="46">
        <f>+'مركز التجهيزات'!I16</f>
        <v>0</v>
      </c>
      <c r="J52" s="46">
        <f>+'مركز التجهيزات'!J16</f>
        <v>0</v>
      </c>
      <c r="K52" s="46">
        <f>+'مركز التجهيزات'!K16</f>
        <v>0</v>
      </c>
      <c r="L52" s="46">
        <f>+'مركز التجهيزات'!L16</f>
        <v>0</v>
      </c>
      <c r="M52" s="46">
        <f>+'مركز التجهيزات'!M16</f>
        <v>0</v>
      </c>
      <c r="N52" s="46">
        <f>+'مركز التجهيزات'!N16</f>
        <v>0</v>
      </c>
      <c r="O52" s="46">
        <f>+'مركز التجهيزات'!O16</f>
        <v>0</v>
      </c>
      <c r="P52" s="46">
        <f>+'مركز التجهيزات'!P16</f>
        <v>0</v>
      </c>
      <c r="Q52" s="46">
        <f>+'مركز التجهيزات'!Q16</f>
        <v>0</v>
      </c>
      <c r="R52" s="47">
        <f>+'مركز التجهيزات'!R16</f>
        <v>0</v>
      </c>
      <c r="S52" s="47">
        <f>+'مركز التجهيزات'!S16</f>
        <v>0</v>
      </c>
      <c r="T52" s="46">
        <f>+'مركز التجهيزات'!T16</f>
        <v>0</v>
      </c>
      <c r="U52" s="46">
        <f>+'مركز التجهيزات'!U16</f>
        <v>0</v>
      </c>
      <c r="V52" s="46">
        <f>+'مركز التجهيزات'!V16</f>
        <v>0</v>
      </c>
      <c r="W52" s="46">
        <f>+'مركز التجهيزات'!W16</f>
        <v>0</v>
      </c>
      <c r="X52" s="46">
        <f>+'مركز التجهيزات'!X16</f>
        <v>0</v>
      </c>
      <c r="Y52" s="46">
        <f>+'مركز التجهيزات'!Y16</f>
        <v>0</v>
      </c>
      <c r="Z52" s="46">
        <f>+'مركز التجهيزات'!Z16</f>
        <v>0</v>
      </c>
      <c r="AA52" s="46">
        <f>+'مركز التجهيزات'!AA16</f>
        <v>0</v>
      </c>
      <c r="AB52" s="46">
        <f>+'مركز التجهيزات'!AB16</f>
        <v>0</v>
      </c>
      <c r="AC52" s="46">
        <f>+'مركز التجهيزات'!AC16</f>
        <v>0</v>
      </c>
      <c r="AD52" s="46">
        <f>+'مركز التجهيزات'!AD16</f>
        <v>0</v>
      </c>
      <c r="AE52" s="46">
        <f>+'مركز التجهيزات'!AE16</f>
        <v>0</v>
      </c>
      <c r="AF52" s="46">
        <f>+'مركز التجهيزات'!AF16</f>
        <v>0</v>
      </c>
      <c r="AG52" s="46">
        <f>+'مركز التجهيزات'!AG16</f>
        <v>0</v>
      </c>
      <c r="AH52" s="46">
        <f>+'مركز التجهيزات'!AH16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+'مركز التجهيزات'!A17</f>
        <v>0</v>
      </c>
      <c r="B56" s="44">
        <f>+'مركز التجهيزات'!B17</f>
        <v>0</v>
      </c>
      <c r="C56" s="45">
        <f>+'مركز التجهيزات'!C17</f>
        <v>0</v>
      </c>
      <c r="D56" s="45">
        <f>+'مركز التجهيزات'!D17</f>
        <v>0</v>
      </c>
      <c r="E56" s="45">
        <f>+'مركز التجهيزات'!E17</f>
        <v>0</v>
      </c>
      <c r="F56" s="46">
        <f>+'مركز التجهيزات'!F17</f>
        <v>0</v>
      </c>
      <c r="G56" s="46">
        <f>+'مركز التجهيزات'!G17</f>
        <v>0</v>
      </c>
      <c r="H56" s="46">
        <f>+'مركز التجهيزات'!H17</f>
        <v>0</v>
      </c>
      <c r="I56" s="46">
        <f>+'مركز التجهيزات'!I17</f>
        <v>0</v>
      </c>
      <c r="J56" s="46">
        <f>+'مركز التجهيزات'!J17</f>
        <v>0</v>
      </c>
      <c r="K56" s="46">
        <f>+'مركز التجهيزات'!K17</f>
        <v>0</v>
      </c>
      <c r="L56" s="46">
        <f>+'مركز التجهيزات'!L17</f>
        <v>0</v>
      </c>
      <c r="M56" s="46">
        <f>+'مركز التجهيزات'!M17</f>
        <v>0</v>
      </c>
      <c r="N56" s="46">
        <f>+'مركز التجهيزات'!N17</f>
        <v>0</v>
      </c>
      <c r="O56" s="46">
        <f>+'مركز التجهيزات'!O17</f>
        <v>0</v>
      </c>
      <c r="P56" s="46">
        <f>+'مركز التجهيزات'!P17</f>
        <v>0</v>
      </c>
      <c r="Q56" s="46">
        <f>+'مركز التجهيزات'!Q17</f>
        <v>0</v>
      </c>
      <c r="R56" s="47">
        <f>+'مركز التجهيزات'!R17</f>
        <v>0</v>
      </c>
      <c r="S56" s="47">
        <f>+'مركز التجهيزات'!S17</f>
        <v>0</v>
      </c>
      <c r="T56" s="46">
        <f>+'مركز التجهيزات'!T17</f>
        <v>0</v>
      </c>
      <c r="U56" s="46">
        <f>+'مركز التجهيزات'!U17</f>
        <v>0</v>
      </c>
      <c r="V56" s="46">
        <f>+'مركز التجهيزات'!V17</f>
        <v>0</v>
      </c>
      <c r="W56" s="46">
        <f>+'مركز التجهيزات'!W17</f>
        <v>0</v>
      </c>
      <c r="X56" s="46">
        <f>+'مركز التجهيزات'!X17</f>
        <v>0</v>
      </c>
      <c r="Y56" s="46">
        <f>+'مركز التجهيزات'!Y17</f>
        <v>0</v>
      </c>
      <c r="Z56" s="46">
        <f>+'مركز التجهيزات'!Z17</f>
        <v>0</v>
      </c>
      <c r="AA56" s="46">
        <f>+'مركز التجهيزات'!AA17</f>
        <v>0</v>
      </c>
      <c r="AB56" s="46">
        <f>+'مركز التجهيزات'!AB17</f>
        <v>0</v>
      </c>
      <c r="AC56" s="46">
        <f>+'مركز التجهيزات'!AC17</f>
        <v>0</v>
      </c>
      <c r="AD56" s="46">
        <f>+'مركز التجهيزات'!AD17</f>
        <v>0</v>
      </c>
      <c r="AE56" s="46">
        <f>+'مركز التجهيزات'!AE17</f>
        <v>0</v>
      </c>
      <c r="AF56" s="46">
        <f>+'مركز التجهيزات'!AF17</f>
        <v>0</v>
      </c>
      <c r="AG56" s="46">
        <f>+'مركز التجهيزات'!AG17</f>
        <v>0</v>
      </c>
      <c r="AH56" s="46">
        <f>+'مركز التجهيزات'!AH17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+'مركز التجهيزات'!A18</f>
        <v>0</v>
      </c>
      <c r="B60" s="44">
        <f>+'مركز التجهيزات'!B18</f>
        <v>0</v>
      </c>
      <c r="C60" s="45">
        <f>+'مركز التجهيزات'!C18</f>
        <v>0</v>
      </c>
      <c r="D60" s="45">
        <f>+'مركز التجهيزات'!D18</f>
        <v>0</v>
      </c>
      <c r="E60" s="45">
        <f>+'مركز التجهيزات'!E18</f>
        <v>0</v>
      </c>
      <c r="F60" s="46">
        <f>+'مركز التجهيزات'!F18</f>
        <v>0</v>
      </c>
      <c r="G60" s="46">
        <f>+'مركز التجهيزات'!G18</f>
        <v>0</v>
      </c>
      <c r="H60" s="46">
        <f>+'مركز التجهيزات'!H18</f>
        <v>0</v>
      </c>
      <c r="I60" s="46">
        <f>+'مركز التجهيزات'!I18</f>
        <v>0</v>
      </c>
      <c r="J60" s="46">
        <f>+'مركز التجهيزات'!J18</f>
        <v>0</v>
      </c>
      <c r="K60" s="46">
        <f>+'مركز التجهيزات'!K18</f>
        <v>0</v>
      </c>
      <c r="L60" s="46">
        <f>+'مركز التجهيزات'!L18</f>
        <v>0</v>
      </c>
      <c r="M60" s="46">
        <f>+'مركز التجهيزات'!M18</f>
        <v>0</v>
      </c>
      <c r="N60" s="46">
        <f>+'مركز التجهيزات'!N18</f>
        <v>0</v>
      </c>
      <c r="O60" s="46">
        <f>+'مركز التجهيزات'!O18</f>
        <v>0</v>
      </c>
      <c r="P60" s="46">
        <f>+'مركز التجهيزات'!P18</f>
        <v>0</v>
      </c>
      <c r="Q60" s="46">
        <f>+'مركز التجهيزات'!Q18</f>
        <v>0</v>
      </c>
      <c r="R60" s="47">
        <f>+'مركز التجهيزات'!R18</f>
        <v>0</v>
      </c>
      <c r="S60" s="47">
        <f>+'مركز التجهيزات'!S18</f>
        <v>0</v>
      </c>
      <c r="T60" s="46">
        <f>+'مركز التجهيزات'!T18</f>
        <v>0</v>
      </c>
      <c r="U60" s="46">
        <f>+'مركز التجهيزات'!U18</f>
        <v>0</v>
      </c>
      <c r="V60" s="46">
        <f>+'مركز التجهيزات'!V18</f>
        <v>0</v>
      </c>
      <c r="W60" s="46">
        <f>+'مركز التجهيزات'!W18</f>
        <v>0</v>
      </c>
      <c r="X60" s="46">
        <f>+'مركز التجهيزات'!X18</f>
        <v>0</v>
      </c>
      <c r="Y60" s="46">
        <f>+'مركز التجهيزات'!Y18</f>
        <v>0</v>
      </c>
      <c r="Z60" s="46">
        <f>+'مركز التجهيزات'!Z18</f>
        <v>0</v>
      </c>
      <c r="AA60" s="46">
        <f>+'مركز التجهيزات'!AA18</f>
        <v>0</v>
      </c>
      <c r="AB60" s="46">
        <f>+'مركز التجهيزات'!AB18</f>
        <v>0</v>
      </c>
      <c r="AC60" s="46">
        <f>+'مركز التجهيزات'!AC18</f>
        <v>0</v>
      </c>
      <c r="AD60" s="46">
        <f>+'مركز التجهيزات'!AD18</f>
        <v>0</v>
      </c>
      <c r="AE60" s="46">
        <f>+'مركز التجهيزات'!AE18</f>
        <v>0</v>
      </c>
      <c r="AF60" s="46">
        <f>+'مركز التجهيزات'!AF18</f>
        <v>0</v>
      </c>
      <c r="AG60" s="46">
        <f>+'مركز التجهيزات'!AG18</f>
        <v>0</v>
      </c>
      <c r="AH60" s="46">
        <f>+'مركز التجهيزات'!AH18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+'مركز التجهيزات'!A19</f>
        <v>0</v>
      </c>
      <c r="B64" s="44">
        <f>+'مركز التجهيزات'!B19</f>
        <v>0</v>
      </c>
      <c r="C64" s="45">
        <f>+'مركز التجهيزات'!C19</f>
        <v>0</v>
      </c>
      <c r="D64" s="45">
        <f>+'مركز التجهيزات'!D19</f>
        <v>0</v>
      </c>
      <c r="E64" s="45">
        <f>+'مركز التجهيزات'!E19</f>
        <v>0</v>
      </c>
      <c r="F64" s="46">
        <f>+'مركز التجهيزات'!F19</f>
        <v>0</v>
      </c>
      <c r="G64" s="46">
        <f>+'مركز التجهيزات'!G19</f>
        <v>0</v>
      </c>
      <c r="H64" s="46">
        <f>+'مركز التجهيزات'!H19</f>
        <v>0</v>
      </c>
      <c r="I64" s="46">
        <f>+'مركز التجهيزات'!I19</f>
        <v>0</v>
      </c>
      <c r="J64" s="46">
        <f>+'مركز التجهيزات'!J19</f>
        <v>0</v>
      </c>
      <c r="K64" s="46">
        <f>+'مركز التجهيزات'!K19</f>
        <v>0</v>
      </c>
      <c r="L64" s="46">
        <f>+'مركز التجهيزات'!L19</f>
        <v>0</v>
      </c>
      <c r="M64" s="46">
        <f>+'مركز التجهيزات'!M19</f>
        <v>0</v>
      </c>
      <c r="N64" s="46">
        <f>+'مركز التجهيزات'!N19</f>
        <v>0</v>
      </c>
      <c r="O64" s="46">
        <f>+'مركز التجهيزات'!O19</f>
        <v>0</v>
      </c>
      <c r="P64" s="46">
        <f>+'مركز التجهيزات'!P19</f>
        <v>0</v>
      </c>
      <c r="Q64" s="46">
        <f>+'مركز التجهيزات'!Q19</f>
        <v>0</v>
      </c>
      <c r="R64" s="47">
        <f>+'مركز التجهيزات'!R19</f>
        <v>0</v>
      </c>
      <c r="S64" s="47">
        <f>+'مركز التجهيزات'!S19</f>
        <v>0</v>
      </c>
      <c r="T64" s="46">
        <f>+'مركز التجهيزات'!T19</f>
        <v>0</v>
      </c>
      <c r="U64" s="46">
        <f>+'مركز التجهيزات'!U19</f>
        <v>0</v>
      </c>
      <c r="V64" s="46">
        <f>+'مركز التجهيزات'!V19</f>
        <v>0</v>
      </c>
      <c r="W64" s="46">
        <f>+'مركز التجهيزات'!W19</f>
        <v>0</v>
      </c>
      <c r="X64" s="46">
        <f>+'مركز التجهيزات'!X19</f>
        <v>0</v>
      </c>
      <c r="Y64" s="46">
        <f>+'مركز التجهيزات'!Y19</f>
        <v>0</v>
      </c>
      <c r="Z64" s="46">
        <f>+'مركز التجهيزات'!Z19</f>
        <v>0</v>
      </c>
      <c r="AA64" s="46">
        <f>+'مركز التجهيزات'!AA19</f>
        <v>0</v>
      </c>
      <c r="AB64" s="46">
        <f>+'مركز التجهيزات'!AB19</f>
        <v>0</v>
      </c>
      <c r="AC64" s="46">
        <f>+'مركز التجهيزات'!AC19</f>
        <v>0</v>
      </c>
      <c r="AD64" s="46">
        <f>+'مركز التجهيزات'!AD19</f>
        <v>0</v>
      </c>
      <c r="AE64" s="46">
        <f>+'مركز التجهيزات'!AE19</f>
        <v>0</v>
      </c>
      <c r="AF64" s="46">
        <f>+'مركز التجهيزات'!AF19</f>
        <v>0</v>
      </c>
      <c r="AG64" s="46">
        <f>+'مركز التجهيزات'!AG19</f>
        <v>0</v>
      </c>
      <c r="AH64" s="46">
        <f>+'مركز التجهيزات'!AH19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+'مركز التجهيزات'!A20</f>
        <v>0</v>
      </c>
      <c r="B68" s="44">
        <f>+'مركز التجهيزات'!B20</f>
        <v>0</v>
      </c>
      <c r="C68" s="45">
        <f>+'مركز التجهيزات'!C20</f>
        <v>0</v>
      </c>
      <c r="D68" s="45">
        <f>+'مركز التجهيزات'!D20</f>
        <v>0</v>
      </c>
      <c r="E68" s="45">
        <f>+'مركز التجهيزات'!E20</f>
        <v>0</v>
      </c>
      <c r="F68" s="46">
        <f>+'مركز التجهيزات'!F20</f>
        <v>0</v>
      </c>
      <c r="G68" s="46">
        <f>+'مركز التجهيزات'!G20</f>
        <v>0</v>
      </c>
      <c r="H68" s="46">
        <f>+'مركز التجهيزات'!H20</f>
        <v>0</v>
      </c>
      <c r="I68" s="46">
        <f>+'مركز التجهيزات'!I20</f>
        <v>0</v>
      </c>
      <c r="J68" s="46">
        <f>+'مركز التجهيزات'!J20</f>
        <v>0</v>
      </c>
      <c r="K68" s="46">
        <f>+'مركز التجهيزات'!K20</f>
        <v>0</v>
      </c>
      <c r="L68" s="46">
        <f>+'مركز التجهيزات'!L20</f>
        <v>0</v>
      </c>
      <c r="M68" s="46">
        <f>+'مركز التجهيزات'!M20</f>
        <v>0</v>
      </c>
      <c r="N68" s="46">
        <f>+'مركز التجهيزات'!N20</f>
        <v>0</v>
      </c>
      <c r="O68" s="46">
        <f>+'مركز التجهيزات'!O20</f>
        <v>0</v>
      </c>
      <c r="P68" s="46">
        <f>+'مركز التجهيزات'!P20</f>
        <v>0</v>
      </c>
      <c r="Q68" s="46">
        <f>+'مركز التجهيزات'!Q20</f>
        <v>0</v>
      </c>
      <c r="R68" s="47">
        <f>+'مركز التجهيزات'!R20</f>
        <v>0</v>
      </c>
      <c r="S68" s="47">
        <f>+'مركز التجهيزات'!S20</f>
        <v>0</v>
      </c>
      <c r="T68" s="46">
        <f>+'مركز التجهيزات'!T20</f>
        <v>0</v>
      </c>
      <c r="U68" s="46">
        <f>+'مركز التجهيزات'!U20</f>
        <v>0</v>
      </c>
      <c r="V68" s="46">
        <f>+'مركز التجهيزات'!V20</f>
        <v>0</v>
      </c>
      <c r="W68" s="46">
        <f>+'مركز التجهيزات'!W20</f>
        <v>0</v>
      </c>
      <c r="X68" s="46">
        <f>+'مركز التجهيزات'!X20</f>
        <v>0</v>
      </c>
      <c r="Y68" s="46">
        <f>+'مركز التجهيزات'!Y20</f>
        <v>0</v>
      </c>
      <c r="Z68" s="46">
        <f>+'مركز التجهيزات'!Z20</f>
        <v>0</v>
      </c>
      <c r="AA68" s="46">
        <f>+'مركز التجهيزات'!AA20</f>
        <v>0</v>
      </c>
      <c r="AB68" s="46">
        <f>+'مركز التجهيزات'!AB20</f>
        <v>0</v>
      </c>
      <c r="AC68" s="46">
        <f>+'مركز التجهيزات'!AC20</f>
        <v>0</v>
      </c>
      <c r="AD68" s="46">
        <f>+'مركز التجهيزات'!AD20</f>
        <v>0</v>
      </c>
      <c r="AE68" s="46">
        <f>+'مركز التجهيزات'!AE20</f>
        <v>0</v>
      </c>
      <c r="AF68" s="46">
        <f>+'مركز التجهيزات'!AF20</f>
        <v>0</v>
      </c>
      <c r="AG68" s="46">
        <f>+'مركز التجهيزات'!AG20</f>
        <v>0</v>
      </c>
      <c r="AH68" s="46">
        <f>+'مركز التجهيزات'!AH20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+'مركز التجهيزات'!A21</f>
        <v>0</v>
      </c>
      <c r="B72" s="44">
        <f>+'مركز التجهيزات'!B21</f>
        <v>0</v>
      </c>
      <c r="C72" s="45">
        <f>+'مركز التجهيزات'!C21</f>
        <v>0</v>
      </c>
      <c r="D72" s="45">
        <f>+'مركز التجهيزات'!D21</f>
        <v>0</v>
      </c>
      <c r="E72" s="45">
        <f>+'مركز التجهيزات'!E21</f>
        <v>0</v>
      </c>
      <c r="F72" s="46">
        <f>+'مركز التجهيزات'!F21</f>
        <v>0</v>
      </c>
      <c r="G72" s="46">
        <f>+'مركز التجهيزات'!G21</f>
        <v>0</v>
      </c>
      <c r="H72" s="46">
        <f>+'مركز التجهيزات'!H21</f>
        <v>0</v>
      </c>
      <c r="I72" s="46">
        <f>+'مركز التجهيزات'!I21</f>
        <v>0</v>
      </c>
      <c r="J72" s="46">
        <f>+'مركز التجهيزات'!J21</f>
        <v>0</v>
      </c>
      <c r="K72" s="46">
        <f>+'مركز التجهيزات'!K21</f>
        <v>0</v>
      </c>
      <c r="L72" s="46">
        <f>+'مركز التجهيزات'!L21</f>
        <v>0</v>
      </c>
      <c r="M72" s="46">
        <f>+'مركز التجهيزات'!M21</f>
        <v>0</v>
      </c>
      <c r="N72" s="46">
        <f>+'مركز التجهيزات'!N21</f>
        <v>0</v>
      </c>
      <c r="O72" s="46">
        <f>+'مركز التجهيزات'!O21</f>
        <v>0</v>
      </c>
      <c r="P72" s="46">
        <f>+'مركز التجهيزات'!P21</f>
        <v>0</v>
      </c>
      <c r="Q72" s="46">
        <f>+'مركز التجهيزات'!Q21</f>
        <v>0</v>
      </c>
      <c r="R72" s="47">
        <f>+'مركز التجهيزات'!R21</f>
        <v>0</v>
      </c>
      <c r="S72" s="47">
        <f>+'مركز التجهيزات'!S21</f>
        <v>0</v>
      </c>
      <c r="T72" s="46">
        <f>+'مركز التجهيزات'!T21</f>
        <v>0</v>
      </c>
      <c r="U72" s="46">
        <f>+'مركز التجهيزات'!U21</f>
        <v>0</v>
      </c>
      <c r="V72" s="46">
        <f>+'مركز التجهيزات'!V21</f>
        <v>0</v>
      </c>
      <c r="W72" s="46">
        <f>+'مركز التجهيزات'!W21</f>
        <v>0</v>
      </c>
      <c r="X72" s="46">
        <f>+'مركز التجهيزات'!X21</f>
        <v>0</v>
      </c>
      <c r="Y72" s="46">
        <f>+'مركز التجهيزات'!Y21</f>
        <v>0</v>
      </c>
      <c r="Z72" s="46">
        <f>+'مركز التجهيزات'!Z21</f>
        <v>0</v>
      </c>
      <c r="AA72" s="46">
        <f>+'مركز التجهيزات'!AA21</f>
        <v>0</v>
      </c>
      <c r="AB72" s="46">
        <f>+'مركز التجهيزات'!AB21</f>
        <v>0</v>
      </c>
      <c r="AC72" s="46">
        <f>+'مركز التجهيزات'!AC21</f>
        <v>0</v>
      </c>
      <c r="AD72" s="46">
        <f>+'مركز التجهيزات'!AD21</f>
        <v>0</v>
      </c>
      <c r="AE72" s="46">
        <f>+'مركز التجهيزات'!AE21</f>
        <v>0</v>
      </c>
      <c r="AF72" s="46">
        <f>+'مركز التجهيزات'!AF21</f>
        <v>0</v>
      </c>
      <c r="AG72" s="46">
        <f>+'مركز التجهيزات'!AG21</f>
        <v>0</v>
      </c>
      <c r="AH72" s="46">
        <f>+'مركز التجهيزات'!AH21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+'مركز التجهيزات'!A22</f>
        <v>0</v>
      </c>
      <c r="B76" s="44">
        <f>+'مركز التجهيزات'!B22</f>
        <v>0</v>
      </c>
      <c r="C76" s="45">
        <f>+'مركز التجهيزات'!C22</f>
        <v>0</v>
      </c>
      <c r="D76" s="45">
        <f>+'مركز التجهيزات'!D22</f>
        <v>0</v>
      </c>
      <c r="E76" s="45">
        <f>+'مركز التجهيزات'!E22</f>
        <v>0</v>
      </c>
      <c r="F76" s="46">
        <f>+'مركز التجهيزات'!F22</f>
        <v>0</v>
      </c>
      <c r="G76" s="46">
        <f>+'مركز التجهيزات'!G22</f>
        <v>0</v>
      </c>
      <c r="H76" s="46">
        <f>+'مركز التجهيزات'!H22</f>
        <v>0</v>
      </c>
      <c r="I76" s="46">
        <f>+'مركز التجهيزات'!I22</f>
        <v>0</v>
      </c>
      <c r="J76" s="46">
        <f>+'مركز التجهيزات'!J22</f>
        <v>0</v>
      </c>
      <c r="K76" s="46">
        <f>+'مركز التجهيزات'!K22</f>
        <v>0</v>
      </c>
      <c r="L76" s="46">
        <f>+'مركز التجهيزات'!L22</f>
        <v>0</v>
      </c>
      <c r="M76" s="46">
        <f>+'مركز التجهيزات'!M22</f>
        <v>0</v>
      </c>
      <c r="N76" s="46">
        <f>+'مركز التجهيزات'!N22</f>
        <v>0</v>
      </c>
      <c r="O76" s="46">
        <f>+'مركز التجهيزات'!O22</f>
        <v>0</v>
      </c>
      <c r="P76" s="46">
        <f>+'مركز التجهيزات'!P22</f>
        <v>0</v>
      </c>
      <c r="Q76" s="46">
        <f>+'مركز التجهيزات'!Q22</f>
        <v>0</v>
      </c>
      <c r="R76" s="47">
        <f>+'مركز التجهيزات'!R22</f>
        <v>0</v>
      </c>
      <c r="S76" s="47">
        <f>+'مركز التجهيزات'!S22</f>
        <v>0</v>
      </c>
      <c r="T76" s="46">
        <f>+'مركز التجهيزات'!T22</f>
        <v>0</v>
      </c>
      <c r="U76" s="46">
        <f>+'مركز التجهيزات'!U22</f>
        <v>0</v>
      </c>
      <c r="V76" s="46">
        <f>+'مركز التجهيزات'!V22</f>
        <v>0</v>
      </c>
      <c r="W76" s="46">
        <f>+'مركز التجهيزات'!W22</f>
        <v>0</v>
      </c>
      <c r="X76" s="46">
        <f>+'مركز التجهيزات'!X22</f>
        <v>0</v>
      </c>
      <c r="Y76" s="46">
        <f>+'مركز التجهيزات'!Y22</f>
        <v>0</v>
      </c>
      <c r="Z76" s="46">
        <f>+'مركز التجهيزات'!Z22</f>
        <v>0</v>
      </c>
      <c r="AA76" s="46">
        <f>+'مركز التجهيزات'!AA22</f>
        <v>0</v>
      </c>
      <c r="AB76" s="46">
        <f>+'مركز التجهيزات'!AB22</f>
        <v>0</v>
      </c>
      <c r="AC76" s="46">
        <f>+'مركز التجهيزات'!AC22</f>
        <v>0</v>
      </c>
      <c r="AD76" s="46">
        <f>+'مركز التجهيزات'!AD22</f>
        <v>0</v>
      </c>
      <c r="AE76" s="46">
        <f>+'مركز التجهيزات'!AE22</f>
        <v>0</v>
      </c>
      <c r="AF76" s="46">
        <f>+'مركز التجهيزات'!AF22</f>
        <v>0</v>
      </c>
      <c r="AG76" s="46">
        <f>+'مركز التجهيزات'!AG22</f>
        <v>0</v>
      </c>
      <c r="AH76" s="46">
        <f>+'مركز التجهيزات'!AH22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+'مركز التجهيزات'!A23</f>
        <v>0</v>
      </c>
      <c r="B80" s="44">
        <f>+'مركز التجهيزات'!B23</f>
        <v>0</v>
      </c>
      <c r="C80" s="45">
        <f>+'مركز التجهيزات'!C23</f>
        <v>0</v>
      </c>
      <c r="D80" s="45">
        <f>+'مركز التجهيزات'!D23</f>
        <v>0</v>
      </c>
      <c r="E80" s="45">
        <f>+'مركز التجهيزات'!E23</f>
        <v>0</v>
      </c>
      <c r="F80" s="46">
        <f>+'مركز التجهيزات'!F23</f>
        <v>0</v>
      </c>
      <c r="G80" s="46">
        <f>+'مركز التجهيزات'!G23</f>
        <v>0</v>
      </c>
      <c r="H80" s="46">
        <f>+'مركز التجهيزات'!H23</f>
        <v>0</v>
      </c>
      <c r="I80" s="46">
        <f>+'مركز التجهيزات'!I23</f>
        <v>0</v>
      </c>
      <c r="J80" s="46">
        <f>+'مركز التجهيزات'!J23</f>
        <v>0</v>
      </c>
      <c r="K80" s="46">
        <f>+'مركز التجهيزات'!K23</f>
        <v>0</v>
      </c>
      <c r="L80" s="46">
        <f>+'مركز التجهيزات'!L23</f>
        <v>0</v>
      </c>
      <c r="M80" s="46">
        <f>+'مركز التجهيزات'!M23</f>
        <v>0</v>
      </c>
      <c r="N80" s="46">
        <f>+'مركز التجهيزات'!N23</f>
        <v>0</v>
      </c>
      <c r="O80" s="46">
        <f>+'مركز التجهيزات'!O23</f>
        <v>0</v>
      </c>
      <c r="P80" s="46">
        <f>+'مركز التجهيزات'!P23</f>
        <v>0</v>
      </c>
      <c r="Q80" s="46">
        <f>+'مركز التجهيزات'!Q23</f>
        <v>0</v>
      </c>
      <c r="R80" s="47">
        <f>+'مركز التجهيزات'!R23</f>
        <v>0</v>
      </c>
      <c r="S80" s="47">
        <f>+'مركز التجهيزات'!S23</f>
        <v>0</v>
      </c>
      <c r="T80" s="46">
        <f>+'مركز التجهيزات'!T23</f>
        <v>0</v>
      </c>
      <c r="U80" s="46">
        <f>+'مركز التجهيزات'!U23</f>
        <v>0</v>
      </c>
      <c r="V80" s="46">
        <f>+'مركز التجهيزات'!V23</f>
        <v>0</v>
      </c>
      <c r="W80" s="46">
        <f>+'مركز التجهيزات'!W23</f>
        <v>0</v>
      </c>
      <c r="X80" s="46">
        <f>+'مركز التجهيزات'!X23</f>
        <v>0</v>
      </c>
      <c r="Y80" s="46">
        <f>+'مركز التجهيزات'!Y23</f>
        <v>0</v>
      </c>
      <c r="Z80" s="46">
        <f>+'مركز التجهيزات'!Z23</f>
        <v>0</v>
      </c>
      <c r="AA80" s="46">
        <f>+'مركز التجهيزات'!AA23</f>
        <v>0</v>
      </c>
      <c r="AB80" s="46">
        <f>+'مركز التجهيزات'!AB23</f>
        <v>0</v>
      </c>
      <c r="AC80" s="46">
        <f>+'مركز التجهيزات'!AC23</f>
        <v>0</v>
      </c>
      <c r="AD80" s="46">
        <f>+'مركز التجهيزات'!AD23</f>
        <v>0</v>
      </c>
      <c r="AE80" s="46">
        <f>+'مركز التجهيزات'!AE23</f>
        <v>0</v>
      </c>
      <c r="AF80" s="46">
        <f>+'مركز التجهيزات'!AF23</f>
        <v>0</v>
      </c>
      <c r="AG80" s="46">
        <f>+'مركز التجهيزات'!AG23</f>
        <v>0</v>
      </c>
      <c r="AH80" s="46">
        <f>+'مركز التجهيزات'!AH23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+'مركز التجهيزات'!A24</f>
        <v>0</v>
      </c>
      <c r="B84" s="44">
        <f>+'مركز التجهيزات'!B24</f>
        <v>0</v>
      </c>
      <c r="C84" s="45">
        <f>+'مركز التجهيزات'!C24</f>
        <v>0</v>
      </c>
      <c r="D84" s="45">
        <f>+'مركز التجهيزات'!D24</f>
        <v>0</v>
      </c>
      <c r="E84" s="45">
        <f>+'مركز التجهيزات'!E24</f>
        <v>0</v>
      </c>
      <c r="F84" s="46">
        <f>+'مركز التجهيزات'!F24</f>
        <v>0</v>
      </c>
      <c r="G84" s="46">
        <f>+'مركز التجهيزات'!G24</f>
        <v>0</v>
      </c>
      <c r="H84" s="46">
        <f>+'مركز التجهيزات'!H24</f>
        <v>0</v>
      </c>
      <c r="I84" s="46">
        <f>+'مركز التجهيزات'!I24</f>
        <v>0</v>
      </c>
      <c r="J84" s="46">
        <f>+'مركز التجهيزات'!J24</f>
        <v>0</v>
      </c>
      <c r="K84" s="46">
        <f>+'مركز التجهيزات'!K24</f>
        <v>0</v>
      </c>
      <c r="L84" s="46">
        <f>+'مركز التجهيزات'!L24</f>
        <v>0</v>
      </c>
      <c r="M84" s="46">
        <f>+'مركز التجهيزات'!M24</f>
        <v>0</v>
      </c>
      <c r="N84" s="46">
        <f>+'مركز التجهيزات'!N24</f>
        <v>0</v>
      </c>
      <c r="O84" s="46">
        <f>+'مركز التجهيزات'!O24</f>
        <v>0</v>
      </c>
      <c r="P84" s="46">
        <f>+'مركز التجهيزات'!P24</f>
        <v>0</v>
      </c>
      <c r="Q84" s="46">
        <f>+'مركز التجهيزات'!Q24</f>
        <v>0</v>
      </c>
      <c r="R84" s="47">
        <f>+'مركز التجهيزات'!R24</f>
        <v>0</v>
      </c>
      <c r="S84" s="47">
        <f>+'مركز التجهيزات'!S24</f>
        <v>0</v>
      </c>
      <c r="T84" s="46">
        <f>+'مركز التجهيزات'!T24</f>
        <v>0</v>
      </c>
      <c r="U84" s="46">
        <f>+'مركز التجهيزات'!U24</f>
        <v>0</v>
      </c>
      <c r="V84" s="46">
        <f>+'مركز التجهيزات'!V24</f>
        <v>0</v>
      </c>
      <c r="W84" s="46">
        <f>+'مركز التجهيزات'!W24</f>
        <v>0</v>
      </c>
      <c r="X84" s="46">
        <f>+'مركز التجهيزات'!X24</f>
        <v>0</v>
      </c>
      <c r="Y84" s="46">
        <f>+'مركز التجهيزات'!Y24</f>
        <v>0</v>
      </c>
      <c r="Z84" s="46">
        <f>+'مركز التجهيزات'!Z24</f>
        <v>0</v>
      </c>
      <c r="AA84" s="46">
        <f>+'مركز التجهيزات'!AA24</f>
        <v>0</v>
      </c>
      <c r="AB84" s="46">
        <f>+'مركز التجهيزات'!AB24</f>
        <v>0</v>
      </c>
      <c r="AC84" s="46">
        <f>+'مركز التجهيزات'!AC24</f>
        <v>0</v>
      </c>
      <c r="AD84" s="46">
        <f>+'مركز التجهيزات'!AD24</f>
        <v>0</v>
      </c>
      <c r="AE84" s="46">
        <f>+'مركز التجهيزات'!AE24</f>
        <v>0</v>
      </c>
      <c r="AF84" s="46">
        <f>+'مركز التجهيزات'!AF24</f>
        <v>0</v>
      </c>
      <c r="AG84" s="46">
        <f>+'مركز التجهيزات'!AG24</f>
        <v>0</v>
      </c>
      <c r="AH84" s="46">
        <f>+'مركز التجهيزات'!AH24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+'مركز التجهيزات'!A25</f>
        <v>0</v>
      </c>
      <c r="B88" s="44">
        <f>+'مركز التجهيزات'!B25</f>
        <v>0</v>
      </c>
      <c r="C88" s="45">
        <f>+'مركز التجهيزات'!C25</f>
        <v>0</v>
      </c>
      <c r="D88" s="45">
        <f>+'مركز التجهيزات'!D25</f>
        <v>0</v>
      </c>
      <c r="E88" s="45">
        <f>+'مركز التجهيزات'!E25</f>
        <v>0</v>
      </c>
      <c r="F88" s="46">
        <f>+'مركز التجهيزات'!F25</f>
        <v>0</v>
      </c>
      <c r="G88" s="46">
        <f>+'مركز التجهيزات'!G25</f>
        <v>0</v>
      </c>
      <c r="H88" s="46">
        <f>+'مركز التجهيزات'!H25</f>
        <v>0</v>
      </c>
      <c r="I88" s="46">
        <f>+'مركز التجهيزات'!I25</f>
        <v>0</v>
      </c>
      <c r="J88" s="46">
        <f>+'مركز التجهيزات'!J25</f>
        <v>0</v>
      </c>
      <c r="K88" s="46">
        <f>+'مركز التجهيزات'!K25</f>
        <v>0</v>
      </c>
      <c r="L88" s="46">
        <f>+'مركز التجهيزات'!L25</f>
        <v>0</v>
      </c>
      <c r="M88" s="46">
        <f>+'مركز التجهيزات'!M25</f>
        <v>0</v>
      </c>
      <c r="N88" s="46">
        <f>+'مركز التجهيزات'!N25</f>
        <v>0</v>
      </c>
      <c r="O88" s="46">
        <f>+'مركز التجهيزات'!O25</f>
        <v>0</v>
      </c>
      <c r="P88" s="46">
        <f>+'مركز التجهيزات'!P25</f>
        <v>0</v>
      </c>
      <c r="Q88" s="46">
        <f>+'مركز التجهيزات'!Q25</f>
        <v>0</v>
      </c>
      <c r="R88" s="47">
        <f>+'مركز التجهيزات'!R25</f>
        <v>0</v>
      </c>
      <c r="S88" s="47">
        <f>+'مركز التجهيزات'!S25</f>
        <v>0</v>
      </c>
      <c r="T88" s="46">
        <f>+'مركز التجهيزات'!T25</f>
        <v>0</v>
      </c>
      <c r="U88" s="46">
        <f>+'مركز التجهيزات'!U25</f>
        <v>0</v>
      </c>
      <c r="V88" s="46">
        <f>+'مركز التجهيزات'!V25</f>
        <v>0</v>
      </c>
      <c r="W88" s="46">
        <f>+'مركز التجهيزات'!W25</f>
        <v>0</v>
      </c>
      <c r="X88" s="46">
        <f>+'مركز التجهيزات'!X25</f>
        <v>0</v>
      </c>
      <c r="Y88" s="46">
        <f>+'مركز التجهيزات'!Y25</f>
        <v>0</v>
      </c>
      <c r="Z88" s="46">
        <f>+'مركز التجهيزات'!Z25</f>
        <v>0</v>
      </c>
      <c r="AA88" s="46">
        <f>+'مركز التجهيزات'!AA25</f>
        <v>0</v>
      </c>
      <c r="AB88" s="46">
        <f>+'مركز التجهيزات'!AB25</f>
        <v>0</v>
      </c>
      <c r="AC88" s="46">
        <f>+'مركز التجهيزات'!AC25</f>
        <v>0</v>
      </c>
      <c r="AD88" s="46">
        <f>+'مركز التجهيزات'!AD25</f>
        <v>0</v>
      </c>
      <c r="AE88" s="46">
        <f>+'مركز التجهيزات'!AE25</f>
        <v>0</v>
      </c>
      <c r="AF88" s="46">
        <f>+'مركز التجهيزات'!AF25</f>
        <v>0</v>
      </c>
      <c r="AG88" s="46">
        <f>+'مركز التجهيزات'!AG25</f>
        <v>0</v>
      </c>
      <c r="AH88" s="46">
        <f>+'مركز التجهيزات'!AH25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+'مركز التجهيزات'!A26</f>
        <v>0</v>
      </c>
      <c r="B92" s="44">
        <f>+'مركز التجهيزات'!B26</f>
        <v>0</v>
      </c>
      <c r="C92" s="45">
        <f>+'مركز التجهيزات'!C26</f>
        <v>0</v>
      </c>
      <c r="D92" s="45">
        <f>+'مركز التجهيزات'!D26</f>
        <v>0</v>
      </c>
      <c r="E92" s="45">
        <f>+'مركز التجهيزات'!E26</f>
        <v>0</v>
      </c>
      <c r="F92" s="46">
        <f>+'مركز التجهيزات'!F26</f>
        <v>0</v>
      </c>
      <c r="G92" s="46">
        <f>+'مركز التجهيزات'!G26</f>
        <v>0</v>
      </c>
      <c r="H92" s="46">
        <f>+'مركز التجهيزات'!H26</f>
        <v>0</v>
      </c>
      <c r="I92" s="46">
        <f>+'مركز التجهيزات'!I26</f>
        <v>0</v>
      </c>
      <c r="J92" s="46">
        <f>+'مركز التجهيزات'!J26</f>
        <v>0</v>
      </c>
      <c r="K92" s="46">
        <f>+'مركز التجهيزات'!K26</f>
        <v>0</v>
      </c>
      <c r="L92" s="46">
        <f>+'مركز التجهيزات'!L26</f>
        <v>0</v>
      </c>
      <c r="M92" s="46">
        <f>+'مركز التجهيزات'!M26</f>
        <v>0</v>
      </c>
      <c r="N92" s="46">
        <f>+'مركز التجهيزات'!N26</f>
        <v>0</v>
      </c>
      <c r="O92" s="46">
        <f>+'مركز التجهيزات'!O26</f>
        <v>0</v>
      </c>
      <c r="P92" s="46">
        <f>+'مركز التجهيزات'!P26</f>
        <v>0</v>
      </c>
      <c r="Q92" s="46">
        <f>+'مركز التجهيزات'!Q26</f>
        <v>0</v>
      </c>
      <c r="R92" s="47">
        <f>+'مركز التجهيزات'!R26</f>
        <v>0</v>
      </c>
      <c r="S92" s="47">
        <f>+'مركز التجهيزات'!S26</f>
        <v>0</v>
      </c>
      <c r="T92" s="46">
        <f>+'مركز التجهيزات'!T26</f>
        <v>0</v>
      </c>
      <c r="U92" s="46">
        <f>+'مركز التجهيزات'!U26</f>
        <v>0</v>
      </c>
      <c r="V92" s="46">
        <f>+'مركز التجهيزات'!V26</f>
        <v>0</v>
      </c>
      <c r="W92" s="46">
        <f>+'مركز التجهيزات'!W26</f>
        <v>0</v>
      </c>
      <c r="X92" s="46">
        <f>+'مركز التجهيزات'!X26</f>
        <v>0</v>
      </c>
      <c r="Y92" s="46">
        <f>+'مركز التجهيزات'!Y26</f>
        <v>0</v>
      </c>
      <c r="Z92" s="46">
        <f>+'مركز التجهيزات'!Z26</f>
        <v>0</v>
      </c>
      <c r="AA92" s="46">
        <f>+'مركز التجهيزات'!AA26</f>
        <v>0</v>
      </c>
      <c r="AB92" s="46">
        <f>+'مركز التجهيزات'!AB26</f>
        <v>0</v>
      </c>
      <c r="AC92" s="46">
        <f>+'مركز التجهيزات'!AC26</f>
        <v>0</v>
      </c>
      <c r="AD92" s="46">
        <f>+'مركز التجهيزات'!AD26</f>
        <v>0</v>
      </c>
      <c r="AE92" s="46">
        <f>+'مركز التجهيزات'!AE26</f>
        <v>0</v>
      </c>
      <c r="AF92" s="46">
        <f>+'مركز التجهيزات'!AF26</f>
        <v>0</v>
      </c>
      <c r="AG92" s="46">
        <f>+'مركز التجهيزات'!AG26</f>
        <v>0</v>
      </c>
      <c r="AH92" s="46">
        <f>+'مركز التجهيزات'!AH26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+'مركز التجهيزات'!A27</f>
        <v>0</v>
      </c>
      <c r="B96" s="44">
        <f>+'مركز التجهيزات'!B27</f>
        <v>0</v>
      </c>
      <c r="C96" s="45">
        <f>+'مركز التجهيزات'!C27</f>
        <v>0</v>
      </c>
      <c r="D96" s="45">
        <f>+'مركز التجهيزات'!D27</f>
        <v>0</v>
      </c>
      <c r="E96" s="45">
        <f>+'مركز التجهيزات'!E27</f>
        <v>0</v>
      </c>
      <c r="F96" s="46">
        <f>+'مركز التجهيزات'!F27</f>
        <v>0</v>
      </c>
      <c r="G96" s="46">
        <f>+'مركز التجهيزات'!G27</f>
        <v>0</v>
      </c>
      <c r="H96" s="46">
        <f>+'مركز التجهيزات'!H27</f>
        <v>0</v>
      </c>
      <c r="I96" s="46">
        <f>+'مركز التجهيزات'!I27</f>
        <v>0</v>
      </c>
      <c r="J96" s="46">
        <f>+'مركز التجهيزات'!J27</f>
        <v>0</v>
      </c>
      <c r="K96" s="46">
        <f>+'مركز التجهيزات'!K27</f>
        <v>0</v>
      </c>
      <c r="L96" s="46">
        <f>+'مركز التجهيزات'!L27</f>
        <v>0</v>
      </c>
      <c r="M96" s="46">
        <f>+'مركز التجهيزات'!M27</f>
        <v>0</v>
      </c>
      <c r="N96" s="46">
        <f>+'مركز التجهيزات'!N27</f>
        <v>0</v>
      </c>
      <c r="O96" s="46">
        <f>+'مركز التجهيزات'!O27</f>
        <v>0</v>
      </c>
      <c r="P96" s="46">
        <f>+'مركز التجهيزات'!P27</f>
        <v>0</v>
      </c>
      <c r="Q96" s="46">
        <f>+'مركز التجهيزات'!Q27</f>
        <v>0</v>
      </c>
      <c r="R96" s="47">
        <f>+'مركز التجهيزات'!R27</f>
        <v>0</v>
      </c>
      <c r="S96" s="47">
        <f>+'مركز التجهيزات'!S27</f>
        <v>0</v>
      </c>
      <c r="T96" s="46">
        <f>+'مركز التجهيزات'!T27</f>
        <v>0</v>
      </c>
      <c r="U96" s="46">
        <f>+'مركز التجهيزات'!U27</f>
        <v>0</v>
      </c>
      <c r="V96" s="46">
        <f>+'مركز التجهيزات'!V27</f>
        <v>0</v>
      </c>
      <c r="W96" s="46">
        <f>+'مركز التجهيزات'!W27</f>
        <v>0</v>
      </c>
      <c r="X96" s="46">
        <f>+'مركز التجهيزات'!X27</f>
        <v>0</v>
      </c>
      <c r="Y96" s="46">
        <f>+'مركز التجهيزات'!Y27</f>
        <v>0</v>
      </c>
      <c r="Z96" s="46">
        <f>+'مركز التجهيزات'!Z27</f>
        <v>0</v>
      </c>
      <c r="AA96" s="46">
        <f>+'مركز التجهيزات'!AA27</f>
        <v>0</v>
      </c>
      <c r="AB96" s="46">
        <f>+'مركز التجهيزات'!AB27</f>
        <v>0</v>
      </c>
      <c r="AC96" s="46">
        <f>+'مركز التجهيزات'!AC27</f>
        <v>0</v>
      </c>
      <c r="AD96" s="46">
        <f>+'مركز التجهيزات'!AD27</f>
        <v>0</v>
      </c>
      <c r="AE96" s="46">
        <f>+'مركز التجهيزات'!AE27</f>
        <v>0</v>
      </c>
      <c r="AF96" s="46">
        <f>+'مركز التجهيزات'!AF27</f>
        <v>0</v>
      </c>
      <c r="AG96" s="46">
        <f>+'مركز التجهيزات'!AG27</f>
        <v>0</v>
      </c>
      <c r="AH96" s="46">
        <f>+'مركز التجهيزات'!AH27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+'مركز التجهيزات'!A28</f>
        <v>0</v>
      </c>
      <c r="B100" s="44">
        <f>+'مركز التجهيزات'!B28</f>
        <v>0</v>
      </c>
      <c r="C100" s="45">
        <f>+'مركز التجهيزات'!C28</f>
        <v>0</v>
      </c>
      <c r="D100" s="45">
        <f>+'مركز التجهيزات'!D28</f>
        <v>0</v>
      </c>
      <c r="E100" s="45">
        <f>+'مركز التجهيزات'!E28</f>
        <v>0</v>
      </c>
      <c r="F100" s="46">
        <f>+'مركز التجهيزات'!F28</f>
        <v>0</v>
      </c>
      <c r="G100" s="46">
        <f>+'مركز التجهيزات'!G28</f>
        <v>0</v>
      </c>
      <c r="H100" s="46">
        <f>+'مركز التجهيزات'!H28</f>
        <v>0</v>
      </c>
      <c r="I100" s="46">
        <f>+'مركز التجهيزات'!I28</f>
        <v>0</v>
      </c>
      <c r="J100" s="46">
        <f>+'مركز التجهيزات'!J28</f>
        <v>0</v>
      </c>
      <c r="K100" s="46">
        <f>+'مركز التجهيزات'!K28</f>
        <v>0</v>
      </c>
      <c r="L100" s="46">
        <f>+'مركز التجهيزات'!L28</f>
        <v>0</v>
      </c>
      <c r="M100" s="46">
        <f>+'مركز التجهيزات'!M28</f>
        <v>0</v>
      </c>
      <c r="N100" s="46">
        <f>+'مركز التجهيزات'!N28</f>
        <v>0</v>
      </c>
      <c r="O100" s="46">
        <f>+'مركز التجهيزات'!O28</f>
        <v>0</v>
      </c>
      <c r="P100" s="46">
        <f>+'مركز التجهيزات'!P28</f>
        <v>0</v>
      </c>
      <c r="Q100" s="46">
        <f>+'مركز التجهيزات'!Q28</f>
        <v>0</v>
      </c>
      <c r="R100" s="47">
        <f>+'مركز التجهيزات'!R28</f>
        <v>0</v>
      </c>
      <c r="S100" s="47">
        <f>+'مركز التجهيزات'!S28</f>
        <v>0</v>
      </c>
      <c r="T100" s="46">
        <f>+'مركز التجهيزات'!T28</f>
        <v>0</v>
      </c>
      <c r="U100" s="46">
        <f>+'مركز التجهيزات'!U28</f>
        <v>0</v>
      </c>
      <c r="V100" s="46">
        <f>+'مركز التجهيزات'!V28</f>
        <v>0</v>
      </c>
      <c r="W100" s="46">
        <f>+'مركز التجهيزات'!W28</f>
        <v>0</v>
      </c>
      <c r="X100" s="46">
        <f>+'مركز التجهيزات'!X28</f>
        <v>0</v>
      </c>
      <c r="Y100" s="46">
        <f>+'مركز التجهيزات'!Y28</f>
        <v>0</v>
      </c>
      <c r="Z100" s="46">
        <f>+'مركز التجهيزات'!Z28</f>
        <v>0</v>
      </c>
      <c r="AA100" s="46">
        <f>+'مركز التجهيزات'!AA28</f>
        <v>0</v>
      </c>
      <c r="AB100" s="46">
        <f>+'مركز التجهيزات'!AB28</f>
        <v>0</v>
      </c>
      <c r="AC100" s="46">
        <f>+'مركز التجهيزات'!AC28</f>
        <v>0</v>
      </c>
      <c r="AD100" s="46">
        <f>+'مركز التجهيزات'!AD28</f>
        <v>0</v>
      </c>
      <c r="AE100" s="46">
        <f>+'مركز التجهيزات'!AE28</f>
        <v>0</v>
      </c>
      <c r="AF100" s="46">
        <f>+'مركز التجهيزات'!AF28</f>
        <v>0</v>
      </c>
      <c r="AG100" s="46">
        <f>+'مركز التجهيزات'!AG28</f>
        <v>0</v>
      </c>
      <c r="AH100" s="46">
        <f>+'مركز التجهيزات'!AH28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+'مركز التجهيزات'!A29</f>
        <v>0</v>
      </c>
      <c r="B104" s="44">
        <f>+'مركز التجهيزات'!B29</f>
        <v>0</v>
      </c>
      <c r="C104" s="45">
        <f>+'مركز التجهيزات'!C29</f>
        <v>0</v>
      </c>
      <c r="D104" s="45">
        <f>+'مركز التجهيزات'!D29</f>
        <v>0</v>
      </c>
      <c r="E104" s="45">
        <f>+'مركز التجهيزات'!E29</f>
        <v>0</v>
      </c>
      <c r="F104" s="46">
        <f>+'مركز التجهيزات'!F29</f>
        <v>0</v>
      </c>
      <c r="G104" s="46">
        <f>+'مركز التجهيزات'!G29</f>
        <v>0</v>
      </c>
      <c r="H104" s="46">
        <f>+'مركز التجهيزات'!H29</f>
        <v>0</v>
      </c>
      <c r="I104" s="46">
        <f>+'مركز التجهيزات'!I29</f>
        <v>0</v>
      </c>
      <c r="J104" s="46">
        <f>+'مركز التجهيزات'!J29</f>
        <v>0</v>
      </c>
      <c r="K104" s="46">
        <f>+'مركز التجهيزات'!K29</f>
        <v>0</v>
      </c>
      <c r="L104" s="46">
        <f>+'مركز التجهيزات'!L29</f>
        <v>0</v>
      </c>
      <c r="M104" s="46">
        <f>+'مركز التجهيزات'!M29</f>
        <v>0</v>
      </c>
      <c r="N104" s="46">
        <f>+'مركز التجهيزات'!N29</f>
        <v>0</v>
      </c>
      <c r="O104" s="46">
        <f>+'مركز التجهيزات'!O29</f>
        <v>0</v>
      </c>
      <c r="P104" s="46">
        <f>+'مركز التجهيزات'!P29</f>
        <v>0</v>
      </c>
      <c r="Q104" s="46">
        <f>+'مركز التجهيزات'!Q29</f>
        <v>0</v>
      </c>
      <c r="R104" s="47">
        <f>+'مركز التجهيزات'!R29</f>
        <v>0</v>
      </c>
      <c r="S104" s="47">
        <f>+'مركز التجهيزات'!S29</f>
        <v>0</v>
      </c>
      <c r="T104" s="46">
        <f>+'مركز التجهيزات'!T29</f>
        <v>0</v>
      </c>
      <c r="U104" s="46">
        <f>+'مركز التجهيزات'!U29</f>
        <v>0</v>
      </c>
      <c r="V104" s="46">
        <f>+'مركز التجهيزات'!V29</f>
        <v>0</v>
      </c>
      <c r="W104" s="46">
        <f>+'مركز التجهيزات'!W29</f>
        <v>0</v>
      </c>
      <c r="X104" s="46">
        <f>+'مركز التجهيزات'!X29</f>
        <v>0</v>
      </c>
      <c r="Y104" s="46">
        <f>+'مركز التجهيزات'!Y29</f>
        <v>0</v>
      </c>
      <c r="Z104" s="46">
        <f>+'مركز التجهيزات'!Z29</f>
        <v>0</v>
      </c>
      <c r="AA104" s="46">
        <f>+'مركز التجهيزات'!AA29</f>
        <v>0</v>
      </c>
      <c r="AB104" s="46">
        <f>+'مركز التجهيزات'!AB29</f>
        <v>0</v>
      </c>
      <c r="AC104" s="46">
        <f>+'مركز التجهيزات'!AC29</f>
        <v>0</v>
      </c>
      <c r="AD104" s="46">
        <f>+'مركز التجهيزات'!AD29</f>
        <v>0</v>
      </c>
      <c r="AE104" s="46">
        <f>+'مركز التجهيزات'!AE29</f>
        <v>0</v>
      </c>
      <c r="AF104" s="46">
        <f>+'مركز التجهيزات'!AF29</f>
        <v>0</v>
      </c>
      <c r="AG104" s="46">
        <f>+'مركز التجهيزات'!AG29</f>
        <v>0</v>
      </c>
      <c r="AH104" s="46">
        <f>+'مركز التجهيزات'!AH29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+'مركز التجهيزات'!A30</f>
        <v>0</v>
      </c>
      <c r="B108" s="44">
        <f>+'مركز التجهيزات'!B30</f>
        <v>0</v>
      </c>
      <c r="C108" s="45">
        <f>+'مركز التجهيزات'!C30</f>
        <v>0</v>
      </c>
      <c r="D108" s="45">
        <f>+'مركز التجهيزات'!D30</f>
        <v>0</v>
      </c>
      <c r="E108" s="45">
        <f>+'مركز التجهيزات'!E30</f>
        <v>0</v>
      </c>
      <c r="F108" s="46">
        <f>+'مركز التجهيزات'!F30</f>
        <v>0</v>
      </c>
      <c r="G108" s="46">
        <f>+'مركز التجهيزات'!G30</f>
        <v>0</v>
      </c>
      <c r="H108" s="46">
        <f>+'مركز التجهيزات'!H30</f>
        <v>0</v>
      </c>
      <c r="I108" s="46">
        <f>+'مركز التجهيزات'!I30</f>
        <v>0</v>
      </c>
      <c r="J108" s="46">
        <f>+'مركز التجهيزات'!J30</f>
        <v>0</v>
      </c>
      <c r="K108" s="46">
        <f>+'مركز التجهيزات'!K30</f>
        <v>0</v>
      </c>
      <c r="L108" s="46">
        <f>+'مركز التجهيزات'!L30</f>
        <v>0</v>
      </c>
      <c r="M108" s="46">
        <f>+'مركز التجهيزات'!M30</f>
        <v>0</v>
      </c>
      <c r="N108" s="46">
        <f>+'مركز التجهيزات'!N30</f>
        <v>0</v>
      </c>
      <c r="O108" s="46">
        <f>+'مركز التجهيزات'!O30</f>
        <v>0</v>
      </c>
      <c r="P108" s="46">
        <f>+'مركز التجهيزات'!P30</f>
        <v>0</v>
      </c>
      <c r="Q108" s="46">
        <f>+'مركز التجهيزات'!Q30</f>
        <v>0</v>
      </c>
      <c r="R108" s="47">
        <f>+'مركز التجهيزات'!R30</f>
        <v>0</v>
      </c>
      <c r="S108" s="47">
        <f>+'مركز التجهيزات'!S30</f>
        <v>0</v>
      </c>
      <c r="T108" s="46">
        <f>+'مركز التجهيزات'!T30</f>
        <v>0</v>
      </c>
      <c r="U108" s="46">
        <f>+'مركز التجهيزات'!U30</f>
        <v>0</v>
      </c>
      <c r="V108" s="46">
        <f>+'مركز التجهيزات'!V30</f>
        <v>0</v>
      </c>
      <c r="W108" s="46">
        <f>+'مركز التجهيزات'!W30</f>
        <v>0</v>
      </c>
      <c r="X108" s="46">
        <f>+'مركز التجهيزات'!X30</f>
        <v>0</v>
      </c>
      <c r="Y108" s="46">
        <f>+'مركز التجهيزات'!Y30</f>
        <v>0</v>
      </c>
      <c r="Z108" s="46">
        <f>+'مركز التجهيزات'!Z30</f>
        <v>0</v>
      </c>
      <c r="AA108" s="46">
        <f>+'مركز التجهيزات'!AA30</f>
        <v>0</v>
      </c>
      <c r="AB108" s="46">
        <f>+'مركز التجهيزات'!AB30</f>
        <v>0</v>
      </c>
      <c r="AC108" s="46">
        <f>+'مركز التجهيزات'!AC30</f>
        <v>0</v>
      </c>
      <c r="AD108" s="46">
        <f>+'مركز التجهيزات'!AD30</f>
        <v>0</v>
      </c>
      <c r="AE108" s="46">
        <f>+'مركز التجهيزات'!AE30</f>
        <v>0</v>
      </c>
      <c r="AF108" s="46">
        <f>+'مركز التجهيزات'!AF30</f>
        <v>0</v>
      </c>
      <c r="AG108" s="46">
        <f>+'مركز التجهيزات'!AG30</f>
        <v>0</v>
      </c>
      <c r="AH108" s="46">
        <f>+'مركز التجهيزات'!AH30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+'مركز التجهيزات'!A31</f>
        <v>0</v>
      </c>
      <c r="B112" s="44">
        <f>+'مركز التجهيزات'!B31</f>
        <v>0</v>
      </c>
      <c r="C112" s="45">
        <f>+'مركز التجهيزات'!C31</f>
        <v>0</v>
      </c>
      <c r="D112" s="45">
        <f>+'مركز التجهيزات'!D31</f>
        <v>0</v>
      </c>
      <c r="E112" s="45">
        <f>+'مركز التجهيزات'!E31</f>
        <v>0</v>
      </c>
      <c r="F112" s="46">
        <f>+'مركز التجهيزات'!F31</f>
        <v>0</v>
      </c>
      <c r="G112" s="46">
        <f>+'مركز التجهيزات'!G31</f>
        <v>0</v>
      </c>
      <c r="H112" s="46">
        <f>+'مركز التجهيزات'!H31</f>
        <v>0</v>
      </c>
      <c r="I112" s="46">
        <f>+'مركز التجهيزات'!I31</f>
        <v>0</v>
      </c>
      <c r="J112" s="46">
        <f>+'مركز التجهيزات'!J31</f>
        <v>0</v>
      </c>
      <c r="K112" s="46">
        <f>+'مركز التجهيزات'!K31</f>
        <v>0</v>
      </c>
      <c r="L112" s="46">
        <f>+'مركز التجهيزات'!L31</f>
        <v>0</v>
      </c>
      <c r="M112" s="46">
        <f>+'مركز التجهيزات'!M31</f>
        <v>0</v>
      </c>
      <c r="N112" s="46">
        <f>+'مركز التجهيزات'!N31</f>
        <v>0</v>
      </c>
      <c r="O112" s="46">
        <f>+'مركز التجهيزات'!O31</f>
        <v>0</v>
      </c>
      <c r="P112" s="46">
        <f>+'مركز التجهيزات'!P31</f>
        <v>0</v>
      </c>
      <c r="Q112" s="46">
        <f>+'مركز التجهيزات'!Q31</f>
        <v>0</v>
      </c>
      <c r="R112" s="47">
        <f>+'مركز التجهيزات'!R31</f>
        <v>0</v>
      </c>
      <c r="S112" s="47">
        <f>+'مركز التجهيزات'!S31</f>
        <v>0</v>
      </c>
      <c r="T112" s="46">
        <f>+'مركز التجهيزات'!T31</f>
        <v>0</v>
      </c>
      <c r="U112" s="46">
        <f>+'مركز التجهيزات'!U31</f>
        <v>0</v>
      </c>
      <c r="V112" s="46">
        <f>+'مركز التجهيزات'!V31</f>
        <v>0</v>
      </c>
      <c r="W112" s="46">
        <f>+'مركز التجهيزات'!W31</f>
        <v>0</v>
      </c>
      <c r="X112" s="46">
        <f>+'مركز التجهيزات'!X31</f>
        <v>0</v>
      </c>
      <c r="Y112" s="46">
        <f>+'مركز التجهيزات'!Y31</f>
        <v>0</v>
      </c>
      <c r="Z112" s="46">
        <f>+'مركز التجهيزات'!Z31</f>
        <v>0</v>
      </c>
      <c r="AA112" s="46">
        <f>+'مركز التجهيزات'!AA31</f>
        <v>0</v>
      </c>
      <c r="AB112" s="46">
        <f>+'مركز التجهيزات'!AB31</f>
        <v>0</v>
      </c>
      <c r="AC112" s="46">
        <f>+'مركز التجهيزات'!AC31</f>
        <v>0</v>
      </c>
      <c r="AD112" s="46">
        <f>+'مركز التجهيزات'!AD31</f>
        <v>0</v>
      </c>
      <c r="AE112" s="46">
        <f>+'مركز التجهيزات'!AE31</f>
        <v>0</v>
      </c>
      <c r="AF112" s="46">
        <f>+'مركز التجهيزات'!AF31</f>
        <v>0</v>
      </c>
      <c r="AG112" s="46">
        <f>+'مركز التجهيزات'!AG31</f>
        <v>0</v>
      </c>
      <c r="AH112" s="46">
        <f>+'مركز التجهيزات'!AH31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+'مركز التجهيزات'!A32</f>
        <v>0</v>
      </c>
      <c r="B116" s="44">
        <f>+'مركز التجهيزات'!B32</f>
        <v>0</v>
      </c>
      <c r="C116" s="45">
        <f>+'مركز التجهيزات'!C32</f>
        <v>0</v>
      </c>
      <c r="D116" s="45">
        <f>+'مركز التجهيزات'!D32</f>
        <v>0</v>
      </c>
      <c r="E116" s="45">
        <f>+'مركز التجهيزات'!E32</f>
        <v>0</v>
      </c>
      <c r="F116" s="46">
        <f>+'مركز التجهيزات'!F32</f>
        <v>0</v>
      </c>
      <c r="G116" s="46">
        <f>+'مركز التجهيزات'!G32</f>
        <v>0</v>
      </c>
      <c r="H116" s="46">
        <f>+'مركز التجهيزات'!H32</f>
        <v>0</v>
      </c>
      <c r="I116" s="46">
        <f>+'مركز التجهيزات'!I32</f>
        <v>0</v>
      </c>
      <c r="J116" s="46">
        <f>+'مركز التجهيزات'!J32</f>
        <v>0</v>
      </c>
      <c r="K116" s="46">
        <f>+'مركز التجهيزات'!K32</f>
        <v>0</v>
      </c>
      <c r="L116" s="46">
        <f>+'مركز التجهيزات'!L32</f>
        <v>0</v>
      </c>
      <c r="M116" s="46">
        <f>+'مركز التجهيزات'!M32</f>
        <v>0</v>
      </c>
      <c r="N116" s="46">
        <f>+'مركز التجهيزات'!N32</f>
        <v>0</v>
      </c>
      <c r="O116" s="46">
        <f>+'مركز التجهيزات'!O32</f>
        <v>0</v>
      </c>
      <c r="P116" s="46">
        <f>+'مركز التجهيزات'!P32</f>
        <v>0</v>
      </c>
      <c r="Q116" s="46">
        <f>+'مركز التجهيزات'!Q32</f>
        <v>0</v>
      </c>
      <c r="R116" s="47">
        <f>+'مركز التجهيزات'!R32</f>
        <v>0</v>
      </c>
      <c r="S116" s="47">
        <f>+'مركز التجهيزات'!S32</f>
        <v>0</v>
      </c>
      <c r="T116" s="46">
        <f>+'مركز التجهيزات'!T32</f>
        <v>0</v>
      </c>
      <c r="U116" s="46">
        <f>+'مركز التجهيزات'!U32</f>
        <v>0</v>
      </c>
      <c r="V116" s="46">
        <f>+'مركز التجهيزات'!V32</f>
        <v>0</v>
      </c>
      <c r="W116" s="46">
        <f>+'مركز التجهيزات'!W32</f>
        <v>0</v>
      </c>
      <c r="X116" s="46">
        <f>+'مركز التجهيزات'!X32</f>
        <v>0</v>
      </c>
      <c r="Y116" s="46">
        <f>+'مركز التجهيزات'!Y32</f>
        <v>0</v>
      </c>
      <c r="Z116" s="46">
        <f>+'مركز التجهيزات'!Z32</f>
        <v>0</v>
      </c>
      <c r="AA116" s="46">
        <f>+'مركز التجهيزات'!AA32</f>
        <v>0</v>
      </c>
      <c r="AB116" s="46">
        <f>+'مركز التجهيزات'!AB32</f>
        <v>0</v>
      </c>
      <c r="AC116" s="46">
        <f>+'مركز التجهيزات'!AC32</f>
        <v>0</v>
      </c>
      <c r="AD116" s="46">
        <f>+'مركز التجهيزات'!AD32</f>
        <v>0</v>
      </c>
      <c r="AE116" s="46">
        <f>+'مركز التجهيزات'!AE32</f>
        <v>0</v>
      </c>
      <c r="AF116" s="46">
        <f>+'مركز التجهيزات'!AF32</f>
        <v>0</v>
      </c>
      <c r="AG116" s="46">
        <f>+'مركز التجهيزات'!AG32</f>
        <v>0</v>
      </c>
      <c r="AH116" s="46">
        <f>+'مركز التجهيزات'!AH32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+'مركز التجهيزات'!A33</f>
        <v>0</v>
      </c>
      <c r="B120" s="44">
        <f>+'مركز التجهيزات'!B33</f>
        <v>0</v>
      </c>
      <c r="C120" s="45">
        <f>+'مركز التجهيزات'!C33</f>
        <v>0</v>
      </c>
      <c r="D120" s="45">
        <f>+'مركز التجهيزات'!D33</f>
        <v>0</v>
      </c>
      <c r="E120" s="45">
        <f>+'مركز التجهيزات'!E33</f>
        <v>0</v>
      </c>
      <c r="F120" s="46">
        <f>+'مركز التجهيزات'!F33</f>
        <v>0</v>
      </c>
      <c r="G120" s="46">
        <f>+'مركز التجهيزات'!G33</f>
        <v>0</v>
      </c>
      <c r="H120" s="46">
        <f>+'مركز التجهيزات'!H33</f>
        <v>0</v>
      </c>
      <c r="I120" s="46">
        <f>+'مركز التجهيزات'!I33</f>
        <v>0</v>
      </c>
      <c r="J120" s="46">
        <f>+'مركز التجهيزات'!J33</f>
        <v>0</v>
      </c>
      <c r="K120" s="46">
        <f>+'مركز التجهيزات'!K33</f>
        <v>0</v>
      </c>
      <c r="L120" s="46">
        <f>+'مركز التجهيزات'!L33</f>
        <v>0</v>
      </c>
      <c r="M120" s="46">
        <f>+'مركز التجهيزات'!M33</f>
        <v>0</v>
      </c>
      <c r="N120" s="46">
        <f>+'مركز التجهيزات'!N33</f>
        <v>0</v>
      </c>
      <c r="O120" s="46">
        <f>+'مركز التجهيزات'!O33</f>
        <v>0</v>
      </c>
      <c r="P120" s="46">
        <f>+'مركز التجهيزات'!P33</f>
        <v>0</v>
      </c>
      <c r="Q120" s="46">
        <f>+'مركز التجهيزات'!Q33</f>
        <v>0</v>
      </c>
      <c r="R120" s="47">
        <f>+'مركز التجهيزات'!R33</f>
        <v>0</v>
      </c>
      <c r="S120" s="47">
        <f>+'مركز التجهيزات'!S33</f>
        <v>0</v>
      </c>
      <c r="T120" s="46">
        <f>+'مركز التجهيزات'!T33</f>
        <v>0</v>
      </c>
      <c r="U120" s="46">
        <f>+'مركز التجهيزات'!U33</f>
        <v>0</v>
      </c>
      <c r="V120" s="46">
        <f>+'مركز التجهيزات'!V33</f>
        <v>0</v>
      </c>
      <c r="W120" s="46">
        <f>+'مركز التجهيزات'!W33</f>
        <v>0</v>
      </c>
      <c r="X120" s="46">
        <f>+'مركز التجهيزات'!X33</f>
        <v>0</v>
      </c>
      <c r="Y120" s="46">
        <f>+'مركز التجهيزات'!Y33</f>
        <v>0</v>
      </c>
      <c r="Z120" s="46">
        <f>+'مركز التجهيزات'!Z33</f>
        <v>0</v>
      </c>
      <c r="AA120" s="46">
        <f>+'مركز التجهيزات'!AA33</f>
        <v>0</v>
      </c>
      <c r="AB120" s="46">
        <f>+'مركز التجهيزات'!AB33</f>
        <v>0</v>
      </c>
      <c r="AC120" s="46">
        <f>+'مركز التجهيزات'!AC33</f>
        <v>0</v>
      </c>
      <c r="AD120" s="46">
        <f>+'مركز التجهيزات'!AD33</f>
        <v>0</v>
      </c>
      <c r="AE120" s="46">
        <f>+'مركز التجهيزات'!AE33</f>
        <v>0</v>
      </c>
      <c r="AF120" s="46">
        <f>+'مركز التجهيزات'!AF33</f>
        <v>0</v>
      </c>
      <c r="AG120" s="46">
        <f>+'مركز التجهيزات'!AG33</f>
        <v>0</v>
      </c>
      <c r="AH120" s="46">
        <f>+'مركز التجهيزات'!AH33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+'مركز التجهيزات'!A34</f>
        <v>0</v>
      </c>
      <c r="B124" s="44">
        <f>+'مركز التجهيزات'!B34</f>
        <v>0</v>
      </c>
      <c r="C124" s="45">
        <f>+'مركز التجهيزات'!C34</f>
        <v>0</v>
      </c>
      <c r="D124" s="45">
        <f>+'مركز التجهيزات'!D34</f>
        <v>0</v>
      </c>
      <c r="E124" s="45">
        <f>+'مركز التجهيزات'!E34</f>
        <v>0</v>
      </c>
      <c r="F124" s="46">
        <f>+'مركز التجهيزات'!F34</f>
        <v>0</v>
      </c>
      <c r="G124" s="46">
        <f>+'مركز التجهيزات'!G34</f>
        <v>0</v>
      </c>
      <c r="H124" s="46">
        <f>+'مركز التجهيزات'!H34</f>
        <v>0</v>
      </c>
      <c r="I124" s="46">
        <f>+'مركز التجهيزات'!I34</f>
        <v>0</v>
      </c>
      <c r="J124" s="46">
        <f>+'مركز التجهيزات'!J34</f>
        <v>0</v>
      </c>
      <c r="K124" s="46">
        <f>+'مركز التجهيزات'!K34</f>
        <v>0</v>
      </c>
      <c r="L124" s="46">
        <f>+'مركز التجهيزات'!L34</f>
        <v>0</v>
      </c>
      <c r="M124" s="46">
        <f>+'مركز التجهيزات'!M34</f>
        <v>0</v>
      </c>
      <c r="N124" s="46">
        <f>+'مركز التجهيزات'!N34</f>
        <v>0</v>
      </c>
      <c r="O124" s="46">
        <f>+'مركز التجهيزات'!O34</f>
        <v>0</v>
      </c>
      <c r="P124" s="46">
        <f>+'مركز التجهيزات'!P34</f>
        <v>0</v>
      </c>
      <c r="Q124" s="46">
        <f>+'مركز التجهيزات'!Q34</f>
        <v>0</v>
      </c>
      <c r="R124" s="47">
        <f>+'مركز التجهيزات'!R34</f>
        <v>0</v>
      </c>
      <c r="S124" s="47">
        <f>+'مركز التجهيزات'!S34</f>
        <v>0</v>
      </c>
      <c r="T124" s="46">
        <f>+'مركز التجهيزات'!T34</f>
        <v>0</v>
      </c>
      <c r="U124" s="46">
        <f>+'مركز التجهيزات'!U34</f>
        <v>0</v>
      </c>
      <c r="V124" s="46">
        <f>+'مركز التجهيزات'!V34</f>
        <v>0</v>
      </c>
      <c r="W124" s="46">
        <f>+'مركز التجهيزات'!W34</f>
        <v>0</v>
      </c>
      <c r="X124" s="46">
        <f>+'مركز التجهيزات'!X34</f>
        <v>0</v>
      </c>
      <c r="Y124" s="46">
        <f>+'مركز التجهيزات'!Y34</f>
        <v>0</v>
      </c>
      <c r="Z124" s="46">
        <f>+'مركز التجهيزات'!Z34</f>
        <v>0</v>
      </c>
      <c r="AA124" s="46">
        <f>+'مركز التجهيزات'!AA34</f>
        <v>0</v>
      </c>
      <c r="AB124" s="46">
        <f>+'مركز التجهيزات'!AB34</f>
        <v>0</v>
      </c>
      <c r="AC124" s="46">
        <f>+'مركز التجهيزات'!AC34</f>
        <v>0</v>
      </c>
      <c r="AD124" s="46">
        <f>+'مركز التجهيزات'!AD34</f>
        <v>0</v>
      </c>
      <c r="AE124" s="46">
        <f>+'مركز التجهيزات'!AE34</f>
        <v>0</v>
      </c>
      <c r="AF124" s="46">
        <f>+'مركز التجهيزات'!AF34</f>
        <v>0</v>
      </c>
      <c r="AG124" s="46">
        <f>+'مركز التجهيزات'!AG34</f>
        <v>0</v>
      </c>
      <c r="AH124" s="46">
        <f>+'مركز التجهيزات'!AH34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+'مركز التجهيزات'!A35</f>
        <v>0</v>
      </c>
      <c r="B128" s="44">
        <f>+'مركز التجهيزات'!B35</f>
        <v>0</v>
      </c>
      <c r="C128" s="45">
        <f>+'مركز التجهيزات'!C35</f>
        <v>0</v>
      </c>
      <c r="D128" s="45">
        <f>+'مركز التجهيزات'!D35</f>
        <v>0</v>
      </c>
      <c r="E128" s="45">
        <f>+'مركز التجهيزات'!E35</f>
        <v>0</v>
      </c>
      <c r="F128" s="46">
        <f>+'مركز التجهيزات'!F35</f>
        <v>0</v>
      </c>
      <c r="G128" s="46">
        <f>+'مركز التجهيزات'!G35</f>
        <v>0</v>
      </c>
      <c r="H128" s="46">
        <f>+'مركز التجهيزات'!H35</f>
        <v>0</v>
      </c>
      <c r="I128" s="46">
        <f>+'مركز التجهيزات'!I35</f>
        <v>0</v>
      </c>
      <c r="J128" s="46">
        <f>+'مركز التجهيزات'!J35</f>
        <v>0</v>
      </c>
      <c r="K128" s="46">
        <f>+'مركز التجهيزات'!K35</f>
        <v>0</v>
      </c>
      <c r="L128" s="46">
        <f>+'مركز التجهيزات'!L35</f>
        <v>0</v>
      </c>
      <c r="M128" s="46">
        <f>+'مركز التجهيزات'!M35</f>
        <v>0</v>
      </c>
      <c r="N128" s="46">
        <f>+'مركز التجهيزات'!N35</f>
        <v>0</v>
      </c>
      <c r="O128" s="46">
        <f>+'مركز التجهيزات'!O35</f>
        <v>0</v>
      </c>
      <c r="P128" s="46">
        <f>+'مركز التجهيزات'!P35</f>
        <v>0</v>
      </c>
      <c r="Q128" s="46">
        <f>+'مركز التجهيزات'!Q35</f>
        <v>0</v>
      </c>
      <c r="R128" s="47">
        <f>+'مركز التجهيزات'!R35</f>
        <v>0</v>
      </c>
      <c r="S128" s="47">
        <f>+'مركز التجهيزات'!S35</f>
        <v>0</v>
      </c>
      <c r="T128" s="46">
        <f>+'مركز التجهيزات'!T35</f>
        <v>0</v>
      </c>
      <c r="U128" s="46">
        <f>+'مركز التجهيزات'!U35</f>
        <v>0</v>
      </c>
      <c r="V128" s="46">
        <f>+'مركز التجهيزات'!V35</f>
        <v>0</v>
      </c>
      <c r="W128" s="46">
        <f>+'مركز التجهيزات'!W35</f>
        <v>0</v>
      </c>
      <c r="X128" s="46">
        <f>+'مركز التجهيزات'!X35</f>
        <v>0</v>
      </c>
      <c r="Y128" s="46">
        <f>+'مركز التجهيزات'!Y35</f>
        <v>0</v>
      </c>
      <c r="Z128" s="46">
        <f>+'مركز التجهيزات'!Z35</f>
        <v>0</v>
      </c>
      <c r="AA128" s="46">
        <f>+'مركز التجهيزات'!AA35</f>
        <v>0</v>
      </c>
      <c r="AB128" s="46">
        <f>+'مركز التجهيزات'!AB35</f>
        <v>0</v>
      </c>
      <c r="AC128" s="46">
        <f>+'مركز التجهيزات'!AC35</f>
        <v>0</v>
      </c>
      <c r="AD128" s="46">
        <f>+'مركز التجهيزات'!AD35</f>
        <v>0</v>
      </c>
      <c r="AE128" s="46">
        <f>+'مركز التجهيزات'!AE35</f>
        <v>0</v>
      </c>
      <c r="AF128" s="46">
        <f>+'مركز التجهيزات'!AF35</f>
        <v>0</v>
      </c>
      <c r="AG128" s="46">
        <f>+'مركز التجهيزات'!AG35</f>
        <v>0</v>
      </c>
      <c r="AH128" s="46">
        <f>+'مركز التجهيزات'!AH35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+'مركز التجهيزات'!A36</f>
        <v>0</v>
      </c>
      <c r="B132" s="44">
        <f>+'مركز التجهيزات'!B36</f>
        <v>0</v>
      </c>
      <c r="C132" s="45">
        <f>+'مركز التجهيزات'!C36</f>
        <v>0</v>
      </c>
      <c r="D132" s="45">
        <f>+'مركز التجهيزات'!D36</f>
        <v>0</v>
      </c>
      <c r="E132" s="45">
        <f>+'مركز التجهيزات'!E36</f>
        <v>0</v>
      </c>
      <c r="F132" s="46">
        <f>+'مركز التجهيزات'!F36</f>
        <v>0</v>
      </c>
      <c r="G132" s="46">
        <f>+'مركز التجهيزات'!G36</f>
        <v>0</v>
      </c>
      <c r="H132" s="46">
        <f>+'مركز التجهيزات'!H36</f>
        <v>0</v>
      </c>
      <c r="I132" s="46">
        <f>+'مركز التجهيزات'!I36</f>
        <v>0</v>
      </c>
      <c r="J132" s="46">
        <f>+'مركز التجهيزات'!J36</f>
        <v>0</v>
      </c>
      <c r="K132" s="46">
        <f>+'مركز التجهيزات'!K36</f>
        <v>0</v>
      </c>
      <c r="L132" s="46">
        <f>+'مركز التجهيزات'!L36</f>
        <v>0</v>
      </c>
      <c r="M132" s="46">
        <f>+'مركز التجهيزات'!M36</f>
        <v>0</v>
      </c>
      <c r="N132" s="46">
        <f>+'مركز التجهيزات'!N36</f>
        <v>0</v>
      </c>
      <c r="O132" s="46">
        <f>+'مركز التجهيزات'!O36</f>
        <v>0</v>
      </c>
      <c r="P132" s="46">
        <f>+'مركز التجهيزات'!P36</f>
        <v>0</v>
      </c>
      <c r="Q132" s="46">
        <f>+'مركز التجهيزات'!Q36</f>
        <v>0</v>
      </c>
      <c r="R132" s="47">
        <f>+'مركز التجهيزات'!R36</f>
        <v>0</v>
      </c>
      <c r="S132" s="47">
        <f>+'مركز التجهيزات'!S36</f>
        <v>0</v>
      </c>
      <c r="T132" s="46">
        <f>+'مركز التجهيزات'!T36</f>
        <v>0</v>
      </c>
      <c r="U132" s="46">
        <f>+'مركز التجهيزات'!U36</f>
        <v>0</v>
      </c>
      <c r="V132" s="46">
        <f>+'مركز التجهيزات'!V36</f>
        <v>0</v>
      </c>
      <c r="W132" s="46">
        <f>+'مركز التجهيزات'!W36</f>
        <v>0</v>
      </c>
      <c r="X132" s="46">
        <f>+'مركز التجهيزات'!X36</f>
        <v>0</v>
      </c>
      <c r="Y132" s="46">
        <f>+'مركز التجهيزات'!Y36</f>
        <v>0</v>
      </c>
      <c r="Z132" s="46">
        <f>+'مركز التجهيزات'!Z36</f>
        <v>0</v>
      </c>
      <c r="AA132" s="46">
        <f>+'مركز التجهيزات'!AA36</f>
        <v>0</v>
      </c>
      <c r="AB132" s="46">
        <f>+'مركز التجهيزات'!AB36</f>
        <v>0</v>
      </c>
      <c r="AC132" s="46">
        <f>+'مركز التجهيزات'!AC36</f>
        <v>0</v>
      </c>
      <c r="AD132" s="46">
        <f>+'مركز التجهيزات'!AD36</f>
        <v>0</v>
      </c>
      <c r="AE132" s="46">
        <f>+'مركز التجهيزات'!AE36</f>
        <v>0</v>
      </c>
      <c r="AF132" s="46">
        <f>+'مركز التجهيزات'!AF36</f>
        <v>0</v>
      </c>
      <c r="AG132" s="46">
        <f>+'مركز التجهيزات'!AG36</f>
        <v>0</v>
      </c>
      <c r="AH132" s="46">
        <f>+'مركز التجهيزات'!AH36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+'مركز التجهيزات'!A37</f>
        <v>0</v>
      </c>
      <c r="B136" s="44">
        <f>+'مركز التجهيزات'!B37</f>
        <v>0</v>
      </c>
      <c r="C136" s="45">
        <f>+'مركز التجهيزات'!C37</f>
        <v>0</v>
      </c>
      <c r="D136" s="45">
        <f>+'مركز التجهيزات'!D37</f>
        <v>0</v>
      </c>
      <c r="E136" s="45">
        <f>+'مركز التجهيزات'!E37</f>
        <v>0</v>
      </c>
      <c r="F136" s="46">
        <f>+'مركز التجهيزات'!F37</f>
        <v>0</v>
      </c>
      <c r="G136" s="46">
        <f>+'مركز التجهيزات'!G37</f>
        <v>0</v>
      </c>
      <c r="H136" s="46">
        <f>+'مركز التجهيزات'!H37</f>
        <v>0</v>
      </c>
      <c r="I136" s="46">
        <f>+'مركز التجهيزات'!I37</f>
        <v>0</v>
      </c>
      <c r="J136" s="46">
        <f>+'مركز التجهيزات'!J37</f>
        <v>0</v>
      </c>
      <c r="K136" s="46">
        <f>+'مركز التجهيزات'!K37</f>
        <v>0</v>
      </c>
      <c r="L136" s="46">
        <f>+'مركز التجهيزات'!L37</f>
        <v>0</v>
      </c>
      <c r="M136" s="46">
        <f>+'مركز التجهيزات'!M37</f>
        <v>0</v>
      </c>
      <c r="N136" s="46">
        <f>+'مركز التجهيزات'!N37</f>
        <v>0</v>
      </c>
      <c r="O136" s="46">
        <f>+'مركز التجهيزات'!O37</f>
        <v>0</v>
      </c>
      <c r="P136" s="46">
        <f>+'مركز التجهيزات'!P37</f>
        <v>0</v>
      </c>
      <c r="Q136" s="46">
        <f>+'مركز التجهيزات'!Q37</f>
        <v>0</v>
      </c>
      <c r="R136" s="47">
        <f>+'مركز التجهيزات'!R37</f>
        <v>0</v>
      </c>
      <c r="S136" s="47">
        <f>+'مركز التجهيزات'!S37</f>
        <v>0</v>
      </c>
      <c r="T136" s="46">
        <f>+'مركز التجهيزات'!T37</f>
        <v>0</v>
      </c>
      <c r="U136" s="46">
        <f>+'مركز التجهيزات'!U37</f>
        <v>0</v>
      </c>
      <c r="V136" s="46">
        <f>+'مركز التجهيزات'!V37</f>
        <v>0</v>
      </c>
      <c r="W136" s="46">
        <f>+'مركز التجهيزات'!W37</f>
        <v>0</v>
      </c>
      <c r="X136" s="46">
        <f>+'مركز التجهيزات'!X37</f>
        <v>0</v>
      </c>
      <c r="Y136" s="46">
        <f>+'مركز التجهيزات'!Y37</f>
        <v>0</v>
      </c>
      <c r="Z136" s="46">
        <f>+'مركز التجهيزات'!Z37</f>
        <v>0</v>
      </c>
      <c r="AA136" s="46">
        <f>+'مركز التجهيزات'!AA37</f>
        <v>0</v>
      </c>
      <c r="AB136" s="46">
        <f>+'مركز التجهيزات'!AB37</f>
        <v>0</v>
      </c>
      <c r="AC136" s="46">
        <f>+'مركز التجهيزات'!AC37</f>
        <v>0</v>
      </c>
      <c r="AD136" s="46">
        <f>+'مركز التجهيزات'!AD37</f>
        <v>0</v>
      </c>
      <c r="AE136" s="46">
        <f>+'مركز التجهيزات'!AE37</f>
        <v>0</v>
      </c>
      <c r="AF136" s="46">
        <f>+'مركز التجهيزات'!AF37</f>
        <v>0</v>
      </c>
      <c r="AG136" s="46">
        <f>+'مركز التجهيزات'!AG37</f>
        <v>0</v>
      </c>
      <c r="AH136" s="46">
        <f>+'مركز التجهيزات'!AH37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+'مركز التجهيزات'!A38</f>
        <v>0</v>
      </c>
      <c r="B140" s="44">
        <f>+'مركز التجهيزات'!B38</f>
        <v>0</v>
      </c>
      <c r="C140" s="45">
        <f>+'مركز التجهيزات'!C38</f>
        <v>0</v>
      </c>
      <c r="D140" s="45">
        <f>+'مركز التجهيزات'!D38</f>
        <v>0</v>
      </c>
      <c r="E140" s="45">
        <f>+'مركز التجهيزات'!E38</f>
        <v>0</v>
      </c>
      <c r="F140" s="46">
        <f>+'مركز التجهيزات'!F38</f>
        <v>0</v>
      </c>
      <c r="G140" s="46">
        <f>+'مركز التجهيزات'!G38</f>
        <v>0</v>
      </c>
      <c r="H140" s="46">
        <f>+'مركز التجهيزات'!H38</f>
        <v>0</v>
      </c>
      <c r="I140" s="46">
        <f>+'مركز التجهيزات'!I38</f>
        <v>0</v>
      </c>
      <c r="J140" s="46">
        <f>+'مركز التجهيزات'!J38</f>
        <v>0</v>
      </c>
      <c r="K140" s="46">
        <f>+'مركز التجهيزات'!K38</f>
        <v>0</v>
      </c>
      <c r="L140" s="46">
        <f>+'مركز التجهيزات'!L38</f>
        <v>0</v>
      </c>
      <c r="M140" s="46">
        <f>+'مركز التجهيزات'!M38</f>
        <v>0</v>
      </c>
      <c r="N140" s="46">
        <f>+'مركز التجهيزات'!N38</f>
        <v>0</v>
      </c>
      <c r="O140" s="46">
        <f>+'مركز التجهيزات'!O38</f>
        <v>0</v>
      </c>
      <c r="P140" s="46">
        <f>+'مركز التجهيزات'!P38</f>
        <v>0</v>
      </c>
      <c r="Q140" s="46">
        <f>+'مركز التجهيزات'!Q38</f>
        <v>0</v>
      </c>
      <c r="R140" s="47">
        <f>+'مركز التجهيزات'!R38</f>
        <v>0</v>
      </c>
      <c r="S140" s="47">
        <f>+'مركز التجهيزات'!S38</f>
        <v>0</v>
      </c>
      <c r="T140" s="46">
        <f>+'مركز التجهيزات'!T38</f>
        <v>0</v>
      </c>
      <c r="U140" s="46">
        <f>+'مركز التجهيزات'!U38</f>
        <v>0</v>
      </c>
      <c r="V140" s="46">
        <f>+'مركز التجهيزات'!V38</f>
        <v>0</v>
      </c>
      <c r="W140" s="46">
        <f>+'مركز التجهيزات'!W38</f>
        <v>0</v>
      </c>
      <c r="X140" s="46">
        <f>+'مركز التجهيزات'!X38</f>
        <v>0</v>
      </c>
      <c r="Y140" s="46">
        <f>+'مركز التجهيزات'!Y38</f>
        <v>0</v>
      </c>
      <c r="Z140" s="46">
        <f>+'مركز التجهيزات'!Z38</f>
        <v>0</v>
      </c>
      <c r="AA140" s="46">
        <f>+'مركز التجهيزات'!AA38</f>
        <v>0</v>
      </c>
      <c r="AB140" s="46">
        <f>+'مركز التجهيزات'!AB38</f>
        <v>0</v>
      </c>
      <c r="AC140" s="46">
        <f>+'مركز التجهيزات'!AC38</f>
        <v>0</v>
      </c>
      <c r="AD140" s="46">
        <f>+'مركز التجهيزات'!AD38</f>
        <v>0</v>
      </c>
      <c r="AE140" s="46">
        <f>+'مركز التجهيزات'!AE38</f>
        <v>0</v>
      </c>
      <c r="AF140" s="46">
        <f>+'مركز التجهيزات'!AF38</f>
        <v>0</v>
      </c>
      <c r="AG140" s="46">
        <f>+'مركز التجهيزات'!AG38</f>
        <v>0</v>
      </c>
      <c r="AH140" s="46">
        <f>+'مركز التجهيزات'!AH38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+'مركز التجهيزات'!A39</f>
        <v>0</v>
      </c>
      <c r="B144" s="44">
        <f>+'مركز التجهيزات'!B39</f>
        <v>0</v>
      </c>
      <c r="C144" s="45">
        <f>+'مركز التجهيزات'!C39</f>
        <v>0</v>
      </c>
      <c r="D144" s="45">
        <f>+'مركز التجهيزات'!D39</f>
        <v>0</v>
      </c>
      <c r="E144" s="45">
        <f>+'مركز التجهيزات'!E39</f>
        <v>0</v>
      </c>
      <c r="F144" s="46">
        <f>+'مركز التجهيزات'!F39</f>
        <v>0</v>
      </c>
      <c r="G144" s="46">
        <f>+'مركز التجهيزات'!G39</f>
        <v>0</v>
      </c>
      <c r="H144" s="46">
        <f>+'مركز التجهيزات'!H39</f>
        <v>0</v>
      </c>
      <c r="I144" s="46">
        <f>+'مركز التجهيزات'!I39</f>
        <v>0</v>
      </c>
      <c r="J144" s="46">
        <f>+'مركز التجهيزات'!J39</f>
        <v>0</v>
      </c>
      <c r="K144" s="46">
        <f>+'مركز التجهيزات'!K39</f>
        <v>0</v>
      </c>
      <c r="L144" s="46">
        <f>+'مركز التجهيزات'!L39</f>
        <v>0</v>
      </c>
      <c r="M144" s="46">
        <f>+'مركز التجهيزات'!M39</f>
        <v>0</v>
      </c>
      <c r="N144" s="46">
        <f>+'مركز التجهيزات'!N39</f>
        <v>0</v>
      </c>
      <c r="O144" s="46">
        <f>+'مركز التجهيزات'!O39</f>
        <v>0</v>
      </c>
      <c r="P144" s="46">
        <f>+'مركز التجهيزات'!P39</f>
        <v>0</v>
      </c>
      <c r="Q144" s="46">
        <f>+'مركز التجهيزات'!Q39</f>
        <v>0</v>
      </c>
      <c r="R144" s="47">
        <f>+'مركز التجهيزات'!R39</f>
        <v>0</v>
      </c>
      <c r="S144" s="47">
        <f>+'مركز التجهيزات'!S39</f>
        <v>0</v>
      </c>
      <c r="T144" s="46">
        <f>+'مركز التجهيزات'!T39</f>
        <v>0</v>
      </c>
      <c r="U144" s="46">
        <f>+'مركز التجهيزات'!U39</f>
        <v>0</v>
      </c>
      <c r="V144" s="46">
        <f>+'مركز التجهيزات'!V39</f>
        <v>0</v>
      </c>
      <c r="W144" s="46">
        <f>+'مركز التجهيزات'!W39</f>
        <v>0</v>
      </c>
      <c r="X144" s="46">
        <f>+'مركز التجهيزات'!X39</f>
        <v>0</v>
      </c>
      <c r="Y144" s="46">
        <f>+'مركز التجهيزات'!Y39</f>
        <v>0</v>
      </c>
      <c r="Z144" s="46">
        <f>+'مركز التجهيزات'!Z39</f>
        <v>0</v>
      </c>
      <c r="AA144" s="46">
        <f>+'مركز التجهيزات'!AA39</f>
        <v>0</v>
      </c>
      <c r="AB144" s="46">
        <f>+'مركز التجهيزات'!AB39</f>
        <v>0</v>
      </c>
      <c r="AC144" s="46">
        <f>+'مركز التجهيزات'!AC39</f>
        <v>0</v>
      </c>
      <c r="AD144" s="46">
        <f>+'مركز التجهيزات'!AD39</f>
        <v>0</v>
      </c>
      <c r="AE144" s="46">
        <f>+'مركز التجهيزات'!AE39</f>
        <v>0</v>
      </c>
      <c r="AF144" s="46">
        <f>+'مركز التجهيزات'!AF39</f>
        <v>0</v>
      </c>
      <c r="AG144" s="46">
        <f>+'مركز التجهيزات'!AG39</f>
        <v>0</v>
      </c>
      <c r="AH144" s="46">
        <f>+'مركز التجهيزات'!AH39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+'مركز التجهيزات'!A40</f>
        <v>0</v>
      </c>
      <c r="B148" s="44">
        <f>+'مركز التجهيزات'!B40</f>
        <v>0</v>
      </c>
      <c r="C148" s="45">
        <f>+'مركز التجهيزات'!C40</f>
        <v>0</v>
      </c>
      <c r="D148" s="45">
        <f>+'مركز التجهيزات'!D40</f>
        <v>0</v>
      </c>
      <c r="E148" s="45">
        <f>+'مركز التجهيزات'!E40</f>
        <v>0</v>
      </c>
      <c r="F148" s="46">
        <f>+'مركز التجهيزات'!F40</f>
        <v>0</v>
      </c>
      <c r="G148" s="46">
        <f>+'مركز التجهيزات'!G40</f>
        <v>0</v>
      </c>
      <c r="H148" s="46">
        <f>+'مركز التجهيزات'!H40</f>
        <v>0</v>
      </c>
      <c r="I148" s="46">
        <f>+'مركز التجهيزات'!I40</f>
        <v>0</v>
      </c>
      <c r="J148" s="46">
        <f>+'مركز التجهيزات'!J40</f>
        <v>0</v>
      </c>
      <c r="K148" s="46">
        <f>+'مركز التجهيزات'!K40</f>
        <v>0</v>
      </c>
      <c r="L148" s="46">
        <f>+'مركز التجهيزات'!L40</f>
        <v>0</v>
      </c>
      <c r="M148" s="46">
        <f>+'مركز التجهيزات'!M40</f>
        <v>0</v>
      </c>
      <c r="N148" s="46">
        <f>+'مركز التجهيزات'!N40</f>
        <v>0</v>
      </c>
      <c r="O148" s="46">
        <f>+'مركز التجهيزات'!O40</f>
        <v>0</v>
      </c>
      <c r="P148" s="46">
        <f>+'مركز التجهيزات'!P40</f>
        <v>0</v>
      </c>
      <c r="Q148" s="46">
        <f>+'مركز التجهيزات'!Q40</f>
        <v>0</v>
      </c>
      <c r="R148" s="47">
        <f>+'مركز التجهيزات'!R40</f>
        <v>0</v>
      </c>
      <c r="S148" s="47">
        <f>+'مركز التجهيزات'!S40</f>
        <v>0</v>
      </c>
      <c r="T148" s="46">
        <f>+'مركز التجهيزات'!T40</f>
        <v>0</v>
      </c>
      <c r="U148" s="46">
        <f>+'مركز التجهيزات'!U40</f>
        <v>0</v>
      </c>
      <c r="V148" s="46">
        <f>+'مركز التجهيزات'!V40</f>
        <v>0</v>
      </c>
      <c r="W148" s="46">
        <f>+'مركز التجهيزات'!W40</f>
        <v>0</v>
      </c>
      <c r="X148" s="46">
        <f>+'مركز التجهيزات'!X40</f>
        <v>0</v>
      </c>
      <c r="Y148" s="46">
        <f>+'مركز التجهيزات'!Y40</f>
        <v>0</v>
      </c>
      <c r="Z148" s="46">
        <f>+'مركز التجهيزات'!Z40</f>
        <v>0</v>
      </c>
      <c r="AA148" s="46">
        <f>+'مركز التجهيزات'!AA40</f>
        <v>0</v>
      </c>
      <c r="AB148" s="46">
        <f>+'مركز التجهيزات'!AB40</f>
        <v>0</v>
      </c>
      <c r="AC148" s="46">
        <f>+'مركز التجهيزات'!AC40</f>
        <v>0</v>
      </c>
      <c r="AD148" s="46">
        <f>+'مركز التجهيزات'!AD40</f>
        <v>0</v>
      </c>
      <c r="AE148" s="46">
        <f>+'مركز التجهيزات'!AE40</f>
        <v>0</v>
      </c>
      <c r="AF148" s="46">
        <f>+'مركز التجهيزات'!AF40</f>
        <v>0</v>
      </c>
      <c r="AG148" s="46">
        <f>+'مركز التجهيزات'!AG40</f>
        <v>0</v>
      </c>
      <c r="AH148" s="46">
        <f>+'مركز التجهيزات'!AH40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+'مركز التجهيزات'!A41</f>
        <v>0</v>
      </c>
      <c r="B152" s="44">
        <f>+'مركز التجهيزات'!B41</f>
        <v>0</v>
      </c>
      <c r="C152" s="45">
        <f>+'مركز التجهيزات'!C41</f>
        <v>0</v>
      </c>
      <c r="D152" s="45">
        <f>+'مركز التجهيزات'!D41</f>
        <v>0</v>
      </c>
      <c r="E152" s="45">
        <f>+'مركز التجهيزات'!E41</f>
        <v>0</v>
      </c>
      <c r="F152" s="46">
        <f>+'مركز التجهيزات'!F41</f>
        <v>0</v>
      </c>
      <c r="G152" s="46">
        <f>+'مركز التجهيزات'!G41</f>
        <v>0</v>
      </c>
      <c r="H152" s="46">
        <f>+'مركز التجهيزات'!H41</f>
        <v>0</v>
      </c>
      <c r="I152" s="46">
        <f>+'مركز التجهيزات'!I41</f>
        <v>0</v>
      </c>
      <c r="J152" s="46">
        <f>+'مركز التجهيزات'!J41</f>
        <v>0</v>
      </c>
      <c r="K152" s="46">
        <f>+'مركز التجهيزات'!K41</f>
        <v>0</v>
      </c>
      <c r="L152" s="46">
        <f>+'مركز التجهيزات'!L41</f>
        <v>0</v>
      </c>
      <c r="M152" s="46">
        <f>+'مركز التجهيزات'!M41</f>
        <v>0</v>
      </c>
      <c r="N152" s="46">
        <f>+'مركز التجهيزات'!N41</f>
        <v>0</v>
      </c>
      <c r="O152" s="46">
        <f>+'مركز التجهيزات'!O41</f>
        <v>0</v>
      </c>
      <c r="P152" s="46">
        <f>+'مركز التجهيزات'!P41</f>
        <v>0</v>
      </c>
      <c r="Q152" s="46">
        <f>+'مركز التجهيزات'!Q41</f>
        <v>0</v>
      </c>
      <c r="R152" s="47">
        <f>+'مركز التجهيزات'!R41</f>
        <v>0</v>
      </c>
      <c r="S152" s="47">
        <f>+'مركز التجهيزات'!S41</f>
        <v>0</v>
      </c>
      <c r="T152" s="46">
        <f>+'مركز التجهيزات'!T41</f>
        <v>0</v>
      </c>
      <c r="U152" s="46">
        <f>+'مركز التجهيزات'!U41</f>
        <v>0</v>
      </c>
      <c r="V152" s="46">
        <f>+'مركز التجهيزات'!V41</f>
        <v>0</v>
      </c>
      <c r="W152" s="46">
        <f>+'مركز التجهيزات'!W41</f>
        <v>0</v>
      </c>
      <c r="X152" s="46">
        <f>+'مركز التجهيزات'!X41</f>
        <v>0</v>
      </c>
      <c r="Y152" s="46">
        <f>+'مركز التجهيزات'!Y41</f>
        <v>0</v>
      </c>
      <c r="Z152" s="46">
        <f>+'مركز التجهيزات'!Z41</f>
        <v>0</v>
      </c>
      <c r="AA152" s="46">
        <f>+'مركز التجهيزات'!AA41</f>
        <v>0</v>
      </c>
      <c r="AB152" s="46">
        <f>+'مركز التجهيزات'!AB41</f>
        <v>0</v>
      </c>
      <c r="AC152" s="46">
        <f>+'مركز التجهيزات'!AC41</f>
        <v>0</v>
      </c>
      <c r="AD152" s="46">
        <f>+'مركز التجهيزات'!AD41</f>
        <v>0</v>
      </c>
      <c r="AE152" s="46">
        <f>+'مركز التجهيزات'!AE41</f>
        <v>0</v>
      </c>
      <c r="AF152" s="46">
        <f>+'مركز التجهيزات'!AF41</f>
        <v>0</v>
      </c>
      <c r="AG152" s="46">
        <f>+'مركز التجهيزات'!AG41</f>
        <v>0</v>
      </c>
      <c r="AH152" s="46">
        <f>+'مركز التجهيزات'!AH41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+'مركز التجهيزات'!A42</f>
        <v>0</v>
      </c>
      <c r="B156" s="44">
        <f>+'مركز التجهيزات'!B42</f>
        <v>0</v>
      </c>
      <c r="C156" s="45">
        <f>+'مركز التجهيزات'!C42</f>
        <v>0</v>
      </c>
      <c r="D156" s="45">
        <f>+'مركز التجهيزات'!D42</f>
        <v>0</v>
      </c>
      <c r="E156" s="45">
        <f>+'مركز التجهيزات'!E42</f>
        <v>0</v>
      </c>
      <c r="F156" s="46">
        <f>'مركز التجهيزات'!F42</f>
        <v>0</v>
      </c>
      <c r="G156" s="46">
        <f>'مركز التجهيزات'!G42</f>
        <v>0</v>
      </c>
      <c r="H156" s="46">
        <f>'مركز التجهيزات'!H42</f>
        <v>0</v>
      </c>
      <c r="I156" s="46">
        <f>'مركز التجهيزات'!I42</f>
        <v>0</v>
      </c>
      <c r="J156" s="46">
        <f>'مركز التجهيزات'!J42</f>
        <v>0</v>
      </c>
      <c r="K156" s="46">
        <f>'مركز التجهيزات'!K42</f>
        <v>0</v>
      </c>
      <c r="L156" s="46">
        <f>'مركز التجهيزات'!L42</f>
        <v>0</v>
      </c>
      <c r="M156" s="46">
        <f>'مركز التجهيزات'!M42</f>
        <v>0</v>
      </c>
      <c r="N156" s="46">
        <f>'مركز التجهيزات'!N42</f>
        <v>0</v>
      </c>
      <c r="O156" s="46">
        <f>'مركز التجهيزات'!O42</f>
        <v>0</v>
      </c>
      <c r="P156" s="46">
        <f>'مركز التجهيزات'!P42</f>
        <v>0</v>
      </c>
      <c r="Q156" s="46">
        <f>'مركز التجهيزات'!Q42</f>
        <v>0</v>
      </c>
      <c r="R156" s="47">
        <f>'مركز التجهيزات'!R42</f>
        <v>0</v>
      </c>
      <c r="S156" s="47">
        <f>'مركز التجهيزات'!S42</f>
        <v>0</v>
      </c>
      <c r="T156" s="46">
        <f>'مركز التجهيزات'!T42</f>
        <v>0</v>
      </c>
      <c r="U156" s="46">
        <f>'مركز التجهيزات'!U42</f>
        <v>0</v>
      </c>
      <c r="V156" s="46">
        <f>'مركز التجهيزات'!V42</f>
        <v>0</v>
      </c>
      <c r="W156" s="46">
        <f>'مركز التجهيزات'!W42</f>
        <v>0</v>
      </c>
      <c r="X156" s="46">
        <f>'مركز التجهيزات'!X42</f>
        <v>0</v>
      </c>
      <c r="Y156" s="46">
        <f>'مركز التجهيزات'!Y42</f>
        <v>0</v>
      </c>
      <c r="Z156" s="46">
        <f>'مركز التجهيزات'!Z42</f>
        <v>0</v>
      </c>
      <c r="AA156" s="46">
        <f>'مركز التجهيزات'!AA42</f>
        <v>0</v>
      </c>
      <c r="AB156" s="46">
        <f>'مركز التجهيزات'!AB42</f>
        <v>0</v>
      </c>
      <c r="AC156" s="46">
        <f>'مركز التجهيزات'!AC42</f>
        <v>0</v>
      </c>
      <c r="AD156" s="46">
        <f>'مركز التجهيزات'!AD42</f>
        <v>0</v>
      </c>
      <c r="AE156" s="46">
        <f>'مركز التجهيزات'!AE42</f>
        <v>0</v>
      </c>
      <c r="AF156" s="46">
        <f>'مركز التجهيزات'!AF42</f>
        <v>0</v>
      </c>
      <c r="AG156" s="46">
        <f>'مركز التجهيزات'!AG42</f>
        <v>0</v>
      </c>
      <c r="AH156" s="46">
        <f>'مركز التجهيزات'!AH42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+'مركز التجهيزات'!A43</f>
        <v>0</v>
      </c>
      <c r="B160" s="44">
        <f>+'مركز التجهيزات'!B43</f>
        <v>0</v>
      </c>
      <c r="C160" s="45">
        <f>+'مركز التجهيزات'!C43</f>
        <v>0</v>
      </c>
      <c r="D160" s="45">
        <f>+'مركز التجهيزات'!D43</f>
        <v>0</v>
      </c>
      <c r="E160" s="45">
        <f>+'مركز التجهيزات'!E43</f>
        <v>0</v>
      </c>
      <c r="F160" s="46">
        <f>'مركز التجهيزات'!F43</f>
        <v>0</v>
      </c>
      <c r="G160" s="46">
        <f>'مركز التجهيزات'!G43</f>
        <v>0</v>
      </c>
      <c r="H160" s="46">
        <f>'مركز التجهيزات'!H43</f>
        <v>0</v>
      </c>
      <c r="I160" s="46">
        <f>'مركز التجهيزات'!I43</f>
        <v>0</v>
      </c>
      <c r="J160" s="46">
        <f>'مركز التجهيزات'!J43</f>
        <v>0</v>
      </c>
      <c r="K160" s="46">
        <f>'مركز التجهيزات'!K43</f>
        <v>0</v>
      </c>
      <c r="L160" s="46">
        <f>'مركز التجهيزات'!L43</f>
        <v>0</v>
      </c>
      <c r="M160" s="46">
        <f>'مركز التجهيزات'!M43</f>
        <v>0</v>
      </c>
      <c r="N160" s="46">
        <f>'مركز التجهيزات'!N43</f>
        <v>0</v>
      </c>
      <c r="O160" s="46">
        <f>'مركز التجهيزات'!O43</f>
        <v>0</v>
      </c>
      <c r="P160" s="46">
        <f>'مركز التجهيزات'!P43</f>
        <v>0</v>
      </c>
      <c r="Q160" s="46">
        <f>'مركز التجهيزات'!Q43</f>
        <v>0</v>
      </c>
      <c r="R160" s="47">
        <f>'مركز التجهيزات'!R43</f>
        <v>0</v>
      </c>
      <c r="S160" s="47">
        <f>'مركز التجهيزات'!S43</f>
        <v>0</v>
      </c>
      <c r="T160" s="46">
        <f>'مركز التجهيزات'!T43</f>
        <v>0</v>
      </c>
      <c r="U160" s="46">
        <f>'مركز التجهيزات'!U43</f>
        <v>0</v>
      </c>
      <c r="V160" s="46">
        <f>'مركز التجهيزات'!V43</f>
        <v>0</v>
      </c>
      <c r="W160" s="46">
        <f>'مركز التجهيزات'!W43</f>
        <v>0</v>
      </c>
      <c r="X160" s="46">
        <f>'مركز التجهيزات'!X43</f>
        <v>0</v>
      </c>
      <c r="Y160" s="46">
        <f>'مركز التجهيزات'!Y43</f>
        <v>0</v>
      </c>
      <c r="Z160" s="46">
        <f>'مركز التجهيزات'!Z43</f>
        <v>0</v>
      </c>
      <c r="AA160" s="46">
        <f>'مركز التجهيزات'!AA43</f>
        <v>0</v>
      </c>
      <c r="AB160" s="46">
        <f>'مركز التجهيزات'!AB43</f>
        <v>0</v>
      </c>
      <c r="AC160" s="46">
        <f>'مركز التجهيزات'!AC43</f>
        <v>0</v>
      </c>
      <c r="AD160" s="46">
        <f>'مركز التجهيزات'!AD43</f>
        <v>0</v>
      </c>
      <c r="AE160" s="46">
        <f>'مركز التجهيزات'!AE43</f>
        <v>0</v>
      </c>
      <c r="AF160" s="46">
        <f>'مركز التجهيزات'!AF43</f>
        <v>0</v>
      </c>
      <c r="AG160" s="46">
        <f>'مركز التجهيزات'!AG43</f>
        <v>0</v>
      </c>
      <c r="AH160" s="46">
        <f>'مركز التجهيزات'!AH43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+'مركز التجهيزات'!A44</f>
        <v>0</v>
      </c>
      <c r="B164" s="44">
        <f>+'مركز التجهيزات'!B44</f>
        <v>0</v>
      </c>
      <c r="C164" s="45">
        <f>+'مركز التجهيزات'!C44</f>
        <v>0</v>
      </c>
      <c r="D164" s="45">
        <f>+'مركز التجهيزات'!D44</f>
        <v>0</v>
      </c>
      <c r="E164" s="45">
        <f>+'مركز التجهيزات'!E44</f>
        <v>0</v>
      </c>
      <c r="F164" s="46">
        <f>'مركز التجهيزات'!F44</f>
        <v>0</v>
      </c>
      <c r="G164" s="46">
        <f>'مركز التجهيزات'!G44</f>
        <v>0</v>
      </c>
      <c r="H164" s="46">
        <f>'مركز التجهيزات'!H44</f>
        <v>0</v>
      </c>
      <c r="I164" s="46">
        <f>'مركز التجهيزات'!I44</f>
        <v>0</v>
      </c>
      <c r="J164" s="46">
        <f>'مركز التجهيزات'!J44</f>
        <v>0</v>
      </c>
      <c r="K164" s="46">
        <f>'مركز التجهيزات'!K44</f>
        <v>0</v>
      </c>
      <c r="L164" s="46">
        <f>'مركز التجهيزات'!L44</f>
        <v>0</v>
      </c>
      <c r="M164" s="46">
        <f>'مركز التجهيزات'!M44</f>
        <v>0</v>
      </c>
      <c r="N164" s="46">
        <f>'مركز التجهيزات'!N44</f>
        <v>0</v>
      </c>
      <c r="O164" s="46">
        <f>'مركز التجهيزات'!O44</f>
        <v>0</v>
      </c>
      <c r="P164" s="46">
        <f>'مركز التجهيزات'!P44</f>
        <v>0</v>
      </c>
      <c r="Q164" s="46">
        <f>'مركز التجهيزات'!Q44</f>
        <v>0</v>
      </c>
      <c r="R164" s="47">
        <f>'مركز التجهيزات'!R44</f>
        <v>0</v>
      </c>
      <c r="S164" s="47">
        <f>'مركز التجهيزات'!S44</f>
        <v>0</v>
      </c>
      <c r="T164" s="46">
        <f>'مركز التجهيزات'!T44</f>
        <v>0</v>
      </c>
      <c r="U164" s="46">
        <f>'مركز التجهيزات'!U44</f>
        <v>0</v>
      </c>
      <c r="V164" s="46">
        <f>'مركز التجهيزات'!V44</f>
        <v>0</v>
      </c>
      <c r="W164" s="46">
        <f>'مركز التجهيزات'!W44</f>
        <v>0</v>
      </c>
      <c r="X164" s="46">
        <f>'مركز التجهيزات'!X44</f>
        <v>0</v>
      </c>
      <c r="Y164" s="46">
        <f>'مركز التجهيزات'!Y44</f>
        <v>0</v>
      </c>
      <c r="Z164" s="46">
        <f>'مركز التجهيزات'!Z44</f>
        <v>0</v>
      </c>
      <c r="AA164" s="46">
        <f>'مركز التجهيزات'!AA44</f>
        <v>0</v>
      </c>
      <c r="AB164" s="46">
        <f>'مركز التجهيزات'!AB44</f>
        <v>0</v>
      </c>
      <c r="AC164" s="46">
        <f>'مركز التجهيزات'!AC44</f>
        <v>0</v>
      </c>
      <c r="AD164" s="46">
        <f>'مركز التجهيزات'!AD44</f>
        <v>0</v>
      </c>
      <c r="AE164" s="46">
        <f>'مركز التجهيزات'!AE44</f>
        <v>0</v>
      </c>
      <c r="AF164" s="46">
        <f>'مركز التجهيزات'!AF44</f>
        <v>0</v>
      </c>
      <c r="AG164" s="46">
        <f>'مركز التجهيزات'!AG44</f>
        <v>0</v>
      </c>
      <c r="AH164" s="46">
        <f>'مركز التجهيزات'!AH44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+'مركز التجهيزات'!A45</f>
        <v>0</v>
      </c>
      <c r="B168" s="44">
        <f>+'مركز التجهيزات'!B45</f>
        <v>0</v>
      </c>
      <c r="C168" s="45">
        <f>+'مركز التجهيزات'!C45</f>
        <v>0</v>
      </c>
      <c r="D168" s="45">
        <f>+'مركز التجهيزات'!D45</f>
        <v>0</v>
      </c>
      <c r="E168" s="45">
        <f>+'مركز التجهيزات'!E45</f>
        <v>0</v>
      </c>
      <c r="F168" s="46">
        <f>'مركز التجهيزات'!F45</f>
        <v>0</v>
      </c>
      <c r="G168" s="46">
        <f>'مركز التجهيزات'!G45</f>
        <v>0</v>
      </c>
      <c r="H168" s="46">
        <f>'مركز التجهيزات'!H45</f>
        <v>0</v>
      </c>
      <c r="I168" s="46">
        <f>'مركز التجهيزات'!I45</f>
        <v>0</v>
      </c>
      <c r="J168" s="46">
        <f>'مركز التجهيزات'!J45</f>
        <v>0</v>
      </c>
      <c r="K168" s="46">
        <f>'مركز التجهيزات'!K45</f>
        <v>0</v>
      </c>
      <c r="L168" s="46">
        <f>'مركز التجهيزات'!L45</f>
        <v>0</v>
      </c>
      <c r="M168" s="46">
        <f>'مركز التجهيزات'!M45</f>
        <v>0</v>
      </c>
      <c r="N168" s="46">
        <f>'مركز التجهيزات'!N45</f>
        <v>0</v>
      </c>
      <c r="O168" s="46">
        <f>'مركز التجهيزات'!O45</f>
        <v>0</v>
      </c>
      <c r="P168" s="46">
        <f>'مركز التجهيزات'!P45</f>
        <v>0</v>
      </c>
      <c r="Q168" s="46">
        <f>'مركز التجهيزات'!Q45</f>
        <v>0</v>
      </c>
      <c r="R168" s="47">
        <f>'مركز التجهيزات'!R45</f>
        <v>0</v>
      </c>
      <c r="S168" s="47">
        <f>'مركز التجهيزات'!S45</f>
        <v>0</v>
      </c>
      <c r="T168" s="46">
        <f>'مركز التجهيزات'!T45</f>
        <v>0</v>
      </c>
      <c r="U168" s="46">
        <f>'مركز التجهيزات'!U45</f>
        <v>0</v>
      </c>
      <c r="V168" s="46">
        <f>'مركز التجهيزات'!V45</f>
        <v>0</v>
      </c>
      <c r="W168" s="46">
        <f>'مركز التجهيزات'!W45</f>
        <v>0</v>
      </c>
      <c r="X168" s="46">
        <f>'مركز التجهيزات'!X45</f>
        <v>0</v>
      </c>
      <c r="Y168" s="46">
        <f>'مركز التجهيزات'!Y45</f>
        <v>0</v>
      </c>
      <c r="Z168" s="46">
        <f>'مركز التجهيزات'!Z45</f>
        <v>0</v>
      </c>
      <c r="AA168" s="46">
        <f>'مركز التجهيزات'!AA45</f>
        <v>0</v>
      </c>
      <c r="AB168" s="46">
        <f>'مركز التجهيزات'!AB45</f>
        <v>0</v>
      </c>
      <c r="AC168" s="46">
        <f>'مركز التجهيزات'!AC45</f>
        <v>0</v>
      </c>
      <c r="AD168" s="46">
        <f>'مركز التجهيزات'!AD45</f>
        <v>0</v>
      </c>
      <c r="AE168" s="46">
        <f>'مركز التجهيزات'!AE45</f>
        <v>0</v>
      </c>
      <c r="AF168" s="46">
        <f>'مركز التجهيزات'!AF45</f>
        <v>0</v>
      </c>
      <c r="AG168" s="46">
        <f>'مركز التجهيزات'!AG45</f>
        <v>0</v>
      </c>
      <c r="AH168" s="46">
        <f>'مركز التجهيزات'!AH45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+'مركز التجهيزات'!A46</f>
        <v>0</v>
      </c>
      <c r="B172" s="44">
        <f>+'مركز التجهيزات'!B46</f>
        <v>0</v>
      </c>
      <c r="C172" s="45">
        <f>+'مركز التجهيزات'!C46</f>
        <v>0</v>
      </c>
      <c r="D172" s="45">
        <f>+'مركز التجهيزات'!D46</f>
        <v>0</v>
      </c>
      <c r="E172" s="45">
        <f>+'مركز التجهيزات'!E46</f>
        <v>0</v>
      </c>
      <c r="F172" s="46">
        <f>'مركز التجهيزات'!F46</f>
        <v>0</v>
      </c>
      <c r="G172" s="46">
        <f>'مركز التجهيزات'!G46</f>
        <v>0</v>
      </c>
      <c r="H172" s="46">
        <f>'مركز التجهيزات'!H46</f>
        <v>0</v>
      </c>
      <c r="I172" s="46">
        <f>'مركز التجهيزات'!I46</f>
        <v>0</v>
      </c>
      <c r="J172" s="46">
        <f>'مركز التجهيزات'!J46</f>
        <v>0</v>
      </c>
      <c r="K172" s="46">
        <f>'مركز التجهيزات'!K46</f>
        <v>0</v>
      </c>
      <c r="L172" s="46">
        <f>'مركز التجهيزات'!L46</f>
        <v>0</v>
      </c>
      <c r="M172" s="46">
        <f>'مركز التجهيزات'!M46</f>
        <v>0</v>
      </c>
      <c r="N172" s="46">
        <f>'مركز التجهيزات'!N46</f>
        <v>0</v>
      </c>
      <c r="O172" s="46">
        <f>'مركز التجهيزات'!O46</f>
        <v>0</v>
      </c>
      <c r="P172" s="46">
        <f>'مركز التجهيزات'!P46</f>
        <v>0</v>
      </c>
      <c r="Q172" s="46">
        <f>'مركز التجهيزات'!Q46</f>
        <v>0</v>
      </c>
      <c r="R172" s="47">
        <f>'مركز التجهيزات'!R46</f>
        <v>0</v>
      </c>
      <c r="S172" s="47"/>
      <c r="T172" s="46">
        <f>'مركز التجهيزات'!T46</f>
        <v>0</v>
      </c>
      <c r="U172" s="46">
        <f>'مركز التجهيزات'!U46</f>
        <v>0</v>
      </c>
      <c r="V172" s="46">
        <f>'مركز التجهيزات'!V46</f>
        <v>0</v>
      </c>
      <c r="W172" s="46">
        <f>'مركز التجهيزات'!W46</f>
        <v>0</v>
      </c>
      <c r="X172" s="46">
        <f>'مركز التجهيزات'!X46</f>
        <v>0</v>
      </c>
      <c r="Y172" s="46">
        <f>'مركز التجهيزات'!Y46</f>
        <v>0</v>
      </c>
      <c r="Z172" s="46">
        <f>'مركز التجهيزات'!Z46</f>
        <v>0</v>
      </c>
      <c r="AA172" s="46">
        <f>'مركز التجهيزات'!AA46</f>
        <v>0</v>
      </c>
      <c r="AB172" s="46">
        <f>'مركز التجهيزات'!AB46</f>
        <v>0</v>
      </c>
      <c r="AC172" s="46">
        <f>'مركز التجهيزات'!AC46</f>
        <v>0</v>
      </c>
      <c r="AD172" s="46">
        <f>'مركز التجهيزات'!AD46</f>
        <v>0</v>
      </c>
      <c r="AE172" s="46">
        <f>'مركز التجهيزات'!AE46</f>
        <v>0</v>
      </c>
      <c r="AF172" s="46">
        <f>'مركز التجهيزات'!AF46</f>
        <v>0</v>
      </c>
      <c r="AG172" s="46">
        <f>'مركز التجهيزات'!AG46</f>
        <v>0</v>
      </c>
      <c r="AH172" s="46">
        <f>'مركز التجهيزات'!AH46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+'مركز التجهيزات'!A47</f>
        <v>0</v>
      </c>
      <c r="B176" s="44">
        <f>+'مركز التجهيزات'!B47</f>
        <v>0</v>
      </c>
      <c r="C176" s="45">
        <f>+'مركز التجهيزات'!C47</f>
        <v>0</v>
      </c>
      <c r="D176" s="45">
        <f>+'مركز التجهيزات'!D47</f>
        <v>0</v>
      </c>
      <c r="E176" s="45">
        <f>+'مركز التجهيزات'!E47</f>
        <v>0</v>
      </c>
      <c r="F176" s="46">
        <f>'مركز التجهيزات'!F47</f>
        <v>0</v>
      </c>
      <c r="G176" s="46">
        <f>'مركز التجهيزات'!G47</f>
        <v>0</v>
      </c>
      <c r="H176" s="46">
        <f>'مركز التجهيزات'!H47</f>
        <v>0</v>
      </c>
      <c r="I176" s="46">
        <f>'مركز التجهيزات'!I47</f>
        <v>0</v>
      </c>
      <c r="J176" s="46">
        <f>'مركز التجهيزات'!J47</f>
        <v>0</v>
      </c>
      <c r="K176" s="46">
        <f>'مركز التجهيزات'!K47</f>
        <v>0</v>
      </c>
      <c r="L176" s="46">
        <f>'مركز التجهيزات'!L47</f>
        <v>0</v>
      </c>
      <c r="M176" s="46">
        <f>'مركز التجهيزات'!M47</f>
        <v>0</v>
      </c>
      <c r="N176" s="46">
        <f>'مركز التجهيزات'!N47</f>
        <v>0</v>
      </c>
      <c r="O176" s="46">
        <f>'مركز التجهيزات'!O47</f>
        <v>0</v>
      </c>
      <c r="P176" s="46">
        <f>'مركز التجهيزات'!P47</f>
        <v>0</v>
      </c>
      <c r="Q176" s="46">
        <f>'مركز التجهيزات'!Q47</f>
        <v>0</v>
      </c>
      <c r="R176" s="47">
        <f>'مركز التجهيزات'!R47</f>
        <v>0</v>
      </c>
      <c r="S176" s="47">
        <f>'مركز التجهيزات'!S47</f>
        <v>0</v>
      </c>
      <c r="T176" s="46">
        <f>'مركز التجهيزات'!T47</f>
        <v>0</v>
      </c>
      <c r="U176" s="46">
        <f>'مركز التجهيزات'!U47</f>
        <v>0</v>
      </c>
      <c r="V176" s="46">
        <f>'مركز التجهيزات'!V47</f>
        <v>0</v>
      </c>
      <c r="W176" s="46">
        <f>'مركز التجهيزات'!W47</f>
        <v>0</v>
      </c>
      <c r="X176" s="46">
        <f>'مركز التجهيزات'!X47</f>
        <v>0</v>
      </c>
      <c r="Y176" s="46">
        <f>'مركز التجهيزات'!Y47</f>
        <v>0</v>
      </c>
      <c r="Z176" s="46">
        <f>'مركز التجهيزات'!Z47</f>
        <v>0</v>
      </c>
      <c r="AA176" s="46">
        <f>'مركز التجهيزات'!AA47</f>
        <v>0</v>
      </c>
      <c r="AB176" s="46">
        <f>'مركز التجهيزات'!AB47</f>
        <v>0</v>
      </c>
      <c r="AC176" s="46">
        <f>'مركز التجهيزات'!AC47</f>
        <v>0</v>
      </c>
      <c r="AD176" s="46">
        <f>'مركز التجهيزات'!AD47</f>
        <v>0</v>
      </c>
      <c r="AE176" s="46">
        <f>'مركز التجهيزات'!AE47</f>
        <v>0</v>
      </c>
      <c r="AF176" s="46">
        <f>'مركز التجهيزات'!AF47</f>
        <v>0</v>
      </c>
      <c r="AG176" s="46">
        <f>'مركز التجهيزات'!AG47</f>
        <v>0</v>
      </c>
      <c r="AH176" s="46">
        <f>'مركز التجهيزات'!AH47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+'مركز التجهيزات'!A48</f>
        <v>0</v>
      </c>
      <c r="B180" s="44">
        <f>+'مركز التجهيزات'!B48</f>
        <v>0</v>
      </c>
      <c r="C180" s="45">
        <f>+'مركز التجهيزات'!C48</f>
        <v>0</v>
      </c>
      <c r="D180" s="45">
        <f>+'مركز التجهيزات'!D48</f>
        <v>0</v>
      </c>
      <c r="E180" s="45">
        <f>+'مركز التجهيزات'!E48</f>
        <v>0</v>
      </c>
      <c r="F180" s="46">
        <f>'مركز التجهيزات'!F48</f>
        <v>0</v>
      </c>
      <c r="G180" s="46">
        <f>'مركز التجهيزات'!G48</f>
        <v>0</v>
      </c>
      <c r="H180" s="46">
        <f>'مركز التجهيزات'!H48</f>
        <v>0</v>
      </c>
      <c r="I180" s="46">
        <f>'مركز التجهيزات'!I48</f>
        <v>0</v>
      </c>
      <c r="J180" s="46">
        <f>'مركز التجهيزات'!J48</f>
        <v>0</v>
      </c>
      <c r="K180" s="46">
        <f>'مركز التجهيزات'!K48</f>
        <v>0</v>
      </c>
      <c r="L180" s="46">
        <f>'مركز التجهيزات'!L48</f>
        <v>0</v>
      </c>
      <c r="M180" s="46">
        <f>'مركز التجهيزات'!M48</f>
        <v>0</v>
      </c>
      <c r="N180" s="46">
        <f>'مركز التجهيزات'!N48</f>
        <v>0</v>
      </c>
      <c r="O180" s="46">
        <f>'مركز التجهيزات'!O48</f>
        <v>0</v>
      </c>
      <c r="P180" s="46">
        <f>'مركز التجهيزات'!P48</f>
        <v>0</v>
      </c>
      <c r="Q180" s="46">
        <f>'مركز التجهيزات'!Q48</f>
        <v>0</v>
      </c>
      <c r="R180" s="47">
        <f>'مركز التجهيزات'!R48</f>
        <v>0</v>
      </c>
      <c r="S180" s="47">
        <f>'مركز التجهيزات'!S48</f>
        <v>0</v>
      </c>
      <c r="T180" s="46">
        <f>'مركز التجهيزات'!T48</f>
        <v>0</v>
      </c>
      <c r="U180" s="46">
        <f>'مركز التجهيزات'!U48</f>
        <v>0</v>
      </c>
      <c r="V180" s="46">
        <f>'مركز التجهيزات'!V48</f>
        <v>0</v>
      </c>
      <c r="W180" s="46">
        <f>'مركز التجهيزات'!W48</f>
        <v>0</v>
      </c>
      <c r="X180" s="46">
        <f>'مركز التجهيزات'!X48</f>
        <v>0</v>
      </c>
      <c r="Y180" s="46">
        <f>'مركز التجهيزات'!Y48</f>
        <v>0</v>
      </c>
      <c r="Z180" s="46">
        <f>'مركز التجهيزات'!Z48</f>
        <v>0</v>
      </c>
      <c r="AA180" s="46">
        <f>'مركز التجهيزات'!AA48</f>
        <v>0</v>
      </c>
      <c r="AB180" s="46">
        <f>'مركز التجهيزات'!AB48</f>
        <v>0</v>
      </c>
      <c r="AC180" s="46">
        <f>'مركز التجهيزات'!AC48</f>
        <v>0</v>
      </c>
      <c r="AD180" s="46">
        <f>'مركز التجهيزات'!AD48</f>
        <v>0</v>
      </c>
      <c r="AE180" s="46">
        <f>'مركز التجهيزات'!AE48</f>
        <v>0</v>
      </c>
      <c r="AF180" s="46">
        <f>'مركز التجهيزات'!AF48</f>
        <v>0</v>
      </c>
      <c r="AG180" s="46">
        <f>'مركز التجهيزات'!AG48</f>
        <v>0</v>
      </c>
      <c r="AH180" s="46">
        <f>'مركز التجهيزات'!AH48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+'مركز التجهيزات'!A49</f>
        <v>0</v>
      </c>
      <c r="B184" s="44">
        <f>+'مركز التجهيزات'!B49</f>
        <v>0</v>
      </c>
      <c r="C184" s="45">
        <f>+'مركز التجهيزات'!C49</f>
        <v>0</v>
      </c>
      <c r="D184" s="45">
        <f>+'مركز التجهيزات'!D49</f>
        <v>0</v>
      </c>
      <c r="E184" s="45">
        <f>+'مركز التجهيزات'!E49</f>
        <v>0</v>
      </c>
      <c r="F184" s="46">
        <f>'مركز التجهيزات'!F49</f>
        <v>0</v>
      </c>
      <c r="G184" s="46">
        <f>'مركز التجهيزات'!G49</f>
        <v>0</v>
      </c>
      <c r="H184" s="46">
        <f>'مركز التجهيزات'!H49</f>
        <v>0</v>
      </c>
      <c r="I184" s="46">
        <f>'مركز التجهيزات'!I49</f>
        <v>0</v>
      </c>
      <c r="J184" s="46">
        <f>'مركز التجهيزات'!J49</f>
        <v>0</v>
      </c>
      <c r="K184" s="46">
        <f>'مركز التجهيزات'!K49</f>
        <v>0</v>
      </c>
      <c r="L184" s="46">
        <f>'مركز التجهيزات'!L49</f>
        <v>0</v>
      </c>
      <c r="M184" s="46">
        <f>'مركز التجهيزات'!M49</f>
        <v>0</v>
      </c>
      <c r="N184" s="46">
        <f>'مركز التجهيزات'!N49</f>
        <v>0</v>
      </c>
      <c r="O184" s="46">
        <f>'مركز التجهيزات'!O49</f>
        <v>0</v>
      </c>
      <c r="P184" s="46">
        <f>'مركز التجهيزات'!P49</f>
        <v>0</v>
      </c>
      <c r="Q184" s="46">
        <f>'مركز التجهيزات'!Q49</f>
        <v>0</v>
      </c>
      <c r="R184" s="47">
        <f>'مركز التجهيزات'!R49</f>
        <v>0</v>
      </c>
      <c r="S184" s="47">
        <f>'مركز التجهيزات'!S49</f>
        <v>0</v>
      </c>
      <c r="T184" s="46">
        <f>'مركز التجهيزات'!T49</f>
        <v>0</v>
      </c>
      <c r="U184" s="46">
        <f>'مركز التجهيزات'!U49</f>
        <v>0</v>
      </c>
      <c r="V184" s="46">
        <f>'مركز التجهيزات'!V49</f>
        <v>0</v>
      </c>
      <c r="W184" s="46">
        <f>'مركز التجهيزات'!W49</f>
        <v>0</v>
      </c>
      <c r="X184" s="46">
        <f>'مركز التجهيزات'!X49</f>
        <v>0</v>
      </c>
      <c r="Y184" s="46">
        <f>'مركز التجهيزات'!Y49</f>
        <v>0</v>
      </c>
      <c r="Z184" s="46">
        <f>'مركز التجهيزات'!Z49</f>
        <v>0</v>
      </c>
      <c r="AA184" s="46">
        <f>'مركز التجهيزات'!AA49</f>
        <v>0</v>
      </c>
      <c r="AB184" s="46">
        <f>'مركز التجهيزات'!AB49</f>
        <v>0</v>
      </c>
      <c r="AC184" s="46">
        <f>'مركز التجهيزات'!AC49</f>
        <v>0</v>
      </c>
      <c r="AD184" s="46">
        <f>'مركز التجهيزات'!AD49</f>
        <v>0</v>
      </c>
      <c r="AE184" s="46">
        <f>'مركز التجهيزات'!AE49</f>
        <v>0</v>
      </c>
      <c r="AF184" s="46">
        <f>'مركز التجهيزات'!AF49</f>
        <v>0</v>
      </c>
      <c r="AG184" s="46">
        <f>'مركز التجهيزات'!AG49</f>
        <v>0</v>
      </c>
      <c r="AH184" s="46">
        <f>'مركز التجهيزات'!AH49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+'مركز التجهيزات'!A50</f>
        <v>0</v>
      </c>
      <c r="B188" s="44">
        <f>+'مركز التجهيزات'!B50</f>
        <v>0</v>
      </c>
      <c r="C188" s="45">
        <f>+'مركز التجهيزات'!C50</f>
        <v>0</v>
      </c>
      <c r="D188" s="45">
        <f>+'مركز التجهيزات'!D50</f>
        <v>0</v>
      </c>
      <c r="E188" s="45">
        <f>+'مركز التجهيزات'!E50</f>
        <v>0</v>
      </c>
      <c r="F188" s="46">
        <f>'مركز التجهيزات'!F50</f>
        <v>0</v>
      </c>
      <c r="G188" s="46">
        <f>'مركز التجهيزات'!G50</f>
        <v>0</v>
      </c>
      <c r="H188" s="46">
        <f>'مركز التجهيزات'!H50</f>
        <v>0</v>
      </c>
      <c r="I188" s="46">
        <f>'مركز التجهيزات'!I50</f>
        <v>0</v>
      </c>
      <c r="J188" s="46">
        <f>'مركز التجهيزات'!J50</f>
        <v>0</v>
      </c>
      <c r="K188" s="46">
        <f>'مركز التجهيزات'!K50</f>
        <v>0</v>
      </c>
      <c r="L188" s="46">
        <f>'مركز التجهيزات'!L50</f>
        <v>0</v>
      </c>
      <c r="M188" s="46">
        <f>'مركز التجهيزات'!M50</f>
        <v>0</v>
      </c>
      <c r="N188" s="46">
        <f>'مركز التجهيزات'!N50</f>
        <v>0</v>
      </c>
      <c r="O188" s="46">
        <f>'مركز التجهيزات'!O50</f>
        <v>0</v>
      </c>
      <c r="P188" s="46">
        <f>'مركز التجهيزات'!P50</f>
        <v>0</v>
      </c>
      <c r="Q188" s="46">
        <f>'مركز التجهيزات'!Q50</f>
        <v>0</v>
      </c>
      <c r="R188" s="47">
        <f>'مركز التجهيزات'!R50</f>
        <v>0</v>
      </c>
      <c r="S188" s="47">
        <f>'مركز التجهيزات'!S50</f>
        <v>0</v>
      </c>
      <c r="T188" s="46">
        <f>'مركز التجهيزات'!T50</f>
        <v>0</v>
      </c>
      <c r="U188" s="46">
        <f>'مركز التجهيزات'!U50</f>
        <v>0</v>
      </c>
      <c r="V188" s="46">
        <f>'مركز التجهيزات'!V50</f>
        <v>0</v>
      </c>
      <c r="W188" s="46">
        <f>'مركز التجهيزات'!W50</f>
        <v>0</v>
      </c>
      <c r="X188" s="46">
        <f>'مركز التجهيزات'!X50</f>
        <v>0</v>
      </c>
      <c r="Y188" s="46">
        <f>'مركز التجهيزات'!Y50</f>
        <v>0</v>
      </c>
      <c r="Z188" s="46">
        <f>'مركز التجهيزات'!Z50</f>
        <v>0</v>
      </c>
      <c r="AA188" s="46">
        <f>'مركز التجهيزات'!AA50</f>
        <v>0</v>
      </c>
      <c r="AB188" s="46">
        <f>'مركز التجهيزات'!AB50</f>
        <v>0</v>
      </c>
      <c r="AC188" s="46">
        <f>'مركز التجهيزات'!AC50</f>
        <v>0</v>
      </c>
      <c r="AD188" s="46">
        <f>'مركز التجهيزات'!AD50</f>
        <v>0</v>
      </c>
      <c r="AE188" s="46">
        <f>'مركز التجهيزات'!AE50</f>
        <v>0</v>
      </c>
      <c r="AF188" s="46">
        <f>'مركز التجهيزات'!AF50</f>
        <v>0</v>
      </c>
      <c r="AG188" s="46">
        <f>'مركز التجهيزات'!AG50</f>
        <v>0</v>
      </c>
      <c r="AH188" s="46">
        <f>'مركز التجهيزات'!AH50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+'مركز التجهيزات'!A51</f>
        <v>0</v>
      </c>
      <c r="B192" s="44">
        <f>+'مركز التجهيزات'!B51</f>
        <v>0</v>
      </c>
      <c r="C192" s="45">
        <f>+'مركز التجهيزات'!C51</f>
        <v>0</v>
      </c>
      <c r="D192" s="45">
        <f>+'مركز التجهيزات'!D51</f>
        <v>0</v>
      </c>
      <c r="E192" s="45">
        <f>+'مركز التجهيزات'!E51</f>
        <v>0</v>
      </c>
      <c r="F192" s="46">
        <f>'مركز التجهيزات'!F51</f>
        <v>0</v>
      </c>
      <c r="G192" s="46">
        <f>'مركز التجهيزات'!G51</f>
        <v>0</v>
      </c>
      <c r="H192" s="46">
        <f>'مركز التجهيزات'!H51</f>
        <v>0</v>
      </c>
      <c r="I192" s="46">
        <f>'مركز التجهيزات'!I51</f>
        <v>0</v>
      </c>
      <c r="J192" s="46">
        <f>'مركز التجهيزات'!J51</f>
        <v>0</v>
      </c>
      <c r="K192" s="46">
        <f>'مركز التجهيزات'!K51</f>
        <v>0</v>
      </c>
      <c r="L192" s="46">
        <f>'مركز التجهيزات'!L51</f>
        <v>0</v>
      </c>
      <c r="M192" s="46">
        <f>'مركز التجهيزات'!M51</f>
        <v>0</v>
      </c>
      <c r="N192" s="46">
        <f>'مركز التجهيزات'!N51</f>
        <v>0</v>
      </c>
      <c r="O192" s="46">
        <f>'مركز التجهيزات'!O51</f>
        <v>0</v>
      </c>
      <c r="P192" s="46">
        <f>'مركز التجهيزات'!P51</f>
        <v>0</v>
      </c>
      <c r="Q192" s="46">
        <f>'مركز التجهيزات'!Q51</f>
        <v>0</v>
      </c>
      <c r="R192" s="47">
        <f>'مركز التجهيزات'!R51</f>
        <v>0</v>
      </c>
      <c r="S192" s="47">
        <f>'مركز التجهيزات'!S51</f>
        <v>0</v>
      </c>
      <c r="T192" s="46">
        <f>'مركز التجهيزات'!T51</f>
        <v>0</v>
      </c>
      <c r="U192" s="46">
        <f>'مركز التجهيزات'!U51</f>
        <v>0</v>
      </c>
      <c r="V192" s="46">
        <f>'مركز التجهيزات'!V51</f>
        <v>0</v>
      </c>
      <c r="W192" s="46">
        <f>'مركز التجهيزات'!W51</f>
        <v>0</v>
      </c>
      <c r="X192" s="46">
        <f>'مركز التجهيزات'!X51</f>
        <v>0</v>
      </c>
      <c r="Y192" s="46">
        <f>'مركز التجهيزات'!Y51</f>
        <v>0</v>
      </c>
      <c r="Z192" s="46">
        <f>'مركز التجهيزات'!Z51</f>
        <v>0</v>
      </c>
      <c r="AA192" s="46">
        <f>'مركز التجهيزات'!AA51</f>
        <v>0</v>
      </c>
      <c r="AB192" s="46">
        <f>'مركز التجهيزات'!AB51</f>
        <v>0</v>
      </c>
      <c r="AC192" s="46">
        <f>'مركز التجهيزات'!AC51</f>
        <v>0</v>
      </c>
      <c r="AD192" s="46">
        <f>'مركز التجهيزات'!AD51</f>
        <v>0</v>
      </c>
      <c r="AE192" s="46">
        <f>'مركز التجهيزات'!AE51</f>
        <v>0</v>
      </c>
      <c r="AF192" s="46">
        <f>'مركز التجهيزات'!AF51</f>
        <v>0</v>
      </c>
      <c r="AG192" s="46">
        <f>'مركز التجهيزات'!AG51</f>
        <v>0</v>
      </c>
      <c r="AH192" s="46">
        <f>'مركز التجهيزات'!AH51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+'مركز التجهيزات'!A52</f>
        <v>0</v>
      </c>
      <c r="B196" s="44">
        <f>+'مركز التجهيزات'!B52</f>
        <v>0</v>
      </c>
      <c r="C196" s="45">
        <f>+'مركز التجهيزات'!C52</f>
        <v>0</v>
      </c>
      <c r="D196" s="45">
        <f>+'مركز التجهيزات'!D52</f>
        <v>0</v>
      </c>
      <c r="E196" s="45">
        <f>+'مركز التجهيزات'!E52</f>
        <v>0</v>
      </c>
      <c r="F196" s="46">
        <f>'مركز التجهيزات'!F52</f>
        <v>0</v>
      </c>
      <c r="G196" s="46">
        <f>'مركز التجهيزات'!G52</f>
        <v>0</v>
      </c>
      <c r="H196" s="46">
        <f>'مركز التجهيزات'!H52</f>
        <v>0</v>
      </c>
      <c r="I196" s="46">
        <f>'مركز التجهيزات'!I52</f>
        <v>0</v>
      </c>
      <c r="J196" s="46">
        <f>'مركز التجهيزات'!J52</f>
        <v>0</v>
      </c>
      <c r="K196" s="46">
        <f>'مركز التجهيزات'!K52</f>
        <v>0</v>
      </c>
      <c r="L196" s="46">
        <f>'مركز التجهيزات'!L52</f>
        <v>0</v>
      </c>
      <c r="M196" s="46">
        <f>'مركز التجهيزات'!M52</f>
        <v>0</v>
      </c>
      <c r="N196" s="46">
        <f>'مركز التجهيزات'!N52</f>
        <v>0</v>
      </c>
      <c r="O196" s="46">
        <f>'مركز التجهيزات'!O52</f>
        <v>0</v>
      </c>
      <c r="P196" s="46">
        <f>'مركز التجهيزات'!P52</f>
        <v>0</v>
      </c>
      <c r="Q196" s="46">
        <f>'مركز التجهيزات'!Q52</f>
        <v>0</v>
      </c>
      <c r="R196" s="47">
        <f>'مركز التجهيزات'!R52</f>
        <v>0</v>
      </c>
      <c r="S196" s="47">
        <f>'مركز التجهيزات'!S52</f>
        <v>0</v>
      </c>
      <c r="T196" s="46">
        <f>'مركز التجهيزات'!T52</f>
        <v>0</v>
      </c>
      <c r="U196" s="46">
        <f>'مركز التجهيزات'!U52</f>
        <v>0</v>
      </c>
      <c r="V196" s="46">
        <f>'مركز التجهيزات'!V52</f>
        <v>0</v>
      </c>
      <c r="W196" s="46">
        <f>'مركز التجهيزات'!W52</f>
        <v>0</v>
      </c>
      <c r="X196" s="46">
        <f>'مركز التجهيزات'!X52</f>
        <v>0</v>
      </c>
      <c r="Y196" s="46">
        <f>'مركز التجهيزات'!Y52</f>
        <v>0</v>
      </c>
      <c r="Z196" s="46">
        <f>'مركز التجهيزات'!Z52</f>
        <v>0</v>
      </c>
      <c r="AA196" s="46">
        <f>'مركز التجهيزات'!AA52</f>
        <v>0</v>
      </c>
      <c r="AB196" s="46">
        <f>'مركز التجهيزات'!AB52</f>
        <v>0</v>
      </c>
      <c r="AC196" s="46">
        <f>'مركز التجهيزات'!AC52</f>
        <v>0</v>
      </c>
      <c r="AD196" s="46">
        <f>'مركز التجهيزات'!AD52</f>
        <v>0</v>
      </c>
      <c r="AE196" s="46">
        <f>'مركز التجهيزات'!AE52</f>
        <v>0</v>
      </c>
      <c r="AF196" s="46">
        <f>'مركز التجهيزات'!AF52</f>
        <v>0</v>
      </c>
      <c r="AG196" s="46">
        <f>'مركز التجهيزات'!AG52</f>
        <v>0</v>
      </c>
      <c r="AH196" s="46">
        <f>'مركز التجهيزات'!AH52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+'مركز التجهيزات'!A53</f>
        <v>0</v>
      </c>
      <c r="B200" s="44">
        <f>+'مركز التجهيزات'!B53</f>
        <v>0</v>
      </c>
      <c r="C200" s="45">
        <f>+'مركز التجهيزات'!C53</f>
        <v>0</v>
      </c>
      <c r="D200" s="45">
        <f>+'مركز التجهيزات'!D53</f>
        <v>0</v>
      </c>
      <c r="E200" s="45">
        <f>+'مركز التجهيزات'!E53</f>
        <v>0</v>
      </c>
      <c r="F200" s="46">
        <f>'مركز التجهيزات'!F53</f>
        <v>0</v>
      </c>
      <c r="G200" s="46">
        <f>'مركز التجهيزات'!G53</f>
        <v>0</v>
      </c>
      <c r="H200" s="46">
        <f>'مركز التجهيزات'!H53</f>
        <v>0</v>
      </c>
      <c r="I200" s="46">
        <f>'مركز التجهيزات'!I53</f>
        <v>0</v>
      </c>
      <c r="J200" s="46">
        <f>'مركز التجهيزات'!J53</f>
        <v>0</v>
      </c>
      <c r="K200" s="46">
        <f>'مركز التجهيزات'!K53</f>
        <v>0</v>
      </c>
      <c r="L200" s="46">
        <f>'مركز التجهيزات'!L53</f>
        <v>0</v>
      </c>
      <c r="M200" s="46">
        <f>'مركز التجهيزات'!M53</f>
        <v>0</v>
      </c>
      <c r="N200" s="46">
        <f>'مركز التجهيزات'!N53</f>
        <v>0</v>
      </c>
      <c r="O200" s="46">
        <f>'مركز التجهيزات'!O53</f>
        <v>0</v>
      </c>
      <c r="P200" s="46">
        <f>'مركز التجهيزات'!P53</f>
        <v>0</v>
      </c>
      <c r="Q200" s="46">
        <f>'مركز التجهيزات'!Q53</f>
        <v>0</v>
      </c>
      <c r="R200" s="47">
        <f>'مركز التجهيزات'!R53</f>
        <v>0</v>
      </c>
      <c r="S200" s="47">
        <f>'مركز التجهيزات'!S53</f>
        <v>0</v>
      </c>
      <c r="T200" s="46">
        <f>'مركز التجهيزات'!T53</f>
        <v>0</v>
      </c>
      <c r="U200" s="46">
        <f>'مركز التجهيزات'!U53</f>
        <v>0</v>
      </c>
      <c r="V200" s="46">
        <f>'مركز التجهيزات'!V53</f>
        <v>0</v>
      </c>
      <c r="W200" s="46">
        <f>'مركز التجهيزات'!W53</f>
        <v>0</v>
      </c>
      <c r="X200" s="46">
        <f>'مركز التجهيزات'!X53</f>
        <v>0</v>
      </c>
      <c r="Y200" s="46">
        <f>'مركز التجهيزات'!Y53</f>
        <v>0</v>
      </c>
      <c r="Z200" s="46">
        <f>'مركز التجهيزات'!Z53</f>
        <v>0</v>
      </c>
      <c r="AA200" s="46">
        <f>'مركز التجهيزات'!AA53</f>
        <v>0</v>
      </c>
      <c r="AB200" s="46">
        <f>'مركز التجهيزات'!AB53</f>
        <v>0</v>
      </c>
      <c r="AC200" s="46">
        <f>'مركز التجهيزات'!AC53</f>
        <v>0</v>
      </c>
      <c r="AD200" s="46">
        <f>'مركز التجهيزات'!AD53</f>
        <v>0</v>
      </c>
      <c r="AE200" s="46">
        <f>'مركز التجهيزات'!AE53</f>
        <v>0</v>
      </c>
      <c r="AF200" s="46">
        <f>'مركز التجهيزات'!AF53</f>
        <v>0</v>
      </c>
      <c r="AG200" s="46">
        <f>'مركز التجهيزات'!AG53</f>
        <v>0</v>
      </c>
      <c r="AH200" s="46">
        <f>'مركز التجهيزات'!AH53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+'مركز التجهيزات'!A54</f>
        <v>0</v>
      </c>
      <c r="B204" s="44">
        <f>+'مركز التجهيزات'!B54</f>
        <v>0</v>
      </c>
      <c r="C204" s="45">
        <f>+'مركز التجهيزات'!C54</f>
        <v>0</v>
      </c>
      <c r="D204" s="45">
        <f>+'مركز التجهيزات'!D54</f>
        <v>0</v>
      </c>
      <c r="E204" s="45">
        <f>+'مركز التجهيزات'!E54</f>
        <v>0</v>
      </c>
      <c r="F204" s="46">
        <f>'مركز التجهيزات'!F54</f>
        <v>0</v>
      </c>
      <c r="G204" s="46">
        <f>'مركز التجهيزات'!G54</f>
        <v>0</v>
      </c>
      <c r="H204" s="46">
        <f>'مركز التجهيزات'!H54</f>
        <v>0</v>
      </c>
      <c r="I204" s="46">
        <f>'مركز التجهيزات'!I54</f>
        <v>0</v>
      </c>
      <c r="J204" s="46">
        <f>'مركز التجهيزات'!J54</f>
        <v>0</v>
      </c>
      <c r="K204" s="46">
        <f>'مركز التجهيزات'!K54</f>
        <v>0</v>
      </c>
      <c r="L204" s="46">
        <f>'مركز التجهيزات'!L54</f>
        <v>0</v>
      </c>
      <c r="M204" s="46">
        <f>'مركز التجهيزات'!M54</f>
        <v>0</v>
      </c>
      <c r="N204" s="46">
        <f>'مركز التجهيزات'!N54</f>
        <v>0</v>
      </c>
      <c r="O204" s="46">
        <f>'مركز التجهيزات'!O54</f>
        <v>0</v>
      </c>
      <c r="P204" s="46">
        <f>'مركز التجهيزات'!P54</f>
        <v>0</v>
      </c>
      <c r="Q204" s="46">
        <f>'مركز التجهيزات'!Q54</f>
        <v>0</v>
      </c>
      <c r="R204" s="47">
        <f>'مركز التجهيزات'!R54</f>
        <v>0</v>
      </c>
      <c r="S204" s="47">
        <f>'مركز التجهيزات'!S54</f>
        <v>0</v>
      </c>
      <c r="T204" s="46">
        <f>'مركز التجهيزات'!T54</f>
        <v>0</v>
      </c>
      <c r="U204" s="46">
        <f>'مركز التجهيزات'!U54</f>
        <v>0</v>
      </c>
      <c r="V204" s="46">
        <f>'مركز التجهيزات'!V54</f>
        <v>0</v>
      </c>
      <c r="W204" s="46">
        <f>'مركز التجهيزات'!W54</f>
        <v>0</v>
      </c>
      <c r="X204" s="46">
        <f>'مركز التجهيزات'!X54</f>
        <v>0</v>
      </c>
      <c r="Y204" s="46">
        <f>'مركز التجهيزات'!Y54</f>
        <v>0</v>
      </c>
      <c r="Z204" s="46">
        <f>'مركز التجهيزات'!Z54</f>
        <v>0</v>
      </c>
      <c r="AA204" s="46">
        <f>'مركز التجهيزات'!AA54</f>
        <v>0</v>
      </c>
      <c r="AB204" s="46">
        <f>'مركز التجهيزات'!AB54</f>
        <v>0</v>
      </c>
      <c r="AC204" s="46">
        <f>'مركز التجهيزات'!AC54</f>
        <v>0</v>
      </c>
      <c r="AD204" s="46">
        <f>'مركز التجهيزات'!AD54</f>
        <v>0</v>
      </c>
      <c r="AE204" s="46">
        <f>'مركز التجهيزات'!AE54</f>
        <v>0</v>
      </c>
      <c r="AF204" s="46">
        <f>'مركز التجهيزات'!AF54</f>
        <v>0</v>
      </c>
      <c r="AG204" s="46">
        <f>'مركز التجهيزات'!AG54</f>
        <v>0</v>
      </c>
      <c r="AH204" s="46">
        <f>'مركز التجهيزات'!AH54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+'مركز التجهيزات'!A55</f>
        <v>0</v>
      </c>
      <c r="B208" s="44">
        <f>+'مركز التجهيزات'!B55</f>
        <v>0</v>
      </c>
      <c r="C208" s="45">
        <f>+'مركز التجهيزات'!C55</f>
        <v>0</v>
      </c>
      <c r="D208" s="45">
        <f>+'مركز التجهيزات'!D55</f>
        <v>0</v>
      </c>
      <c r="E208" s="45">
        <f>+'مركز التجهيزات'!E55</f>
        <v>0</v>
      </c>
      <c r="F208" s="46">
        <f>'مركز التجهيزات'!F55</f>
        <v>0</v>
      </c>
      <c r="G208" s="46">
        <f>'مركز التجهيزات'!G55</f>
        <v>0</v>
      </c>
      <c r="H208" s="46">
        <f>'مركز التجهيزات'!H55</f>
        <v>0</v>
      </c>
      <c r="I208" s="46">
        <f>'مركز التجهيزات'!I55</f>
        <v>0</v>
      </c>
      <c r="J208" s="46">
        <f>'مركز التجهيزات'!J55</f>
        <v>0</v>
      </c>
      <c r="K208" s="46">
        <f>'مركز التجهيزات'!K55</f>
        <v>0</v>
      </c>
      <c r="L208" s="46">
        <f>'مركز التجهيزات'!L55</f>
        <v>0</v>
      </c>
      <c r="M208" s="46">
        <f>'مركز التجهيزات'!M55</f>
        <v>0</v>
      </c>
      <c r="N208" s="46">
        <f>'مركز التجهيزات'!N55</f>
        <v>0</v>
      </c>
      <c r="O208" s="46">
        <f>'مركز التجهيزات'!O55</f>
        <v>0</v>
      </c>
      <c r="P208" s="46">
        <f>'مركز التجهيزات'!P55</f>
        <v>0</v>
      </c>
      <c r="Q208" s="46">
        <f>'مركز التجهيزات'!Q55</f>
        <v>0</v>
      </c>
      <c r="R208" s="47">
        <f>'مركز التجهيزات'!R55</f>
        <v>0</v>
      </c>
      <c r="S208" s="47">
        <f>'مركز التجهيزات'!S55</f>
        <v>0</v>
      </c>
      <c r="T208" s="46">
        <f>'مركز التجهيزات'!T55</f>
        <v>0</v>
      </c>
      <c r="U208" s="46">
        <f>'مركز التجهيزات'!U55</f>
        <v>0</v>
      </c>
      <c r="V208" s="46">
        <f>'مركز التجهيزات'!V55</f>
        <v>0</v>
      </c>
      <c r="W208" s="46">
        <f>'مركز التجهيزات'!W55</f>
        <v>0</v>
      </c>
      <c r="X208" s="46">
        <f>'مركز التجهيزات'!X55</f>
        <v>0</v>
      </c>
      <c r="Y208" s="46">
        <f>'مركز التجهيزات'!Y55</f>
        <v>0</v>
      </c>
      <c r="Z208" s="46">
        <f>'مركز التجهيزات'!Z55</f>
        <v>0</v>
      </c>
      <c r="AA208" s="46">
        <f>'مركز التجهيزات'!AA55</f>
        <v>0</v>
      </c>
      <c r="AB208" s="46">
        <f>'مركز التجهيزات'!AB55</f>
        <v>0</v>
      </c>
      <c r="AC208" s="46">
        <f>'مركز التجهيزات'!AC55</f>
        <v>0</v>
      </c>
      <c r="AD208" s="46">
        <f>'مركز التجهيزات'!AD55</f>
        <v>0</v>
      </c>
      <c r="AE208" s="46">
        <f>'مركز التجهيزات'!AE55</f>
        <v>0</v>
      </c>
      <c r="AF208" s="46">
        <f>'مركز التجهيزات'!AF55</f>
        <v>0</v>
      </c>
      <c r="AG208" s="46">
        <f>'مركز التجهيزات'!AG55</f>
        <v>0</v>
      </c>
      <c r="AH208" s="46">
        <f>'مركز التجهيزات'!AH55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+'مركز التجهيزات'!A56</f>
        <v>0</v>
      </c>
      <c r="B212" s="44">
        <f>+'مركز التجهيزات'!B56</f>
        <v>0</v>
      </c>
      <c r="C212" s="45">
        <f>+'مركز التجهيزات'!C56</f>
        <v>0</v>
      </c>
      <c r="D212" s="45">
        <f>+'مركز التجهيزات'!D56</f>
        <v>0</v>
      </c>
      <c r="E212" s="45">
        <f>+'مركز التجهيزات'!E56</f>
        <v>0</v>
      </c>
      <c r="F212" s="46">
        <f>'مركز التجهيزات'!F56</f>
        <v>0</v>
      </c>
      <c r="G212" s="46">
        <f>'مركز التجهيزات'!G56</f>
        <v>0</v>
      </c>
      <c r="H212" s="46">
        <f>'مركز التجهيزات'!H56</f>
        <v>0</v>
      </c>
      <c r="I212" s="46">
        <f>'مركز التجهيزات'!I56</f>
        <v>0</v>
      </c>
      <c r="J212" s="46">
        <f>'مركز التجهيزات'!J56</f>
        <v>0</v>
      </c>
      <c r="K212" s="46">
        <f>'مركز التجهيزات'!K56</f>
        <v>0</v>
      </c>
      <c r="L212" s="46">
        <f>'مركز التجهيزات'!L56</f>
        <v>0</v>
      </c>
      <c r="M212" s="46">
        <f>'مركز التجهيزات'!M56</f>
        <v>0</v>
      </c>
      <c r="N212" s="46">
        <f>'مركز التجهيزات'!N56</f>
        <v>0</v>
      </c>
      <c r="O212" s="46">
        <f>'مركز التجهيزات'!O56</f>
        <v>0</v>
      </c>
      <c r="P212" s="46">
        <f>'مركز التجهيزات'!P56</f>
        <v>0</v>
      </c>
      <c r="Q212" s="46">
        <f>'مركز التجهيزات'!Q56</f>
        <v>0</v>
      </c>
      <c r="R212" s="47">
        <f>'مركز التجهيزات'!R56</f>
        <v>0</v>
      </c>
      <c r="S212" s="47"/>
      <c r="T212" s="46">
        <f>'مركز التجهيزات'!T56</f>
        <v>0</v>
      </c>
      <c r="U212" s="46">
        <f>'مركز التجهيزات'!U56</f>
        <v>0</v>
      </c>
      <c r="V212" s="46">
        <f>'مركز التجهيزات'!V56</f>
        <v>0</v>
      </c>
      <c r="W212" s="46">
        <f>'مركز التجهيزات'!W56</f>
        <v>0</v>
      </c>
      <c r="X212" s="46">
        <f>'مركز التجهيزات'!X56</f>
        <v>0</v>
      </c>
      <c r="Y212" s="46">
        <f>'مركز التجهيزات'!Y56</f>
        <v>0</v>
      </c>
      <c r="Z212" s="46">
        <f>'مركز التجهيزات'!Z56</f>
        <v>0</v>
      </c>
      <c r="AA212" s="46">
        <f>'مركز التجهيزات'!AA56</f>
        <v>0</v>
      </c>
      <c r="AB212" s="46">
        <f>'مركز التجهيزات'!AB56</f>
        <v>0</v>
      </c>
      <c r="AC212" s="46">
        <f>'مركز التجهيزات'!AC56</f>
        <v>0</v>
      </c>
      <c r="AD212" s="46">
        <f>'مركز التجهيزات'!AD56</f>
        <v>0</v>
      </c>
      <c r="AE212" s="46">
        <f>'مركز التجهيزات'!AE56</f>
        <v>0</v>
      </c>
      <c r="AF212" s="46">
        <f>'مركز التجهيزات'!AF56</f>
        <v>0</v>
      </c>
      <c r="AG212" s="46">
        <f>'مركز التجهيزات'!AG56</f>
        <v>0</v>
      </c>
      <c r="AH212" s="46">
        <f>'مركز التجهيزات'!AH56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+'مركز التجهيزات'!A57</f>
        <v>0</v>
      </c>
      <c r="B216" s="44">
        <f>+'مركز التجهيزات'!B57</f>
        <v>0</v>
      </c>
      <c r="C216" s="45">
        <f>+'مركز التجهيزات'!C57</f>
        <v>0</v>
      </c>
      <c r="D216" s="45">
        <f>+'مركز التجهيزات'!D57</f>
        <v>0</v>
      </c>
      <c r="E216" s="45">
        <f>+'مركز التجهيزات'!E57</f>
        <v>0</v>
      </c>
      <c r="F216" s="46">
        <f>'مركز التجهيزات'!F57</f>
        <v>0</v>
      </c>
      <c r="G216" s="46">
        <f>'مركز التجهيزات'!G57</f>
        <v>0</v>
      </c>
      <c r="H216" s="46">
        <f>'مركز التجهيزات'!H57</f>
        <v>0</v>
      </c>
      <c r="I216" s="46">
        <f>'مركز التجهيزات'!I57</f>
        <v>0</v>
      </c>
      <c r="J216" s="46">
        <f>'مركز التجهيزات'!J57</f>
        <v>0</v>
      </c>
      <c r="K216" s="46">
        <f>'مركز التجهيزات'!K57</f>
        <v>0</v>
      </c>
      <c r="L216" s="46">
        <f>'مركز التجهيزات'!L57</f>
        <v>0</v>
      </c>
      <c r="M216" s="46">
        <f>'مركز التجهيزات'!M57</f>
        <v>0</v>
      </c>
      <c r="N216" s="46">
        <f>'مركز التجهيزات'!N57</f>
        <v>0</v>
      </c>
      <c r="O216" s="46">
        <f>'مركز التجهيزات'!O57</f>
        <v>0</v>
      </c>
      <c r="P216" s="46">
        <f>'مركز التجهيزات'!P57</f>
        <v>0</v>
      </c>
      <c r="Q216" s="46">
        <f>'مركز التجهيزات'!Q57</f>
        <v>0</v>
      </c>
      <c r="R216" s="47">
        <f>'مركز التجهيزات'!R57</f>
        <v>0</v>
      </c>
      <c r="S216" s="47">
        <f>'مركز التجهيزات'!S57</f>
        <v>0</v>
      </c>
      <c r="T216" s="46">
        <f>'مركز التجهيزات'!T57</f>
        <v>0</v>
      </c>
      <c r="U216" s="46">
        <f>'مركز التجهيزات'!U57</f>
        <v>0</v>
      </c>
      <c r="V216" s="46">
        <f>'مركز التجهيزات'!V57</f>
        <v>0</v>
      </c>
      <c r="W216" s="46">
        <f>'مركز التجهيزات'!W57</f>
        <v>0</v>
      </c>
      <c r="X216" s="46">
        <f>'مركز التجهيزات'!X57</f>
        <v>0</v>
      </c>
      <c r="Y216" s="46">
        <f>'مركز التجهيزات'!Y57</f>
        <v>0</v>
      </c>
      <c r="Z216" s="46">
        <f>'مركز التجهيزات'!Z57</f>
        <v>0</v>
      </c>
      <c r="AA216" s="46">
        <f>'مركز التجهيزات'!AA57</f>
        <v>0</v>
      </c>
      <c r="AB216" s="46">
        <f>'مركز التجهيزات'!AB57</f>
        <v>0</v>
      </c>
      <c r="AC216" s="46">
        <f>'مركز التجهيزات'!AC57</f>
        <v>0</v>
      </c>
      <c r="AD216" s="46">
        <f>'مركز التجهيزات'!AD57</f>
        <v>0</v>
      </c>
      <c r="AE216" s="46">
        <f>'مركز التجهيزات'!AE57</f>
        <v>0</v>
      </c>
      <c r="AF216" s="46">
        <f>'مركز التجهيزات'!AF57</f>
        <v>0</v>
      </c>
      <c r="AG216" s="46">
        <f>'مركز التجهيزات'!AG57</f>
        <v>0</v>
      </c>
      <c r="AH216" s="46">
        <f>'مركز التجهيزات'!AH57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+'مركز التجهيزات'!A58</f>
        <v>0</v>
      </c>
      <c r="B220" s="44">
        <f>+'مركز التجهيزات'!B58</f>
        <v>0</v>
      </c>
      <c r="C220" s="45">
        <f>+'مركز التجهيزات'!C58</f>
        <v>0</v>
      </c>
      <c r="D220" s="45">
        <f>+'مركز التجهيزات'!D58</f>
        <v>0</v>
      </c>
      <c r="E220" s="45">
        <f>+'مركز التجهيزات'!E58</f>
        <v>0</v>
      </c>
      <c r="F220" s="46">
        <f>'مركز التجهيزات'!F58</f>
        <v>0</v>
      </c>
      <c r="G220" s="46">
        <f>'مركز التجهيزات'!G58</f>
        <v>0</v>
      </c>
      <c r="H220" s="46">
        <f>'مركز التجهيزات'!H58</f>
        <v>0</v>
      </c>
      <c r="I220" s="46">
        <f>'مركز التجهيزات'!I58</f>
        <v>0</v>
      </c>
      <c r="J220" s="46">
        <f>'مركز التجهيزات'!J58</f>
        <v>0</v>
      </c>
      <c r="K220" s="46">
        <f>'مركز التجهيزات'!K58</f>
        <v>0</v>
      </c>
      <c r="L220" s="46">
        <f>'مركز التجهيزات'!L58</f>
        <v>0</v>
      </c>
      <c r="M220" s="46">
        <f>'مركز التجهيزات'!M58</f>
        <v>0</v>
      </c>
      <c r="N220" s="46">
        <f>'مركز التجهيزات'!N58</f>
        <v>0</v>
      </c>
      <c r="O220" s="46">
        <f>'مركز التجهيزات'!O58</f>
        <v>0</v>
      </c>
      <c r="P220" s="46">
        <f>'مركز التجهيزات'!P58</f>
        <v>0</v>
      </c>
      <c r="Q220" s="46">
        <f>'مركز التجهيزات'!Q58</f>
        <v>0</v>
      </c>
      <c r="R220" s="47">
        <f>'مركز التجهيزات'!R58</f>
        <v>0</v>
      </c>
      <c r="S220" s="47">
        <f>'مركز التجهيزات'!S58</f>
        <v>0</v>
      </c>
      <c r="T220" s="46">
        <f>'مركز التجهيزات'!T58</f>
        <v>0</v>
      </c>
      <c r="U220" s="46">
        <f>'مركز التجهيزات'!U58</f>
        <v>0</v>
      </c>
      <c r="V220" s="46">
        <f>'مركز التجهيزات'!V58</f>
        <v>0</v>
      </c>
      <c r="W220" s="46">
        <f>'مركز التجهيزات'!W58</f>
        <v>0</v>
      </c>
      <c r="X220" s="46">
        <f>'مركز التجهيزات'!X58</f>
        <v>0</v>
      </c>
      <c r="Y220" s="46">
        <f>'مركز التجهيزات'!Y58</f>
        <v>0</v>
      </c>
      <c r="Z220" s="46">
        <f>'مركز التجهيزات'!Z58</f>
        <v>0</v>
      </c>
      <c r="AA220" s="46">
        <f>'مركز التجهيزات'!AA58</f>
        <v>0</v>
      </c>
      <c r="AB220" s="46">
        <f>'مركز التجهيزات'!AB58</f>
        <v>0</v>
      </c>
      <c r="AC220" s="46">
        <f>'مركز التجهيزات'!AC58</f>
        <v>0</v>
      </c>
      <c r="AD220" s="46">
        <f>'مركز التجهيزات'!AD58</f>
        <v>0</v>
      </c>
      <c r="AE220" s="46">
        <f>'مركز التجهيزات'!AE58</f>
        <v>0</v>
      </c>
      <c r="AF220" s="46">
        <f>'مركز التجهيزات'!AF58</f>
        <v>0</v>
      </c>
      <c r="AG220" s="46">
        <f>'مركز التجهيزات'!AG58</f>
        <v>0</v>
      </c>
      <c r="AH220" s="46">
        <f>'مركز التجهيزات'!AH58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+'مركز التجهيزات'!A59</f>
        <v>0</v>
      </c>
      <c r="B224" s="44">
        <f>+'مركز التجهيزات'!B59</f>
        <v>0</v>
      </c>
      <c r="C224" s="45">
        <f>+'مركز التجهيزات'!C59</f>
        <v>0</v>
      </c>
      <c r="D224" s="45">
        <f>+'مركز التجهيزات'!D59</f>
        <v>0</v>
      </c>
      <c r="E224" s="45">
        <f>+'مركز التجهيزات'!E59</f>
        <v>0</v>
      </c>
      <c r="F224" s="46">
        <f>'مركز التجهيزات'!F59</f>
        <v>0</v>
      </c>
      <c r="G224" s="46">
        <f>'مركز التجهيزات'!G59</f>
        <v>0</v>
      </c>
      <c r="H224" s="46">
        <f>'مركز التجهيزات'!H59</f>
        <v>0</v>
      </c>
      <c r="I224" s="46">
        <f>'مركز التجهيزات'!I59</f>
        <v>0</v>
      </c>
      <c r="J224" s="46">
        <f>'مركز التجهيزات'!J59</f>
        <v>0</v>
      </c>
      <c r="K224" s="46">
        <f>'مركز التجهيزات'!K59</f>
        <v>0</v>
      </c>
      <c r="L224" s="46">
        <f>'مركز التجهيزات'!L59</f>
        <v>0</v>
      </c>
      <c r="M224" s="46">
        <f>'مركز التجهيزات'!M59</f>
        <v>0</v>
      </c>
      <c r="N224" s="46">
        <f>'مركز التجهيزات'!N59</f>
        <v>0</v>
      </c>
      <c r="O224" s="46">
        <f>'مركز التجهيزات'!O59</f>
        <v>0</v>
      </c>
      <c r="P224" s="46">
        <f>'مركز التجهيزات'!P59</f>
        <v>0</v>
      </c>
      <c r="Q224" s="46">
        <f>'مركز التجهيزات'!Q59</f>
        <v>0</v>
      </c>
      <c r="R224" s="47">
        <f>'مركز التجهيزات'!R59</f>
        <v>0</v>
      </c>
      <c r="S224" s="47"/>
      <c r="T224" s="46">
        <f>'مركز التجهيزات'!T59</f>
        <v>0</v>
      </c>
      <c r="U224" s="46">
        <f>'مركز التجهيزات'!U59</f>
        <v>0</v>
      </c>
      <c r="V224" s="46">
        <f>'مركز التجهيزات'!V59</f>
        <v>0</v>
      </c>
      <c r="W224" s="46">
        <f>'مركز التجهيزات'!W59</f>
        <v>0</v>
      </c>
      <c r="X224" s="46">
        <f>'مركز التجهيزات'!X59</f>
        <v>0</v>
      </c>
      <c r="Y224" s="46">
        <f>'مركز التجهيزات'!Y59</f>
        <v>0</v>
      </c>
      <c r="Z224" s="46">
        <f>'مركز التجهيزات'!Z59</f>
        <v>0</v>
      </c>
      <c r="AA224" s="46">
        <f>'مركز التجهيزات'!AA59</f>
        <v>0</v>
      </c>
      <c r="AB224" s="46">
        <f>'مركز التجهيزات'!AB59</f>
        <v>0</v>
      </c>
      <c r="AC224" s="46">
        <f>'مركز التجهيزات'!AC59</f>
        <v>0</v>
      </c>
      <c r="AD224" s="46">
        <f>'مركز التجهيزات'!AD59</f>
        <v>0</v>
      </c>
      <c r="AE224" s="46">
        <f>'مركز التجهيزات'!AE59</f>
        <v>0</v>
      </c>
      <c r="AF224" s="46">
        <f>'مركز التجهيزات'!AF59</f>
        <v>0</v>
      </c>
      <c r="AG224" s="46">
        <f>'مركز التجهيزات'!AG59</f>
        <v>0</v>
      </c>
      <c r="AH224" s="46">
        <f>'مركز التجهيزات'!AH59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+'مركز التجهيزات'!A60</f>
        <v>0</v>
      </c>
      <c r="B228" s="44">
        <f>+'مركز التجهيزات'!B60</f>
        <v>0</v>
      </c>
      <c r="C228" s="45">
        <f>+'مركز التجهيزات'!C60</f>
        <v>0</v>
      </c>
      <c r="D228" s="45">
        <f>+'مركز التجهيزات'!D60</f>
        <v>0</v>
      </c>
      <c r="E228" s="45">
        <f>+'مركز التجهيزات'!E60</f>
        <v>0</v>
      </c>
      <c r="F228" s="46">
        <f>'مركز التجهيزات'!F60</f>
        <v>0</v>
      </c>
      <c r="G228" s="46">
        <f>'مركز التجهيزات'!G60</f>
        <v>0</v>
      </c>
      <c r="H228" s="46">
        <f>'مركز التجهيزات'!H60</f>
        <v>0</v>
      </c>
      <c r="I228" s="46">
        <f>'مركز التجهيزات'!I60</f>
        <v>0</v>
      </c>
      <c r="J228" s="46">
        <f>'مركز التجهيزات'!J60</f>
        <v>0</v>
      </c>
      <c r="K228" s="46">
        <f>'مركز التجهيزات'!K60</f>
        <v>0</v>
      </c>
      <c r="L228" s="46">
        <f>'مركز التجهيزات'!L60</f>
        <v>0</v>
      </c>
      <c r="M228" s="46">
        <f>'مركز التجهيزات'!M60</f>
        <v>0</v>
      </c>
      <c r="N228" s="46">
        <f>'مركز التجهيزات'!N60</f>
        <v>0</v>
      </c>
      <c r="O228" s="46">
        <f>'مركز التجهيزات'!O60</f>
        <v>0</v>
      </c>
      <c r="P228" s="46">
        <f>'مركز التجهيزات'!P60</f>
        <v>0</v>
      </c>
      <c r="Q228" s="46">
        <f>'مركز التجهيزات'!Q60</f>
        <v>0</v>
      </c>
      <c r="R228" s="47">
        <f>'مركز التجهيزات'!R60</f>
        <v>0</v>
      </c>
      <c r="S228" s="47">
        <f>'مركز التجهيزات'!S60</f>
        <v>0</v>
      </c>
      <c r="T228" s="46">
        <f>'مركز التجهيزات'!T60</f>
        <v>0</v>
      </c>
      <c r="U228" s="46">
        <f>'مركز التجهيزات'!U60</f>
        <v>0</v>
      </c>
      <c r="V228" s="46">
        <f>'مركز التجهيزات'!V60</f>
        <v>0</v>
      </c>
      <c r="W228" s="46">
        <f>'مركز التجهيزات'!W60</f>
        <v>0</v>
      </c>
      <c r="X228" s="46">
        <f>'مركز التجهيزات'!X60</f>
        <v>0</v>
      </c>
      <c r="Y228" s="46">
        <f>'مركز التجهيزات'!Y60</f>
        <v>0</v>
      </c>
      <c r="Z228" s="46">
        <f>'مركز التجهيزات'!Z60</f>
        <v>0</v>
      </c>
      <c r="AA228" s="46">
        <f>'مركز التجهيزات'!AA60</f>
        <v>0</v>
      </c>
      <c r="AB228" s="46">
        <f>'مركز التجهيزات'!AB60</f>
        <v>0</v>
      </c>
      <c r="AC228" s="46">
        <f>'مركز التجهيزات'!AC60</f>
        <v>0</v>
      </c>
      <c r="AD228" s="46">
        <f>'مركز التجهيزات'!AD60</f>
        <v>0</v>
      </c>
      <c r="AE228" s="46">
        <f>'مركز التجهيزات'!AE60</f>
        <v>0</v>
      </c>
      <c r="AF228" s="46">
        <f>'مركز التجهيزات'!AF60</f>
        <v>0</v>
      </c>
      <c r="AG228" s="46">
        <f>'مركز التجهيزات'!AG60</f>
        <v>0</v>
      </c>
      <c r="AH228" s="46">
        <f>'مركز التجهيزات'!AH60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+'مركز التجهيزات'!A61</f>
        <v>0</v>
      </c>
      <c r="B232" s="44">
        <f>+'مركز التجهيزات'!B61</f>
        <v>0</v>
      </c>
      <c r="C232" s="45">
        <f>+'مركز التجهيزات'!C61</f>
        <v>0</v>
      </c>
      <c r="D232" s="45">
        <f>+'مركز التجهيزات'!D61</f>
        <v>0</v>
      </c>
      <c r="E232" s="45">
        <f>+'مركز التجهيزات'!E61</f>
        <v>0</v>
      </c>
      <c r="F232" s="46">
        <f>'مركز التجهيزات'!F61</f>
        <v>0</v>
      </c>
      <c r="G232" s="46">
        <f>'مركز التجهيزات'!G61</f>
        <v>0</v>
      </c>
      <c r="H232" s="46">
        <f>'مركز التجهيزات'!H61</f>
        <v>0</v>
      </c>
      <c r="I232" s="46">
        <f>'مركز التجهيزات'!I61</f>
        <v>0</v>
      </c>
      <c r="J232" s="46">
        <f>'مركز التجهيزات'!J61</f>
        <v>0</v>
      </c>
      <c r="K232" s="46">
        <f>'مركز التجهيزات'!K61</f>
        <v>0</v>
      </c>
      <c r="L232" s="46">
        <f>'مركز التجهيزات'!L61</f>
        <v>0</v>
      </c>
      <c r="M232" s="46">
        <f>'مركز التجهيزات'!M61</f>
        <v>0</v>
      </c>
      <c r="N232" s="46">
        <f>'مركز التجهيزات'!N61</f>
        <v>0</v>
      </c>
      <c r="O232" s="46">
        <f>'مركز التجهيزات'!O61</f>
        <v>0</v>
      </c>
      <c r="P232" s="46">
        <f>'مركز التجهيزات'!P61</f>
        <v>0</v>
      </c>
      <c r="Q232" s="46">
        <f>'مركز التجهيزات'!Q61</f>
        <v>0</v>
      </c>
      <c r="R232" s="47">
        <f>'مركز التجهيزات'!R61</f>
        <v>0</v>
      </c>
      <c r="S232" s="47">
        <f>'مركز التجهيزات'!S61</f>
        <v>0</v>
      </c>
      <c r="T232" s="46">
        <f>'مركز التجهيزات'!T61</f>
        <v>0</v>
      </c>
      <c r="U232" s="46">
        <f>'مركز التجهيزات'!U61</f>
        <v>0</v>
      </c>
      <c r="V232" s="46">
        <f>'مركز التجهيزات'!V61</f>
        <v>0</v>
      </c>
      <c r="W232" s="46">
        <f>'مركز التجهيزات'!W61</f>
        <v>0</v>
      </c>
      <c r="X232" s="46">
        <f>'مركز التجهيزات'!X61</f>
        <v>0</v>
      </c>
      <c r="Y232" s="46">
        <f>'مركز التجهيزات'!Y61</f>
        <v>0</v>
      </c>
      <c r="Z232" s="46">
        <f>'مركز التجهيزات'!Z61</f>
        <v>0</v>
      </c>
      <c r="AA232" s="46">
        <f>'مركز التجهيزات'!AA61</f>
        <v>0</v>
      </c>
      <c r="AB232" s="46">
        <f>'مركز التجهيزات'!AB61</f>
        <v>0</v>
      </c>
      <c r="AC232" s="46">
        <f>'مركز التجهيزات'!AC61</f>
        <v>0</v>
      </c>
      <c r="AD232" s="46">
        <f>'مركز التجهيزات'!AD61</f>
        <v>0</v>
      </c>
      <c r="AE232" s="46">
        <f>'مركز التجهيزات'!AE61</f>
        <v>0</v>
      </c>
      <c r="AF232" s="46">
        <f>'مركز التجهيزات'!AF61</f>
        <v>0</v>
      </c>
      <c r="AG232" s="46">
        <f>'مركز التجهيزات'!AG61</f>
        <v>0</v>
      </c>
      <c r="AH232" s="46">
        <f>'مركز التجهيزات'!AH61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+'مركز التجهيزات'!A62</f>
        <v>0</v>
      </c>
      <c r="B236" s="44">
        <f>+'مركز التجهيزات'!B62</f>
        <v>0</v>
      </c>
      <c r="C236" s="45">
        <f>+'مركز التجهيزات'!C62</f>
        <v>0</v>
      </c>
      <c r="D236" s="45">
        <f>+'مركز التجهيزات'!D62</f>
        <v>0</v>
      </c>
      <c r="E236" s="45">
        <f>+'مركز التجهيزات'!E62</f>
        <v>0</v>
      </c>
      <c r="F236" s="46">
        <f>'مركز التجهيزات'!F62</f>
        <v>0</v>
      </c>
      <c r="G236" s="46">
        <f>'مركز التجهيزات'!G62</f>
        <v>0</v>
      </c>
      <c r="H236" s="46">
        <f>'مركز التجهيزات'!H62</f>
        <v>0</v>
      </c>
      <c r="I236" s="46">
        <f>'مركز التجهيزات'!I62</f>
        <v>0</v>
      </c>
      <c r="J236" s="46">
        <f>'مركز التجهيزات'!J62</f>
        <v>0</v>
      </c>
      <c r="K236" s="46">
        <f>'مركز التجهيزات'!K62</f>
        <v>0</v>
      </c>
      <c r="L236" s="46">
        <f>'مركز التجهيزات'!L62</f>
        <v>0</v>
      </c>
      <c r="M236" s="46">
        <f>'مركز التجهيزات'!M62</f>
        <v>0</v>
      </c>
      <c r="N236" s="46">
        <f>'مركز التجهيزات'!N62</f>
        <v>0</v>
      </c>
      <c r="O236" s="46">
        <f>'مركز التجهيزات'!O62</f>
        <v>0</v>
      </c>
      <c r="P236" s="46">
        <f>'مركز التجهيزات'!P62</f>
        <v>0</v>
      </c>
      <c r="Q236" s="46">
        <f>'مركز التجهيزات'!Q62</f>
        <v>0</v>
      </c>
      <c r="R236" s="47">
        <f>'مركز التجهيزات'!R62</f>
        <v>0</v>
      </c>
      <c r="S236" s="47">
        <f>'مركز التجهيزات'!S62</f>
        <v>0</v>
      </c>
      <c r="T236" s="46">
        <f>'مركز التجهيزات'!T62</f>
        <v>0</v>
      </c>
      <c r="U236" s="46">
        <f>'مركز التجهيزات'!U62</f>
        <v>0</v>
      </c>
      <c r="V236" s="46">
        <f>'مركز التجهيزات'!V62</f>
        <v>0</v>
      </c>
      <c r="W236" s="46">
        <f>'مركز التجهيزات'!W62</f>
        <v>0</v>
      </c>
      <c r="X236" s="46">
        <f>'مركز التجهيزات'!X62</f>
        <v>0</v>
      </c>
      <c r="Y236" s="46">
        <f>'مركز التجهيزات'!Y62</f>
        <v>0</v>
      </c>
      <c r="Z236" s="46">
        <f>'مركز التجهيزات'!Z62</f>
        <v>0</v>
      </c>
      <c r="AA236" s="46">
        <f>'مركز التجهيزات'!AA62</f>
        <v>0</v>
      </c>
      <c r="AB236" s="46">
        <f>'مركز التجهيزات'!AB62</f>
        <v>0</v>
      </c>
      <c r="AC236" s="46">
        <f>'مركز التجهيزات'!AC62</f>
        <v>0</v>
      </c>
      <c r="AD236" s="46">
        <f>'مركز التجهيزات'!AD62</f>
        <v>0</v>
      </c>
      <c r="AE236" s="46">
        <f>'مركز التجهيزات'!AE62</f>
        <v>0</v>
      </c>
      <c r="AF236" s="46">
        <f>'مركز التجهيزات'!AF62</f>
        <v>0</v>
      </c>
      <c r="AG236" s="46">
        <f>'مركز التجهيزات'!AG62</f>
        <v>0</v>
      </c>
      <c r="AH236" s="46">
        <f>'مركز التجهيزات'!AH62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+'مركز التجهيزات'!A63</f>
        <v>0</v>
      </c>
      <c r="B240" s="44">
        <f>+'مركز التجهيزات'!B63</f>
        <v>0</v>
      </c>
      <c r="C240" s="45">
        <f>+'مركز التجهيزات'!C63</f>
        <v>0</v>
      </c>
      <c r="D240" s="45">
        <f>+'مركز التجهيزات'!D63</f>
        <v>0</v>
      </c>
      <c r="E240" s="45">
        <f>+'مركز التجهيزات'!E63</f>
        <v>0</v>
      </c>
      <c r="F240" s="46">
        <f>'مركز التجهيزات'!F63</f>
        <v>0</v>
      </c>
      <c r="G240" s="46">
        <f>'مركز التجهيزات'!G63</f>
        <v>0</v>
      </c>
      <c r="H240" s="46">
        <f>'مركز التجهيزات'!H63</f>
        <v>0</v>
      </c>
      <c r="I240" s="46">
        <f>'مركز التجهيزات'!I63</f>
        <v>0</v>
      </c>
      <c r="J240" s="46">
        <f>'مركز التجهيزات'!J63</f>
        <v>0</v>
      </c>
      <c r="K240" s="46">
        <f>'مركز التجهيزات'!K63</f>
        <v>0</v>
      </c>
      <c r="L240" s="46">
        <f>'مركز التجهيزات'!L63</f>
        <v>0</v>
      </c>
      <c r="M240" s="46">
        <f>'مركز التجهيزات'!M63</f>
        <v>0</v>
      </c>
      <c r="N240" s="46">
        <f>'مركز التجهيزات'!N63</f>
        <v>0</v>
      </c>
      <c r="O240" s="46">
        <f>'مركز التجهيزات'!O63</f>
        <v>0</v>
      </c>
      <c r="P240" s="46">
        <f>'مركز التجهيزات'!P63</f>
        <v>0</v>
      </c>
      <c r="Q240" s="46">
        <f>'مركز التجهيزات'!Q63</f>
        <v>0</v>
      </c>
      <c r="R240" s="47">
        <f>'مركز التجهيزات'!R63</f>
        <v>0</v>
      </c>
      <c r="S240" s="47">
        <f>'مركز التجهيزات'!S63</f>
        <v>0</v>
      </c>
      <c r="T240" s="46">
        <f>'مركز التجهيزات'!T63</f>
        <v>0</v>
      </c>
      <c r="U240" s="46">
        <f>'مركز التجهيزات'!U63</f>
        <v>0</v>
      </c>
      <c r="V240" s="46">
        <f>'مركز التجهيزات'!V63</f>
        <v>0</v>
      </c>
      <c r="W240" s="46">
        <f>'مركز التجهيزات'!W63</f>
        <v>0</v>
      </c>
      <c r="X240" s="46">
        <f>'مركز التجهيزات'!X63</f>
        <v>0</v>
      </c>
      <c r="Y240" s="46">
        <f>'مركز التجهيزات'!Y63</f>
        <v>0</v>
      </c>
      <c r="Z240" s="46">
        <f>'مركز التجهيزات'!Z63</f>
        <v>0</v>
      </c>
      <c r="AA240" s="46">
        <f>'مركز التجهيزات'!AA63</f>
        <v>0</v>
      </c>
      <c r="AB240" s="46">
        <f>'مركز التجهيزات'!AB63</f>
        <v>0</v>
      </c>
      <c r="AC240" s="46">
        <f>'مركز التجهيزات'!AC63</f>
        <v>0</v>
      </c>
      <c r="AD240" s="46">
        <f>'مركز التجهيزات'!AD63</f>
        <v>0</v>
      </c>
      <c r="AE240" s="46">
        <f>'مركز التجهيزات'!AE63</f>
        <v>0</v>
      </c>
      <c r="AF240" s="46">
        <f>'مركز التجهيزات'!AF63</f>
        <v>0</v>
      </c>
      <c r="AG240" s="46">
        <f>'مركز التجهيزات'!AG63</f>
        <v>0</v>
      </c>
      <c r="AH240" s="46">
        <f>'مركز التجهيزات'!AH63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+'مركز التجهيزات'!A64</f>
        <v>0</v>
      </c>
      <c r="B244" s="44">
        <f>+'مركز التجهيزات'!B64</f>
        <v>0</v>
      </c>
      <c r="C244" s="45">
        <f>+'مركز التجهيزات'!C64</f>
        <v>0</v>
      </c>
      <c r="D244" s="45">
        <f>+'مركز التجهيزات'!D64</f>
        <v>0</v>
      </c>
      <c r="E244" s="45">
        <f>+'مركز التجهيزات'!E64</f>
        <v>0</v>
      </c>
      <c r="F244" s="46">
        <f>'مركز التجهيزات'!F64</f>
        <v>0</v>
      </c>
      <c r="G244" s="46">
        <f>'مركز التجهيزات'!G64</f>
        <v>0</v>
      </c>
      <c r="H244" s="46">
        <f>'مركز التجهيزات'!H64</f>
        <v>0</v>
      </c>
      <c r="I244" s="46">
        <f>'مركز التجهيزات'!I64</f>
        <v>0</v>
      </c>
      <c r="J244" s="46">
        <f>'مركز التجهيزات'!J64</f>
        <v>0</v>
      </c>
      <c r="K244" s="46">
        <f>'مركز التجهيزات'!K64</f>
        <v>0</v>
      </c>
      <c r="L244" s="46">
        <f>'مركز التجهيزات'!L64</f>
        <v>0</v>
      </c>
      <c r="M244" s="46">
        <f>'مركز التجهيزات'!M64</f>
        <v>0</v>
      </c>
      <c r="N244" s="46">
        <f>'مركز التجهيزات'!N64</f>
        <v>0</v>
      </c>
      <c r="O244" s="46">
        <f>'مركز التجهيزات'!O64</f>
        <v>0</v>
      </c>
      <c r="P244" s="46">
        <f>'مركز التجهيزات'!P64</f>
        <v>0</v>
      </c>
      <c r="Q244" s="46">
        <f>'مركز التجهيزات'!Q64</f>
        <v>0</v>
      </c>
      <c r="R244" s="47">
        <f>'مركز التجهيزات'!R64</f>
        <v>0</v>
      </c>
      <c r="S244" s="47">
        <f>'مركز التجهيزات'!S64</f>
        <v>0</v>
      </c>
      <c r="T244" s="46">
        <f>'مركز التجهيزات'!T64</f>
        <v>0</v>
      </c>
      <c r="U244" s="46">
        <f>'مركز التجهيزات'!U64</f>
        <v>0</v>
      </c>
      <c r="V244" s="46">
        <f>'مركز التجهيزات'!V64</f>
        <v>0</v>
      </c>
      <c r="W244" s="46">
        <f>'مركز التجهيزات'!W64</f>
        <v>0</v>
      </c>
      <c r="X244" s="46">
        <f>'مركز التجهيزات'!X64</f>
        <v>0</v>
      </c>
      <c r="Y244" s="46">
        <f>'مركز التجهيزات'!Y64</f>
        <v>0</v>
      </c>
      <c r="Z244" s="46">
        <f>'مركز التجهيزات'!Z64</f>
        <v>0</v>
      </c>
      <c r="AA244" s="46">
        <f>'مركز التجهيزات'!AA64</f>
        <v>0</v>
      </c>
      <c r="AB244" s="46">
        <f>'مركز التجهيزات'!AB64</f>
        <v>0</v>
      </c>
      <c r="AC244" s="46">
        <f>'مركز التجهيزات'!AC64</f>
        <v>0</v>
      </c>
      <c r="AD244" s="46">
        <f>'مركز التجهيزات'!AD64</f>
        <v>0</v>
      </c>
      <c r="AE244" s="46">
        <f>'مركز التجهيزات'!AE64</f>
        <v>0</v>
      </c>
      <c r="AF244" s="46">
        <f>'مركز التجهيزات'!AF64</f>
        <v>0</v>
      </c>
      <c r="AG244" s="46">
        <f>'مركز التجهيزات'!AG64</f>
        <v>0</v>
      </c>
      <c r="AH244" s="46">
        <f>'مركز التجهيزات'!AH64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+'مركز التجهيزات'!A65</f>
        <v>0</v>
      </c>
      <c r="B248" s="44">
        <f>+'مركز التجهيزات'!B65</f>
        <v>0</v>
      </c>
      <c r="C248" s="45">
        <f>+'مركز التجهيزات'!C65</f>
        <v>0</v>
      </c>
      <c r="D248" s="45">
        <f>+'مركز التجهيزات'!D65</f>
        <v>0</v>
      </c>
      <c r="E248" s="45">
        <f>+'مركز التجهيزات'!E65</f>
        <v>0</v>
      </c>
      <c r="F248" s="46">
        <f>'مركز التجهيزات'!F65</f>
        <v>0</v>
      </c>
      <c r="G248" s="46">
        <f>'مركز التجهيزات'!G65</f>
        <v>0</v>
      </c>
      <c r="H248" s="46">
        <f>'مركز التجهيزات'!H65</f>
        <v>0</v>
      </c>
      <c r="I248" s="46">
        <f>'مركز التجهيزات'!I65</f>
        <v>0</v>
      </c>
      <c r="J248" s="46">
        <f>'مركز التجهيزات'!J65</f>
        <v>0</v>
      </c>
      <c r="K248" s="46">
        <f>'مركز التجهيزات'!K65</f>
        <v>0</v>
      </c>
      <c r="L248" s="46">
        <f>'مركز التجهيزات'!L65</f>
        <v>0</v>
      </c>
      <c r="M248" s="46">
        <f>'مركز التجهيزات'!M65</f>
        <v>0</v>
      </c>
      <c r="N248" s="46">
        <f>'مركز التجهيزات'!N65</f>
        <v>0</v>
      </c>
      <c r="O248" s="46">
        <f>'مركز التجهيزات'!O65</f>
        <v>0</v>
      </c>
      <c r="P248" s="46">
        <f>'مركز التجهيزات'!P65</f>
        <v>0</v>
      </c>
      <c r="Q248" s="46">
        <f>'مركز التجهيزات'!Q65</f>
        <v>0</v>
      </c>
      <c r="R248" s="47">
        <f>'مركز التجهيزات'!R65</f>
        <v>0</v>
      </c>
      <c r="S248" s="47">
        <f>'مركز التجهيزات'!S65</f>
        <v>0</v>
      </c>
      <c r="T248" s="46">
        <f>'مركز التجهيزات'!T65</f>
        <v>0</v>
      </c>
      <c r="U248" s="46">
        <f>'مركز التجهيزات'!U65</f>
        <v>0</v>
      </c>
      <c r="V248" s="46">
        <f>'مركز التجهيزات'!V65</f>
        <v>0</v>
      </c>
      <c r="W248" s="46">
        <f>'مركز التجهيزات'!W65</f>
        <v>0</v>
      </c>
      <c r="X248" s="46">
        <f>'مركز التجهيزات'!X65</f>
        <v>0</v>
      </c>
      <c r="Y248" s="46">
        <f>'مركز التجهيزات'!Y65</f>
        <v>0</v>
      </c>
      <c r="Z248" s="46">
        <f>'مركز التجهيزات'!Z65</f>
        <v>0</v>
      </c>
      <c r="AA248" s="46">
        <f>'مركز التجهيزات'!AA65</f>
        <v>0</v>
      </c>
      <c r="AB248" s="46">
        <f>'مركز التجهيزات'!AB65</f>
        <v>0</v>
      </c>
      <c r="AC248" s="46">
        <f>'مركز التجهيزات'!AC65</f>
        <v>0</v>
      </c>
      <c r="AD248" s="46">
        <f>'مركز التجهيزات'!AD65</f>
        <v>0</v>
      </c>
      <c r="AE248" s="46">
        <f>'مركز التجهيزات'!AE65</f>
        <v>0</v>
      </c>
      <c r="AF248" s="46">
        <f>'مركز التجهيزات'!AF65</f>
        <v>0</v>
      </c>
      <c r="AG248" s="46">
        <f>'مركز التجهيزات'!AG65</f>
        <v>0</v>
      </c>
      <c r="AH248" s="46">
        <f>'مركز التجهيزات'!AH65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+'مركز التجهيزات'!A66</f>
        <v>0</v>
      </c>
      <c r="B252" s="44">
        <f>+'مركز التجهيزات'!B66</f>
        <v>0</v>
      </c>
      <c r="C252" s="45">
        <f>+'مركز التجهيزات'!C66</f>
        <v>0</v>
      </c>
      <c r="D252" s="45">
        <f>+'مركز التجهيزات'!D66</f>
        <v>0</v>
      </c>
      <c r="E252" s="45">
        <f>+'مركز التجهيزات'!E66</f>
        <v>0</v>
      </c>
      <c r="F252" s="46">
        <f>'مركز التجهيزات'!F66</f>
        <v>0</v>
      </c>
      <c r="G252" s="46">
        <f>'مركز التجهيزات'!G66</f>
        <v>0</v>
      </c>
      <c r="H252" s="46">
        <f>'مركز التجهيزات'!H66</f>
        <v>0</v>
      </c>
      <c r="I252" s="46">
        <f>'مركز التجهيزات'!I66</f>
        <v>0</v>
      </c>
      <c r="J252" s="46">
        <f>'مركز التجهيزات'!J66</f>
        <v>0</v>
      </c>
      <c r="K252" s="46">
        <f>'مركز التجهيزات'!K66</f>
        <v>0</v>
      </c>
      <c r="L252" s="46">
        <f>'مركز التجهيزات'!L66</f>
        <v>0</v>
      </c>
      <c r="M252" s="46">
        <f>'مركز التجهيزات'!M66</f>
        <v>0</v>
      </c>
      <c r="N252" s="46">
        <f>'مركز التجهيزات'!N66</f>
        <v>0</v>
      </c>
      <c r="O252" s="46">
        <f>'مركز التجهيزات'!O66</f>
        <v>0</v>
      </c>
      <c r="P252" s="46">
        <f>'مركز التجهيزات'!P66</f>
        <v>0</v>
      </c>
      <c r="Q252" s="46">
        <f>'مركز التجهيزات'!Q66</f>
        <v>0</v>
      </c>
      <c r="R252" s="47">
        <f>'مركز التجهيزات'!R66</f>
        <v>0</v>
      </c>
      <c r="S252" s="47">
        <f>'مركز التجهيزات'!S66</f>
        <v>0</v>
      </c>
      <c r="T252" s="46">
        <f>'مركز التجهيزات'!T66</f>
        <v>0</v>
      </c>
      <c r="U252" s="46">
        <f>'مركز التجهيزات'!U66</f>
        <v>0</v>
      </c>
      <c r="V252" s="46">
        <f>'مركز التجهيزات'!V66</f>
        <v>0</v>
      </c>
      <c r="W252" s="46">
        <f>'مركز التجهيزات'!W66</f>
        <v>0</v>
      </c>
      <c r="X252" s="46">
        <f>'مركز التجهيزات'!X66</f>
        <v>0</v>
      </c>
      <c r="Y252" s="46">
        <f>'مركز التجهيزات'!Y66</f>
        <v>0</v>
      </c>
      <c r="Z252" s="46">
        <f>'مركز التجهيزات'!Z66</f>
        <v>0</v>
      </c>
      <c r="AA252" s="46">
        <f>'مركز التجهيزات'!AA66</f>
        <v>0</v>
      </c>
      <c r="AB252" s="46">
        <f>'مركز التجهيزات'!AB66</f>
        <v>0</v>
      </c>
      <c r="AC252" s="46">
        <f>'مركز التجهيزات'!AC66</f>
        <v>0</v>
      </c>
      <c r="AD252" s="46">
        <f>'مركز التجهيزات'!AD66</f>
        <v>0</v>
      </c>
      <c r="AE252" s="46">
        <f>'مركز التجهيزات'!AE66</f>
        <v>0</v>
      </c>
      <c r="AF252" s="46">
        <f>'مركز التجهيزات'!AF66</f>
        <v>0</v>
      </c>
      <c r="AG252" s="46">
        <f>'مركز التجهيزات'!AG66</f>
        <v>0</v>
      </c>
      <c r="AH252" s="46">
        <f>'مركز التجهيزات'!AH66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+'مركز التجهيزات'!A67</f>
        <v>0</v>
      </c>
      <c r="B256" s="44">
        <f>+'مركز التجهيزات'!B67</f>
        <v>0</v>
      </c>
      <c r="C256" s="45">
        <f>+'مركز التجهيزات'!C67</f>
        <v>0</v>
      </c>
      <c r="D256" s="45">
        <f>+'مركز التجهيزات'!D67</f>
        <v>0</v>
      </c>
      <c r="E256" s="45">
        <f>+'مركز التجهيزات'!E67</f>
        <v>0</v>
      </c>
      <c r="F256" s="46">
        <f>'مركز التجهيزات'!F67</f>
        <v>0</v>
      </c>
      <c r="G256" s="46">
        <f>'مركز التجهيزات'!G67</f>
        <v>0</v>
      </c>
      <c r="H256" s="46">
        <f>'مركز التجهيزات'!H67</f>
        <v>0</v>
      </c>
      <c r="I256" s="46">
        <f>'مركز التجهيزات'!I67</f>
        <v>0</v>
      </c>
      <c r="J256" s="46">
        <f>'مركز التجهيزات'!J67</f>
        <v>0</v>
      </c>
      <c r="K256" s="46">
        <f>'مركز التجهيزات'!K67</f>
        <v>0</v>
      </c>
      <c r="L256" s="46">
        <f>'مركز التجهيزات'!L67</f>
        <v>0</v>
      </c>
      <c r="M256" s="46">
        <f>'مركز التجهيزات'!M67</f>
        <v>0</v>
      </c>
      <c r="N256" s="46">
        <f>'مركز التجهيزات'!N67</f>
        <v>0</v>
      </c>
      <c r="O256" s="46">
        <f>'مركز التجهيزات'!O67</f>
        <v>0</v>
      </c>
      <c r="P256" s="46">
        <f>'مركز التجهيزات'!P67</f>
        <v>0</v>
      </c>
      <c r="Q256" s="46">
        <f>'مركز التجهيزات'!Q67</f>
        <v>0</v>
      </c>
      <c r="R256" s="47">
        <f>'مركز التجهيزات'!R67</f>
        <v>0</v>
      </c>
      <c r="S256" s="47">
        <f>'مركز التجهيزات'!S67</f>
        <v>0</v>
      </c>
      <c r="T256" s="46">
        <f>'مركز التجهيزات'!T67</f>
        <v>0</v>
      </c>
      <c r="U256" s="46">
        <f>'مركز التجهيزات'!U67</f>
        <v>0</v>
      </c>
      <c r="V256" s="46">
        <f>'مركز التجهيزات'!V67</f>
        <v>0</v>
      </c>
      <c r="W256" s="46">
        <f>'مركز التجهيزات'!W67</f>
        <v>0</v>
      </c>
      <c r="X256" s="46">
        <f>'مركز التجهيزات'!X67</f>
        <v>0</v>
      </c>
      <c r="Y256" s="46">
        <f>'مركز التجهيزات'!Y67</f>
        <v>0</v>
      </c>
      <c r="Z256" s="46">
        <f>'مركز التجهيزات'!Z67</f>
        <v>0</v>
      </c>
      <c r="AA256" s="46">
        <f>'مركز التجهيزات'!AA67</f>
        <v>0</v>
      </c>
      <c r="AB256" s="46">
        <f>'مركز التجهيزات'!AB67</f>
        <v>0</v>
      </c>
      <c r="AC256" s="46">
        <f>'مركز التجهيزات'!AC67</f>
        <v>0</v>
      </c>
      <c r="AD256" s="46">
        <f>'مركز التجهيزات'!AD67</f>
        <v>0</v>
      </c>
      <c r="AE256" s="46">
        <f>'مركز التجهيزات'!AE67</f>
        <v>0</v>
      </c>
      <c r="AF256" s="46">
        <f>'مركز التجهيزات'!AF67</f>
        <v>0</v>
      </c>
      <c r="AG256" s="46">
        <f>'مركز التجهيزات'!AG67</f>
        <v>0</v>
      </c>
      <c r="AH256" s="46">
        <f>'مركز التجهيزات'!AH67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+'مركز التجهيزات'!A68</f>
        <v>0</v>
      </c>
      <c r="B260" s="44">
        <f>+'مركز التجهيزات'!B68</f>
        <v>0</v>
      </c>
      <c r="C260" s="45">
        <f>+'مركز التجهيزات'!C68</f>
        <v>0</v>
      </c>
      <c r="D260" s="45">
        <f>+'مركز التجهيزات'!D68</f>
        <v>0</v>
      </c>
      <c r="E260" s="45">
        <f>+'مركز التجهيزات'!E68</f>
        <v>0</v>
      </c>
      <c r="F260" s="46">
        <f>'مركز التجهيزات'!F68</f>
        <v>0</v>
      </c>
      <c r="G260" s="46">
        <f>'مركز التجهيزات'!G68</f>
        <v>0</v>
      </c>
      <c r="H260" s="46">
        <f>'مركز التجهيزات'!H68</f>
        <v>0</v>
      </c>
      <c r="I260" s="46">
        <f>'مركز التجهيزات'!I68</f>
        <v>0</v>
      </c>
      <c r="J260" s="46">
        <f>'مركز التجهيزات'!J68</f>
        <v>0</v>
      </c>
      <c r="K260" s="46">
        <f>'مركز التجهيزات'!K68</f>
        <v>0</v>
      </c>
      <c r="L260" s="46">
        <f>'مركز التجهيزات'!L68</f>
        <v>0</v>
      </c>
      <c r="M260" s="46">
        <f>'مركز التجهيزات'!M68</f>
        <v>0</v>
      </c>
      <c r="N260" s="46">
        <f>'مركز التجهيزات'!N68</f>
        <v>0</v>
      </c>
      <c r="O260" s="46">
        <f>'مركز التجهيزات'!O68</f>
        <v>0</v>
      </c>
      <c r="P260" s="46">
        <f>'مركز التجهيزات'!P68</f>
        <v>0</v>
      </c>
      <c r="Q260" s="46">
        <f>'مركز التجهيزات'!Q68</f>
        <v>0</v>
      </c>
      <c r="R260" s="47">
        <f>'مركز التجهيزات'!R68</f>
        <v>0</v>
      </c>
      <c r="S260" s="47">
        <f>'مركز التجهيزات'!S68</f>
        <v>0</v>
      </c>
      <c r="T260" s="46">
        <f>'مركز التجهيزات'!T68</f>
        <v>0</v>
      </c>
      <c r="U260" s="46">
        <f>'مركز التجهيزات'!U68</f>
        <v>0</v>
      </c>
      <c r="V260" s="46">
        <f>'مركز التجهيزات'!V68</f>
        <v>0</v>
      </c>
      <c r="W260" s="46">
        <f>'مركز التجهيزات'!W68</f>
        <v>0</v>
      </c>
      <c r="X260" s="46">
        <f>'مركز التجهيزات'!X68</f>
        <v>0</v>
      </c>
      <c r="Y260" s="46">
        <f>'مركز التجهيزات'!Y68</f>
        <v>0</v>
      </c>
      <c r="Z260" s="46">
        <f>'مركز التجهيزات'!Z68</f>
        <v>0</v>
      </c>
      <c r="AA260" s="46">
        <f>'مركز التجهيزات'!AA68</f>
        <v>0</v>
      </c>
      <c r="AB260" s="46">
        <f>'مركز التجهيزات'!AB68</f>
        <v>0</v>
      </c>
      <c r="AC260" s="46">
        <f>'مركز التجهيزات'!AC68</f>
        <v>0</v>
      </c>
      <c r="AD260" s="46">
        <f>'مركز التجهيزات'!AD68</f>
        <v>0</v>
      </c>
      <c r="AE260" s="46">
        <f>'مركز التجهيزات'!AE68</f>
        <v>0</v>
      </c>
      <c r="AF260" s="46">
        <f>'مركز التجهيزات'!AF68</f>
        <v>0</v>
      </c>
      <c r="AG260" s="46">
        <f>'مركز التجهيزات'!AG68</f>
        <v>0</v>
      </c>
      <c r="AH260" s="46">
        <f>'مركز التجهيزات'!AH68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+'مركز التجهيزات'!A69</f>
        <v>0</v>
      </c>
      <c r="B264" s="44">
        <f>+'مركز التجهيزات'!B69</f>
        <v>0</v>
      </c>
      <c r="C264" s="45">
        <f>+'مركز التجهيزات'!C69</f>
        <v>0</v>
      </c>
      <c r="D264" s="45">
        <f>+'مركز التجهيزات'!D69</f>
        <v>0</v>
      </c>
      <c r="E264" s="45">
        <f>+'مركز التجهيزات'!E69</f>
        <v>0</v>
      </c>
      <c r="F264" s="46">
        <f>'مركز التجهيزات'!F69</f>
        <v>0</v>
      </c>
      <c r="G264" s="46">
        <f>'مركز التجهيزات'!G69</f>
        <v>0</v>
      </c>
      <c r="H264" s="46">
        <f>'مركز التجهيزات'!H69</f>
        <v>0</v>
      </c>
      <c r="I264" s="46">
        <f>'مركز التجهيزات'!I69</f>
        <v>0</v>
      </c>
      <c r="J264" s="46">
        <f>'مركز التجهيزات'!J69</f>
        <v>0</v>
      </c>
      <c r="K264" s="46">
        <f>'مركز التجهيزات'!K69</f>
        <v>0</v>
      </c>
      <c r="L264" s="46">
        <f>'مركز التجهيزات'!L69</f>
        <v>0</v>
      </c>
      <c r="M264" s="46">
        <f>'مركز التجهيزات'!M69</f>
        <v>0</v>
      </c>
      <c r="N264" s="46">
        <f>'مركز التجهيزات'!N69</f>
        <v>0</v>
      </c>
      <c r="O264" s="46">
        <f>'مركز التجهيزات'!O69</f>
        <v>0</v>
      </c>
      <c r="P264" s="46">
        <f>'مركز التجهيزات'!P69</f>
        <v>0</v>
      </c>
      <c r="Q264" s="46">
        <f>'مركز التجهيزات'!Q69</f>
        <v>0</v>
      </c>
      <c r="R264" s="47">
        <f>'مركز التجهيزات'!R69</f>
        <v>0</v>
      </c>
      <c r="S264" s="47">
        <f>'مركز التجهيزات'!S69</f>
        <v>0</v>
      </c>
      <c r="T264" s="46">
        <f>'مركز التجهيزات'!T69</f>
        <v>0</v>
      </c>
      <c r="U264" s="46">
        <f>'مركز التجهيزات'!U69</f>
        <v>0</v>
      </c>
      <c r="V264" s="46">
        <f>'مركز التجهيزات'!V69</f>
        <v>0</v>
      </c>
      <c r="W264" s="46">
        <f>'مركز التجهيزات'!W69</f>
        <v>0</v>
      </c>
      <c r="X264" s="46">
        <f>'مركز التجهيزات'!X69</f>
        <v>0</v>
      </c>
      <c r="Y264" s="46">
        <f>'مركز التجهيزات'!Y69</f>
        <v>0</v>
      </c>
      <c r="Z264" s="46">
        <f>'مركز التجهيزات'!Z69</f>
        <v>0</v>
      </c>
      <c r="AA264" s="46">
        <f>'مركز التجهيزات'!AA69</f>
        <v>0</v>
      </c>
      <c r="AB264" s="46">
        <f>'مركز التجهيزات'!AB69</f>
        <v>0</v>
      </c>
      <c r="AC264" s="46">
        <f>'مركز التجهيزات'!AC69</f>
        <v>0</v>
      </c>
      <c r="AD264" s="46">
        <f>'مركز التجهيزات'!AD69</f>
        <v>0</v>
      </c>
      <c r="AE264" s="46">
        <f>'مركز التجهيزات'!AE69</f>
        <v>0</v>
      </c>
      <c r="AF264" s="46">
        <f>'مركز التجهيزات'!AF69</f>
        <v>0</v>
      </c>
      <c r="AG264" s="46">
        <f>'مركز التجهيزات'!AG69</f>
        <v>0</v>
      </c>
      <c r="AH264" s="46">
        <f>'مركز التجهيزات'!AH69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+'مركز التجهيزات'!A70</f>
        <v>0</v>
      </c>
      <c r="B268" s="44">
        <f>+'مركز التجهيزات'!B70</f>
        <v>0</v>
      </c>
      <c r="C268" s="45">
        <f>+'مركز التجهيزات'!C70</f>
        <v>0</v>
      </c>
      <c r="D268" s="45">
        <f>+'مركز التجهيزات'!D70</f>
        <v>0</v>
      </c>
      <c r="E268" s="45">
        <f>+'مركز التجهيزات'!E70</f>
        <v>0</v>
      </c>
      <c r="F268" s="46">
        <f>'مركز التجهيزات'!F70</f>
        <v>0</v>
      </c>
      <c r="G268" s="46">
        <f>'مركز التجهيزات'!G70</f>
        <v>0</v>
      </c>
      <c r="H268" s="46">
        <f>'مركز التجهيزات'!H70</f>
        <v>0</v>
      </c>
      <c r="I268" s="46">
        <f>'مركز التجهيزات'!I70</f>
        <v>0</v>
      </c>
      <c r="J268" s="46">
        <f>'مركز التجهيزات'!J70</f>
        <v>0</v>
      </c>
      <c r="K268" s="46">
        <f>'مركز التجهيزات'!K70</f>
        <v>0</v>
      </c>
      <c r="L268" s="46">
        <f>'مركز التجهيزات'!L70</f>
        <v>0</v>
      </c>
      <c r="M268" s="46">
        <f>'مركز التجهيزات'!M70</f>
        <v>0</v>
      </c>
      <c r="N268" s="46">
        <f>'مركز التجهيزات'!N70</f>
        <v>0</v>
      </c>
      <c r="O268" s="46">
        <f>'مركز التجهيزات'!O70</f>
        <v>0</v>
      </c>
      <c r="P268" s="46">
        <f>'مركز التجهيزات'!P70</f>
        <v>0</v>
      </c>
      <c r="Q268" s="46">
        <f>'مركز التجهيزات'!Q70</f>
        <v>0</v>
      </c>
      <c r="R268" s="47">
        <f>'مركز التجهيزات'!R70</f>
        <v>0</v>
      </c>
      <c r="S268" s="47">
        <f>'مركز التجهيزات'!S70</f>
        <v>0</v>
      </c>
      <c r="T268" s="46">
        <f>'مركز التجهيزات'!T70</f>
        <v>0</v>
      </c>
      <c r="U268" s="46">
        <f>'مركز التجهيزات'!U70</f>
        <v>0</v>
      </c>
      <c r="V268" s="46">
        <f>'مركز التجهيزات'!V70</f>
        <v>0</v>
      </c>
      <c r="W268" s="46">
        <f>'مركز التجهيزات'!W70</f>
        <v>0</v>
      </c>
      <c r="X268" s="46">
        <f>'مركز التجهيزات'!X70</f>
        <v>0</v>
      </c>
      <c r="Y268" s="46">
        <f>'مركز التجهيزات'!Y70</f>
        <v>0</v>
      </c>
      <c r="Z268" s="46">
        <f>'مركز التجهيزات'!Z70</f>
        <v>0</v>
      </c>
      <c r="AA268" s="46">
        <f>'مركز التجهيزات'!AA70</f>
        <v>0</v>
      </c>
      <c r="AB268" s="46">
        <f>'مركز التجهيزات'!AB70</f>
        <v>0</v>
      </c>
      <c r="AC268" s="46">
        <f>'مركز التجهيزات'!AC70</f>
        <v>0</v>
      </c>
      <c r="AD268" s="46">
        <f>'مركز التجهيزات'!AD70</f>
        <v>0</v>
      </c>
      <c r="AE268" s="46">
        <f>'مركز التجهيزات'!AE70</f>
        <v>0</v>
      </c>
      <c r="AF268" s="46">
        <f>'مركز التجهيزات'!AF70</f>
        <v>0</v>
      </c>
      <c r="AG268" s="46">
        <f>'مركز التجهيزات'!AG70</f>
        <v>0</v>
      </c>
      <c r="AH268" s="46">
        <f>'مركز التجهيزات'!AH70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+'مركز التجهيزات'!A71</f>
        <v>0</v>
      </c>
      <c r="B272" s="44">
        <f>+'مركز التجهيزات'!B71</f>
        <v>0</v>
      </c>
      <c r="C272" s="45">
        <f>+'مركز التجهيزات'!C71</f>
        <v>0</v>
      </c>
      <c r="D272" s="45">
        <f>+'مركز التجهيزات'!D71</f>
        <v>0</v>
      </c>
      <c r="E272" s="45">
        <f>+'مركز التجهيزات'!E71</f>
        <v>0</v>
      </c>
      <c r="F272" s="46">
        <f>'مركز التجهيزات'!F71</f>
        <v>0</v>
      </c>
      <c r="G272" s="46">
        <f>'مركز التجهيزات'!G71</f>
        <v>0</v>
      </c>
      <c r="H272" s="46">
        <f>'مركز التجهيزات'!H71</f>
        <v>0</v>
      </c>
      <c r="I272" s="46">
        <f>'مركز التجهيزات'!I71</f>
        <v>0</v>
      </c>
      <c r="J272" s="46">
        <f>'مركز التجهيزات'!J71</f>
        <v>0</v>
      </c>
      <c r="K272" s="46">
        <f>'مركز التجهيزات'!K71</f>
        <v>0</v>
      </c>
      <c r="L272" s="46">
        <f>'مركز التجهيزات'!L71</f>
        <v>0</v>
      </c>
      <c r="M272" s="46">
        <f>'مركز التجهيزات'!M71</f>
        <v>0</v>
      </c>
      <c r="N272" s="46">
        <f>'مركز التجهيزات'!N71</f>
        <v>0</v>
      </c>
      <c r="O272" s="46">
        <f>'مركز التجهيزات'!O71</f>
        <v>0</v>
      </c>
      <c r="P272" s="46">
        <f>'مركز التجهيزات'!P71</f>
        <v>0</v>
      </c>
      <c r="Q272" s="46">
        <f>'مركز التجهيزات'!Q71</f>
        <v>0</v>
      </c>
      <c r="R272" s="47">
        <f>'مركز التجهيزات'!R71</f>
        <v>0</v>
      </c>
      <c r="S272" s="47">
        <f>'مركز التجهيزات'!S71</f>
        <v>0</v>
      </c>
      <c r="T272" s="46">
        <f>'مركز التجهيزات'!T71</f>
        <v>0</v>
      </c>
      <c r="U272" s="46">
        <f>'مركز التجهيزات'!U71</f>
        <v>0</v>
      </c>
      <c r="V272" s="46">
        <f>'مركز التجهيزات'!V71</f>
        <v>0</v>
      </c>
      <c r="W272" s="46">
        <f>'مركز التجهيزات'!W71</f>
        <v>0</v>
      </c>
      <c r="X272" s="46">
        <f>'مركز التجهيزات'!X71</f>
        <v>0</v>
      </c>
      <c r="Y272" s="46">
        <f>'مركز التجهيزات'!Y71</f>
        <v>0</v>
      </c>
      <c r="Z272" s="46">
        <f>'مركز التجهيزات'!Z71</f>
        <v>0</v>
      </c>
      <c r="AA272" s="46">
        <f>'مركز التجهيزات'!AA71</f>
        <v>0</v>
      </c>
      <c r="AB272" s="46">
        <f>'مركز التجهيزات'!AB71</f>
        <v>0</v>
      </c>
      <c r="AC272" s="46">
        <f>'مركز التجهيزات'!AC71</f>
        <v>0</v>
      </c>
      <c r="AD272" s="46">
        <f>'مركز التجهيزات'!AD71</f>
        <v>0</v>
      </c>
      <c r="AE272" s="46">
        <f>'مركز التجهيزات'!AE71</f>
        <v>0</v>
      </c>
      <c r="AF272" s="46">
        <f>'مركز التجهيزات'!AF71</f>
        <v>0</v>
      </c>
      <c r="AG272" s="46">
        <f>'مركز التجهيزات'!AG71</f>
        <v>0</v>
      </c>
      <c r="AH272" s="46">
        <f>'مركز التجهيزات'!AH71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+'مركز التجهيزات'!A72</f>
        <v>0</v>
      </c>
      <c r="B276" s="44">
        <f>+'مركز التجهيزات'!B72</f>
        <v>0</v>
      </c>
      <c r="C276" s="45">
        <f>+'مركز التجهيزات'!C72</f>
        <v>0</v>
      </c>
      <c r="D276" s="45">
        <f>+'مركز التجهيزات'!D72</f>
        <v>0</v>
      </c>
      <c r="E276" s="45">
        <f>+'مركز التجهيزات'!E72</f>
        <v>0</v>
      </c>
      <c r="F276" s="46">
        <f>'مركز التجهيزات'!F72</f>
        <v>0</v>
      </c>
      <c r="G276" s="46">
        <f>'مركز التجهيزات'!G72</f>
        <v>0</v>
      </c>
      <c r="H276" s="46">
        <f>'مركز التجهيزات'!H72</f>
        <v>0</v>
      </c>
      <c r="I276" s="46">
        <f>'مركز التجهيزات'!I72</f>
        <v>0</v>
      </c>
      <c r="J276" s="46">
        <f>'مركز التجهيزات'!J72</f>
        <v>0</v>
      </c>
      <c r="K276" s="46">
        <f>'مركز التجهيزات'!K72</f>
        <v>0</v>
      </c>
      <c r="L276" s="46">
        <f>'مركز التجهيزات'!L72</f>
        <v>0</v>
      </c>
      <c r="M276" s="46">
        <f>'مركز التجهيزات'!M72</f>
        <v>0</v>
      </c>
      <c r="N276" s="46">
        <f>'مركز التجهيزات'!N72</f>
        <v>0</v>
      </c>
      <c r="O276" s="46">
        <f>'مركز التجهيزات'!O72</f>
        <v>0</v>
      </c>
      <c r="P276" s="46">
        <f>'مركز التجهيزات'!P72</f>
        <v>0</v>
      </c>
      <c r="Q276" s="46">
        <f>'مركز التجهيزات'!Q72</f>
        <v>0</v>
      </c>
      <c r="R276" s="47">
        <f>'مركز التجهيزات'!R72</f>
        <v>0</v>
      </c>
      <c r="S276" s="47">
        <f>'مركز التجهيزات'!S72</f>
        <v>0</v>
      </c>
      <c r="T276" s="46">
        <f>'مركز التجهيزات'!T72</f>
        <v>0</v>
      </c>
      <c r="U276" s="46">
        <f>'مركز التجهيزات'!U72</f>
        <v>0</v>
      </c>
      <c r="V276" s="46">
        <f>'مركز التجهيزات'!V72</f>
        <v>0</v>
      </c>
      <c r="W276" s="46">
        <f>'مركز التجهيزات'!W72</f>
        <v>0</v>
      </c>
      <c r="X276" s="46">
        <f>'مركز التجهيزات'!X72</f>
        <v>0</v>
      </c>
      <c r="Y276" s="46">
        <f>'مركز التجهيزات'!Y72</f>
        <v>0</v>
      </c>
      <c r="Z276" s="46">
        <f>'مركز التجهيزات'!Z72</f>
        <v>0</v>
      </c>
      <c r="AA276" s="46">
        <f>'مركز التجهيزات'!AA72</f>
        <v>0</v>
      </c>
      <c r="AB276" s="46">
        <f>'مركز التجهيزات'!AB72</f>
        <v>0</v>
      </c>
      <c r="AC276" s="46">
        <f>'مركز التجهيزات'!AC72</f>
        <v>0</v>
      </c>
      <c r="AD276" s="46">
        <f>'مركز التجهيزات'!AD72</f>
        <v>0</v>
      </c>
      <c r="AE276" s="46">
        <f>'مركز التجهيزات'!AE72</f>
        <v>0</v>
      </c>
      <c r="AF276" s="46">
        <f>'مركز التجهيزات'!AF72</f>
        <v>0</v>
      </c>
      <c r="AG276" s="46">
        <f>'مركز التجهيزات'!AG72</f>
        <v>0</v>
      </c>
      <c r="AH276" s="46">
        <f>'مركز التجهيزات'!AH72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+'مركز التجهيزات'!A73</f>
        <v>0</v>
      </c>
      <c r="B280" s="44">
        <f>+'مركز التجهيزات'!B73</f>
        <v>0</v>
      </c>
      <c r="C280" s="45">
        <f>+'مركز التجهيزات'!C73</f>
        <v>0</v>
      </c>
      <c r="D280" s="45">
        <f>+'مركز التجهيزات'!D73</f>
        <v>0</v>
      </c>
      <c r="E280" s="45">
        <f>+'مركز التجهيزات'!E73</f>
        <v>0</v>
      </c>
      <c r="F280" s="46">
        <f>'مركز التجهيزات'!F73</f>
        <v>0</v>
      </c>
      <c r="G280" s="46">
        <f>'مركز التجهيزات'!G73</f>
        <v>0</v>
      </c>
      <c r="H280" s="46">
        <f>'مركز التجهيزات'!H73</f>
        <v>0</v>
      </c>
      <c r="I280" s="46">
        <f>'مركز التجهيزات'!I73</f>
        <v>0</v>
      </c>
      <c r="J280" s="46">
        <f>'مركز التجهيزات'!J73</f>
        <v>0</v>
      </c>
      <c r="K280" s="46">
        <f>'مركز التجهيزات'!K73</f>
        <v>0</v>
      </c>
      <c r="L280" s="46">
        <f>'مركز التجهيزات'!L73</f>
        <v>0</v>
      </c>
      <c r="M280" s="46">
        <f>'مركز التجهيزات'!M73</f>
        <v>0</v>
      </c>
      <c r="N280" s="46">
        <f>'مركز التجهيزات'!N73</f>
        <v>0</v>
      </c>
      <c r="O280" s="46">
        <f>'مركز التجهيزات'!O73</f>
        <v>0</v>
      </c>
      <c r="P280" s="46">
        <f>'مركز التجهيزات'!P73</f>
        <v>0</v>
      </c>
      <c r="Q280" s="46">
        <f>'مركز التجهيزات'!Q73</f>
        <v>0</v>
      </c>
      <c r="R280" s="47">
        <f>'مركز التجهيزات'!R73</f>
        <v>0</v>
      </c>
      <c r="S280" s="47">
        <f>'مركز التجهيزات'!S73</f>
        <v>0</v>
      </c>
      <c r="T280" s="46">
        <f>'مركز التجهيزات'!T73</f>
        <v>0</v>
      </c>
      <c r="U280" s="46">
        <f>'مركز التجهيزات'!U73</f>
        <v>0</v>
      </c>
      <c r="V280" s="46">
        <f>'مركز التجهيزات'!V73</f>
        <v>0</v>
      </c>
      <c r="W280" s="46">
        <f>'مركز التجهيزات'!W73</f>
        <v>0</v>
      </c>
      <c r="X280" s="46">
        <f>'مركز التجهيزات'!X73</f>
        <v>0</v>
      </c>
      <c r="Y280" s="46">
        <f>'مركز التجهيزات'!Y73</f>
        <v>0</v>
      </c>
      <c r="Z280" s="46">
        <f>'مركز التجهيزات'!Z73</f>
        <v>0</v>
      </c>
      <c r="AA280" s="46">
        <f>'مركز التجهيزات'!AA73</f>
        <v>0</v>
      </c>
      <c r="AB280" s="46">
        <f>'مركز التجهيزات'!AB73</f>
        <v>0</v>
      </c>
      <c r="AC280" s="46">
        <f>'مركز التجهيزات'!AC73</f>
        <v>0</v>
      </c>
      <c r="AD280" s="46">
        <f>'مركز التجهيزات'!AD73</f>
        <v>0</v>
      </c>
      <c r="AE280" s="46">
        <f>'مركز التجهيزات'!AE73</f>
        <v>0</v>
      </c>
      <c r="AF280" s="46">
        <f>'مركز التجهيزات'!AF73</f>
        <v>0</v>
      </c>
      <c r="AG280" s="46">
        <f>'مركز التجهيزات'!AG73</f>
        <v>0</v>
      </c>
      <c r="AH280" s="46">
        <f>'مركز التجهيزات'!AH73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+'مركز التجهيزات'!A74</f>
        <v>0</v>
      </c>
      <c r="B284" s="44">
        <f>+'مركز التجهيزات'!B74</f>
        <v>0</v>
      </c>
      <c r="C284" s="45">
        <f>+'مركز التجهيزات'!C74</f>
        <v>0</v>
      </c>
      <c r="D284" s="45">
        <f>+'مركز التجهيزات'!D74</f>
        <v>0</v>
      </c>
      <c r="E284" s="45">
        <f>+'مركز التجهيزات'!E74</f>
        <v>0</v>
      </c>
      <c r="F284" s="46">
        <f>'مركز التجهيزات'!F74</f>
        <v>0</v>
      </c>
      <c r="G284" s="46">
        <f>'مركز التجهيزات'!G74</f>
        <v>0</v>
      </c>
      <c r="H284" s="46">
        <f>'مركز التجهيزات'!H74</f>
        <v>0</v>
      </c>
      <c r="I284" s="46">
        <f>'مركز التجهيزات'!I74</f>
        <v>0</v>
      </c>
      <c r="J284" s="46">
        <f>'مركز التجهيزات'!J74</f>
        <v>0</v>
      </c>
      <c r="K284" s="46">
        <f>'مركز التجهيزات'!K74</f>
        <v>0</v>
      </c>
      <c r="L284" s="46">
        <f>'مركز التجهيزات'!L74</f>
        <v>0</v>
      </c>
      <c r="M284" s="46">
        <f>'مركز التجهيزات'!M74</f>
        <v>0</v>
      </c>
      <c r="N284" s="46">
        <f>'مركز التجهيزات'!N74</f>
        <v>0</v>
      </c>
      <c r="O284" s="46">
        <f>'مركز التجهيزات'!O74</f>
        <v>0</v>
      </c>
      <c r="P284" s="46">
        <f>'مركز التجهيزات'!P74</f>
        <v>0</v>
      </c>
      <c r="Q284" s="46">
        <f>'مركز التجهيزات'!Q74</f>
        <v>0</v>
      </c>
      <c r="R284" s="47">
        <f>'مركز التجهيزات'!R74</f>
        <v>0</v>
      </c>
      <c r="S284" s="47">
        <f>'مركز التجهيزات'!S74</f>
        <v>0</v>
      </c>
      <c r="T284" s="46">
        <f>'مركز التجهيزات'!T74</f>
        <v>0</v>
      </c>
      <c r="U284" s="46">
        <f>'مركز التجهيزات'!U74</f>
        <v>0</v>
      </c>
      <c r="V284" s="46">
        <f>'مركز التجهيزات'!V74</f>
        <v>0</v>
      </c>
      <c r="W284" s="46">
        <f>'مركز التجهيزات'!W74</f>
        <v>0</v>
      </c>
      <c r="X284" s="46">
        <f>'مركز التجهيزات'!X74</f>
        <v>0</v>
      </c>
      <c r="Y284" s="46">
        <f>'مركز التجهيزات'!Y74</f>
        <v>0</v>
      </c>
      <c r="Z284" s="46">
        <f>'مركز التجهيزات'!Z74</f>
        <v>0</v>
      </c>
      <c r="AA284" s="46">
        <f>'مركز التجهيزات'!AA74</f>
        <v>0</v>
      </c>
      <c r="AB284" s="46">
        <f>'مركز التجهيزات'!AB74</f>
        <v>0</v>
      </c>
      <c r="AC284" s="46">
        <f>'مركز التجهيزات'!AC74</f>
        <v>0</v>
      </c>
      <c r="AD284" s="46">
        <f>'مركز التجهيزات'!AD74</f>
        <v>0</v>
      </c>
      <c r="AE284" s="46">
        <f>'مركز التجهيزات'!AE74</f>
        <v>0</v>
      </c>
      <c r="AF284" s="46">
        <f>'مركز التجهيزات'!AF74</f>
        <v>0</v>
      </c>
      <c r="AG284" s="46">
        <f>'مركز التجهيزات'!AG74</f>
        <v>0</v>
      </c>
      <c r="AH284" s="46">
        <f>'مركز التجهيزات'!AH74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+'مركز التجهيزات'!A75</f>
        <v>0</v>
      </c>
      <c r="B288" s="44">
        <f>+'مركز التجهيزات'!B75</f>
        <v>0</v>
      </c>
      <c r="C288" s="45">
        <f>+'مركز التجهيزات'!C75</f>
        <v>0</v>
      </c>
      <c r="D288" s="45">
        <f>+'مركز التجهيزات'!D75</f>
        <v>0</v>
      </c>
      <c r="E288" s="45">
        <f>+'مركز التجهيزات'!E75</f>
        <v>0</v>
      </c>
      <c r="F288" s="46">
        <f>'مركز التجهيزات'!F75</f>
        <v>0</v>
      </c>
      <c r="G288" s="46">
        <f>'مركز التجهيزات'!G75</f>
        <v>0</v>
      </c>
      <c r="H288" s="46">
        <f>'مركز التجهيزات'!H75</f>
        <v>0</v>
      </c>
      <c r="I288" s="46">
        <f>'مركز التجهيزات'!I75</f>
        <v>0</v>
      </c>
      <c r="J288" s="46">
        <f>'مركز التجهيزات'!J75</f>
        <v>0</v>
      </c>
      <c r="K288" s="46">
        <f>'مركز التجهيزات'!K75</f>
        <v>0</v>
      </c>
      <c r="L288" s="46">
        <f>'مركز التجهيزات'!L75</f>
        <v>0</v>
      </c>
      <c r="M288" s="46">
        <f>'مركز التجهيزات'!M75</f>
        <v>0</v>
      </c>
      <c r="N288" s="46">
        <f>'مركز التجهيزات'!N75</f>
        <v>0</v>
      </c>
      <c r="O288" s="46">
        <f>'مركز التجهيزات'!O75</f>
        <v>0</v>
      </c>
      <c r="P288" s="46">
        <f>'مركز التجهيزات'!P75</f>
        <v>0</v>
      </c>
      <c r="Q288" s="46">
        <f>'مركز التجهيزات'!Q75</f>
        <v>0</v>
      </c>
      <c r="R288" s="47">
        <f>'مركز التجهيزات'!R75</f>
        <v>0</v>
      </c>
      <c r="S288" s="47">
        <f>'مركز التجهيزات'!S75</f>
        <v>0</v>
      </c>
      <c r="T288" s="46">
        <f>'مركز التجهيزات'!T75</f>
        <v>0</v>
      </c>
      <c r="U288" s="46">
        <f>'مركز التجهيزات'!U75</f>
        <v>0</v>
      </c>
      <c r="V288" s="46">
        <f>'مركز التجهيزات'!V75</f>
        <v>0</v>
      </c>
      <c r="W288" s="46">
        <f>'مركز التجهيزات'!W75</f>
        <v>0</v>
      </c>
      <c r="X288" s="46">
        <f>'مركز التجهيزات'!X75</f>
        <v>0</v>
      </c>
      <c r="Y288" s="46">
        <f>'مركز التجهيزات'!Y75</f>
        <v>0</v>
      </c>
      <c r="Z288" s="46">
        <f>'مركز التجهيزات'!Z75</f>
        <v>0</v>
      </c>
      <c r="AA288" s="46">
        <f>'مركز التجهيزات'!AA75</f>
        <v>0</v>
      </c>
      <c r="AB288" s="46">
        <f>'مركز التجهيزات'!AB75</f>
        <v>0</v>
      </c>
      <c r="AC288" s="46">
        <f>'مركز التجهيزات'!AC75</f>
        <v>0</v>
      </c>
      <c r="AD288" s="46">
        <f>'مركز التجهيزات'!AD75</f>
        <v>0</v>
      </c>
      <c r="AE288" s="46">
        <f>'مركز التجهيزات'!AE75</f>
        <v>0</v>
      </c>
      <c r="AF288" s="46">
        <f>'مركز التجهيزات'!AF75</f>
        <v>0</v>
      </c>
      <c r="AG288" s="46">
        <f>'مركز التجهيزات'!AG75</f>
        <v>0</v>
      </c>
      <c r="AH288" s="46">
        <f>'مركز التجهيزات'!AH75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+'مركز التجهيزات'!A76</f>
        <v>0</v>
      </c>
      <c r="B292" s="44">
        <f>+'مركز التجهيزات'!B76</f>
        <v>0</v>
      </c>
      <c r="C292" s="45">
        <f>+'مركز التجهيزات'!C76</f>
        <v>0</v>
      </c>
      <c r="D292" s="45">
        <f>+'مركز التجهيزات'!D76</f>
        <v>0</v>
      </c>
      <c r="E292" s="45">
        <f>+'مركز التجهيزات'!E76</f>
        <v>0</v>
      </c>
      <c r="F292" s="46">
        <f>'مركز التجهيزات'!F76</f>
        <v>0</v>
      </c>
      <c r="G292" s="46">
        <f>'مركز التجهيزات'!G76</f>
        <v>0</v>
      </c>
      <c r="H292" s="46">
        <f>'مركز التجهيزات'!H76</f>
        <v>0</v>
      </c>
      <c r="I292" s="46">
        <f>'مركز التجهيزات'!I76</f>
        <v>0</v>
      </c>
      <c r="J292" s="46">
        <f>'مركز التجهيزات'!J76</f>
        <v>0</v>
      </c>
      <c r="K292" s="46">
        <f>'مركز التجهيزات'!K76</f>
        <v>0</v>
      </c>
      <c r="L292" s="46">
        <f>'مركز التجهيزات'!L76</f>
        <v>0</v>
      </c>
      <c r="M292" s="46">
        <f>'مركز التجهيزات'!M76</f>
        <v>0</v>
      </c>
      <c r="N292" s="46">
        <f>'مركز التجهيزات'!N76</f>
        <v>0</v>
      </c>
      <c r="O292" s="46">
        <f>'مركز التجهيزات'!O76</f>
        <v>0</v>
      </c>
      <c r="P292" s="46">
        <f>'مركز التجهيزات'!P76</f>
        <v>0</v>
      </c>
      <c r="Q292" s="46">
        <f>'مركز التجهيزات'!Q76</f>
        <v>0</v>
      </c>
      <c r="R292" s="47">
        <f>'مركز التجهيزات'!R76</f>
        <v>0</v>
      </c>
      <c r="S292" s="47">
        <f>'مركز التجهيزات'!S76</f>
        <v>0</v>
      </c>
      <c r="T292" s="46">
        <f>'مركز التجهيزات'!T76</f>
        <v>0</v>
      </c>
      <c r="U292" s="46">
        <f>'مركز التجهيزات'!U76</f>
        <v>0</v>
      </c>
      <c r="V292" s="46">
        <f>'مركز التجهيزات'!V76</f>
        <v>0</v>
      </c>
      <c r="W292" s="46">
        <f>'مركز التجهيزات'!W76</f>
        <v>0</v>
      </c>
      <c r="X292" s="46">
        <f>'مركز التجهيزات'!X76</f>
        <v>0</v>
      </c>
      <c r="Y292" s="46">
        <f>'مركز التجهيزات'!Y76</f>
        <v>0</v>
      </c>
      <c r="Z292" s="46">
        <f>'مركز التجهيزات'!Z76</f>
        <v>0</v>
      </c>
      <c r="AA292" s="46">
        <f>'مركز التجهيزات'!AA76</f>
        <v>0</v>
      </c>
      <c r="AB292" s="46">
        <f>'مركز التجهيزات'!AB76</f>
        <v>0</v>
      </c>
      <c r="AC292" s="46">
        <f>'مركز التجهيزات'!AC76</f>
        <v>0</v>
      </c>
      <c r="AD292" s="46">
        <f>'مركز التجهيزات'!AD76</f>
        <v>0</v>
      </c>
      <c r="AE292" s="46">
        <f>'مركز التجهيزات'!AE76</f>
        <v>0</v>
      </c>
      <c r="AF292" s="46">
        <f>'مركز التجهيزات'!AF76</f>
        <v>0</v>
      </c>
      <c r="AG292" s="46">
        <f>'مركز التجهيزات'!AG76</f>
        <v>0</v>
      </c>
      <c r="AH292" s="46">
        <f>'مركز التجهيزات'!AH76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+'مركز التجهيزات'!A77</f>
        <v>0</v>
      </c>
      <c r="B296" s="44">
        <f>+'مركز التجهيزات'!B77</f>
        <v>0</v>
      </c>
      <c r="C296" s="45">
        <f>+'مركز التجهيزات'!C77</f>
        <v>0</v>
      </c>
      <c r="D296" s="45">
        <f>+'مركز التجهيزات'!D77</f>
        <v>0</v>
      </c>
      <c r="E296" s="45">
        <f>+'مركز التجهيزات'!E77</f>
        <v>0</v>
      </c>
      <c r="F296" s="46">
        <f>'مركز التجهيزات'!F77</f>
        <v>0</v>
      </c>
      <c r="G296" s="46">
        <f>'مركز التجهيزات'!G77</f>
        <v>0</v>
      </c>
      <c r="H296" s="46">
        <f>'مركز التجهيزات'!H77</f>
        <v>0</v>
      </c>
      <c r="I296" s="46">
        <f>'مركز التجهيزات'!I77</f>
        <v>0</v>
      </c>
      <c r="J296" s="46">
        <f>'مركز التجهيزات'!J77</f>
        <v>0</v>
      </c>
      <c r="K296" s="46">
        <f>'مركز التجهيزات'!K77</f>
        <v>0</v>
      </c>
      <c r="L296" s="46">
        <f>'مركز التجهيزات'!L77</f>
        <v>0</v>
      </c>
      <c r="M296" s="46">
        <f>'مركز التجهيزات'!M77</f>
        <v>0</v>
      </c>
      <c r="N296" s="46">
        <f>'مركز التجهيزات'!N77</f>
        <v>0</v>
      </c>
      <c r="O296" s="46">
        <f>'مركز التجهيزات'!O77</f>
        <v>0</v>
      </c>
      <c r="P296" s="46">
        <f>'مركز التجهيزات'!P77</f>
        <v>0</v>
      </c>
      <c r="Q296" s="46">
        <f>'مركز التجهيزات'!Q77</f>
        <v>0</v>
      </c>
      <c r="R296" s="47">
        <f>'مركز التجهيزات'!R77</f>
        <v>0</v>
      </c>
      <c r="S296" s="47">
        <f>'مركز التجهيزات'!S77</f>
        <v>0</v>
      </c>
      <c r="T296" s="46">
        <f>'مركز التجهيزات'!T77</f>
        <v>0</v>
      </c>
      <c r="U296" s="46">
        <f>'مركز التجهيزات'!U77</f>
        <v>0</v>
      </c>
      <c r="V296" s="46">
        <f>'مركز التجهيزات'!V77</f>
        <v>0</v>
      </c>
      <c r="W296" s="46">
        <f>'مركز التجهيزات'!W77</f>
        <v>0</v>
      </c>
      <c r="X296" s="46">
        <f>'مركز التجهيزات'!X77</f>
        <v>0</v>
      </c>
      <c r="Y296" s="46">
        <f>'مركز التجهيزات'!Y77</f>
        <v>0</v>
      </c>
      <c r="Z296" s="46">
        <f>'مركز التجهيزات'!Z77</f>
        <v>0</v>
      </c>
      <c r="AA296" s="46">
        <f>'مركز التجهيزات'!AA77</f>
        <v>0</v>
      </c>
      <c r="AB296" s="46">
        <f>'مركز التجهيزات'!AB77</f>
        <v>0</v>
      </c>
      <c r="AC296" s="46">
        <f>'مركز التجهيزات'!AC77</f>
        <v>0</v>
      </c>
      <c r="AD296" s="46">
        <f>'مركز التجهيزات'!AD77</f>
        <v>0</v>
      </c>
      <c r="AE296" s="46">
        <f>'مركز التجهيزات'!AE77</f>
        <v>0</v>
      </c>
      <c r="AF296" s="46">
        <f>'مركز التجهيزات'!AF77</f>
        <v>0</v>
      </c>
      <c r="AG296" s="46">
        <f>'مركز التجهيزات'!AG77</f>
        <v>0</v>
      </c>
      <c r="AH296" s="46">
        <f>'مركز التجهيزات'!AH77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+'مركز التجهيزات'!A78</f>
        <v>0</v>
      </c>
      <c r="B300" s="44">
        <f>+'مركز التجهيزات'!B78</f>
        <v>0</v>
      </c>
      <c r="C300" s="45">
        <f>+'مركز التجهيزات'!C78</f>
        <v>0</v>
      </c>
      <c r="D300" s="45">
        <f>+'مركز التجهيزات'!D78</f>
        <v>0</v>
      </c>
      <c r="E300" s="45">
        <f>+'مركز التجهيزات'!E78</f>
        <v>0</v>
      </c>
      <c r="F300" s="46">
        <f>'مركز التجهيزات'!F78</f>
        <v>0</v>
      </c>
      <c r="G300" s="46">
        <f>'مركز التجهيزات'!G78</f>
        <v>0</v>
      </c>
      <c r="H300" s="46">
        <f>'مركز التجهيزات'!H78</f>
        <v>0</v>
      </c>
      <c r="I300" s="46">
        <f>'مركز التجهيزات'!I78</f>
        <v>0</v>
      </c>
      <c r="J300" s="46">
        <f>'مركز التجهيزات'!J78</f>
        <v>0</v>
      </c>
      <c r="K300" s="46">
        <f>'مركز التجهيزات'!K78</f>
        <v>0</v>
      </c>
      <c r="L300" s="46">
        <f>'مركز التجهيزات'!L78</f>
        <v>0</v>
      </c>
      <c r="M300" s="46">
        <f>'مركز التجهيزات'!M78</f>
        <v>0</v>
      </c>
      <c r="N300" s="46">
        <f>'مركز التجهيزات'!N78</f>
        <v>0</v>
      </c>
      <c r="O300" s="46">
        <f>'مركز التجهيزات'!O78</f>
        <v>0</v>
      </c>
      <c r="P300" s="46">
        <f>'مركز التجهيزات'!P78</f>
        <v>0</v>
      </c>
      <c r="Q300" s="46">
        <f>'مركز التجهيزات'!Q78</f>
        <v>0</v>
      </c>
      <c r="R300" s="47">
        <f>'مركز التجهيزات'!R78</f>
        <v>0</v>
      </c>
      <c r="S300" s="47">
        <f>'مركز التجهيزات'!S78</f>
        <v>0</v>
      </c>
      <c r="T300" s="46">
        <f>'مركز التجهيزات'!T78</f>
        <v>0</v>
      </c>
      <c r="U300" s="46">
        <f>'مركز التجهيزات'!U78</f>
        <v>0</v>
      </c>
      <c r="V300" s="46">
        <f>'مركز التجهيزات'!V78</f>
        <v>0</v>
      </c>
      <c r="W300" s="46">
        <f>'مركز التجهيزات'!W78</f>
        <v>0</v>
      </c>
      <c r="X300" s="46">
        <f>'مركز التجهيزات'!X78</f>
        <v>0</v>
      </c>
      <c r="Y300" s="46">
        <f>'مركز التجهيزات'!Y78</f>
        <v>0</v>
      </c>
      <c r="Z300" s="46">
        <f>'مركز التجهيزات'!Z78</f>
        <v>0</v>
      </c>
      <c r="AA300" s="46">
        <f>'مركز التجهيزات'!AA78</f>
        <v>0</v>
      </c>
      <c r="AB300" s="46">
        <f>'مركز التجهيزات'!AB78</f>
        <v>0</v>
      </c>
      <c r="AC300" s="46">
        <f>'مركز التجهيزات'!AC78</f>
        <v>0</v>
      </c>
      <c r="AD300" s="46">
        <f>'مركز التجهيزات'!AD78</f>
        <v>0</v>
      </c>
      <c r="AE300" s="46">
        <f>'مركز التجهيزات'!AE78</f>
        <v>0</v>
      </c>
      <c r="AF300" s="46">
        <f>'مركز التجهيزات'!AF78</f>
        <v>0</v>
      </c>
      <c r="AG300" s="46">
        <f>'مركز التجهيزات'!AG78</f>
        <v>0</v>
      </c>
      <c r="AH300" s="46">
        <f>'مركز التجهيزات'!AH78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+'مركز التجهيزات'!A79</f>
        <v>0</v>
      </c>
      <c r="B304" s="44">
        <f>+'مركز التجهيزات'!B79</f>
        <v>0</v>
      </c>
      <c r="C304" s="45">
        <f>+'مركز التجهيزات'!C79</f>
        <v>0</v>
      </c>
      <c r="D304" s="45">
        <f>+'مركز التجهيزات'!D79</f>
        <v>0</v>
      </c>
      <c r="E304" s="45">
        <f>+'مركز التجهيزات'!E79</f>
        <v>0</v>
      </c>
      <c r="F304" s="46">
        <f>'مركز التجهيزات'!F79</f>
        <v>0</v>
      </c>
      <c r="G304" s="46">
        <f>'مركز التجهيزات'!G79</f>
        <v>0</v>
      </c>
      <c r="H304" s="46">
        <f>'مركز التجهيزات'!H79</f>
        <v>0</v>
      </c>
      <c r="I304" s="46">
        <f>'مركز التجهيزات'!I79</f>
        <v>0</v>
      </c>
      <c r="J304" s="46">
        <f>'مركز التجهيزات'!J79</f>
        <v>0</v>
      </c>
      <c r="K304" s="46">
        <f>'مركز التجهيزات'!K79</f>
        <v>0</v>
      </c>
      <c r="L304" s="46">
        <f>'مركز التجهيزات'!L79</f>
        <v>0</v>
      </c>
      <c r="M304" s="46">
        <f>'مركز التجهيزات'!M79</f>
        <v>0</v>
      </c>
      <c r="N304" s="46">
        <f>'مركز التجهيزات'!N79</f>
        <v>0</v>
      </c>
      <c r="O304" s="46">
        <f>'مركز التجهيزات'!O79</f>
        <v>0</v>
      </c>
      <c r="P304" s="46">
        <f>'مركز التجهيزات'!P79</f>
        <v>0</v>
      </c>
      <c r="Q304" s="46">
        <f>'مركز التجهيزات'!Q79</f>
        <v>0</v>
      </c>
      <c r="R304" s="47">
        <f>'مركز التجهيزات'!R79</f>
        <v>0</v>
      </c>
      <c r="S304" s="47">
        <f>'مركز التجهيزات'!S79</f>
        <v>0</v>
      </c>
      <c r="T304" s="46">
        <f>'مركز التجهيزات'!T79</f>
        <v>0</v>
      </c>
      <c r="U304" s="46">
        <f>'مركز التجهيزات'!U79</f>
        <v>0</v>
      </c>
      <c r="V304" s="46">
        <f>'مركز التجهيزات'!V79</f>
        <v>0</v>
      </c>
      <c r="W304" s="46">
        <f>'مركز التجهيزات'!W79</f>
        <v>0</v>
      </c>
      <c r="X304" s="46">
        <f>'مركز التجهيزات'!X79</f>
        <v>0</v>
      </c>
      <c r="Y304" s="46">
        <f>'مركز التجهيزات'!Y79</f>
        <v>0</v>
      </c>
      <c r="Z304" s="46">
        <f>'مركز التجهيزات'!Z79</f>
        <v>0</v>
      </c>
      <c r="AA304" s="46">
        <f>'مركز التجهيزات'!AA79</f>
        <v>0</v>
      </c>
      <c r="AB304" s="46">
        <f>'مركز التجهيزات'!AB79</f>
        <v>0</v>
      </c>
      <c r="AC304" s="46">
        <f>'مركز التجهيزات'!AC79</f>
        <v>0</v>
      </c>
      <c r="AD304" s="46">
        <f>'مركز التجهيزات'!AD79</f>
        <v>0</v>
      </c>
      <c r="AE304" s="46">
        <f>'مركز التجهيزات'!AE79</f>
        <v>0</v>
      </c>
      <c r="AF304" s="46">
        <f>'مركز التجهيزات'!AF79</f>
        <v>0</v>
      </c>
      <c r="AG304" s="46">
        <f>'مركز التجهيزات'!AG79</f>
        <v>0</v>
      </c>
      <c r="AH304" s="46">
        <f>'مركز التجهيزات'!AH79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+'مركز التجهيزات'!A80</f>
        <v>0</v>
      </c>
      <c r="B308" s="44">
        <f>+'مركز التجهيزات'!B80</f>
        <v>0</v>
      </c>
      <c r="C308" s="45">
        <f>+'مركز التجهيزات'!C80</f>
        <v>0</v>
      </c>
      <c r="D308" s="45">
        <f>+'مركز التجهيزات'!D80</f>
        <v>0</v>
      </c>
      <c r="E308" s="45">
        <f>+'مركز التجهيزات'!E80</f>
        <v>0</v>
      </c>
      <c r="F308" s="46">
        <f>'مركز التجهيزات'!F80</f>
        <v>0</v>
      </c>
      <c r="G308" s="46">
        <f>'مركز التجهيزات'!G80</f>
        <v>0</v>
      </c>
      <c r="H308" s="46">
        <f>'مركز التجهيزات'!H80</f>
        <v>0</v>
      </c>
      <c r="I308" s="46">
        <f>'مركز التجهيزات'!I80</f>
        <v>0</v>
      </c>
      <c r="J308" s="46">
        <f>'مركز التجهيزات'!J80</f>
        <v>0</v>
      </c>
      <c r="K308" s="46">
        <f>'مركز التجهيزات'!K80</f>
        <v>0</v>
      </c>
      <c r="L308" s="46">
        <f>'مركز التجهيزات'!L80</f>
        <v>0</v>
      </c>
      <c r="M308" s="46">
        <f>'مركز التجهيزات'!M80</f>
        <v>0</v>
      </c>
      <c r="N308" s="46">
        <f>'مركز التجهيزات'!N80</f>
        <v>0</v>
      </c>
      <c r="O308" s="46">
        <f>'مركز التجهيزات'!O80</f>
        <v>0</v>
      </c>
      <c r="P308" s="46">
        <f>'مركز التجهيزات'!P80</f>
        <v>0</v>
      </c>
      <c r="Q308" s="46">
        <f>'مركز التجهيزات'!Q80</f>
        <v>0</v>
      </c>
      <c r="R308" s="47">
        <f>'مركز التجهيزات'!R80</f>
        <v>0</v>
      </c>
      <c r="S308" s="47">
        <f>'مركز التجهيزات'!S80</f>
        <v>0</v>
      </c>
      <c r="T308" s="46">
        <f>'مركز التجهيزات'!T80</f>
        <v>0</v>
      </c>
      <c r="U308" s="46">
        <f>'مركز التجهيزات'!U80</f>
        <v>0</v>
      </c>
      <c r="V308" s="46">
        <f>'مركز التجهيزات'!V80</f>
        <v>0</v>
      </c>
      <c r="W308" s="46">
        <f>'مركز التجهيزات'!W80</f>
        <v>0</v>
      </c>
      <c r="X308" s="46">
        <f>'مركز التجهيزات'!X80</f>
        <v>0</v>
      </c>
      <c r="Y308" s="46">
        <f>'مركز التجهيزات'!Y80</f>
        <v>0</v>
      </c>
      <c r="Z308" s="46">
        <f>'مركز التجهيزات'!Z80</f>
        <v>0</v>
      </c>
      <c r="AA308" s="46">
        <f>'مركز التجهيزات'!AA80</f>
        <v>0</v>
      </c>
      <c r="AB308" s="46">
        <f>'مركز التجهيزات'!AB80</f>
        <v>0</v>
      </c>
      <c r="AC308" s="46">
        <f>'مركز التجهيزات'!AC80</f>
        <v>0</v>
      </c>
      <c r="AD308" s="46">
        <f>'مركز التجهيزات'!AD80</f>
        <v>0</v>
      </c>
      <c r="AE308" s="46">
        <f>'مركز التجهيزات'!AE80</f>
        <v>0</v>
      </c>
      <c r="AF308" s="46">
        <f>'مركز التجهيزات'!AF80</f>
        <v>0</v>
      </c>
      <c r="AG308" s="46">
        <f>'مركز التجهيزات'!AG80</f>
        <v>0</v>
      </c>
      <c r="AH308" s="46">
        <f>'مركز التجهيزات'!AH80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</mergeCells>
  <pageMargins left="0" right="0.5" top="0" bottom="0" header="0" footer="0"/>
  <pageSetup paperSize="9" scale="3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AH309"/>
  <sheetViews>
    <sheetView rightToLeft="1" topLeftCell="A82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+'مركز الاتصالات'!A4</f>
        <v>0</v>
      </c>
      <c r="B4" s="44">
        <f>+'مركز الاتصالات'!B4</f>
        <v>0</v>
      </c>
      <c r="C4" s="45">
        <f>+'مركز الاتصالات'!C4</f>
        <v>0</v>
      </c>
      <c r="D4" s="45">
        <f>+'مركز الاتصالات'!D4</f>
        <v>0</v>
      </c>
      <c r="E4" s="45">
        <f>+'مركز الاتصالات'!E4</f>
        <v>0</v>
      </c>
      <c r="F4" s="46">
        <f>'مركز الاتصالات'!F4</f>
        <v>0</v>
      </c>
      <c r="G4" s="46">
        <f>'مركز الاتصالات'!G4</f>
        <v>0</v>
      </c>
      <c r="H4" s="46">
        <f>'مركز الاتصالات'!H4</f>
        <v>0</v>
      </c>
      <c r="I4" s="46">
        <f>'مركز الاتصالات'!I4</f>
        <v>0</v>
      </c>
      <c r="J4" s="46">
        <f>'مركز الاتصالات'!J4</f>
        <v>0</v>
      </c>
      <c r="K4" s="46">
        <f>'مركز الاتصالات'!K4</f>
        <v>0</v>
      </c>
      <c r="L4" s="46">
        <f>'مركز الاتصالات'!L4</f>
        <v>0</v>
      </c>
      <c r="M4" s="46">
        <f>'مركز الاتصالات'!M4</f>
        <v>0</v>
      </c>
      <c r="N4" s="46">
        <f>'مركز الاتصالات'!N4</f>
        <v>0</v>
      </c>
      <c r="O4" s="46">
        <f>'مركز الاتصالات'!O4</f>
        <v>0</v>
      </c>
      <c r="P4" s="46">
        <f>'مركز الاتصالات'!P4</f>
        <v>0</v>
      </c>
      <c r="Q4" s="46">
        <f>'مركز الاتصالات'!Q4</f>
        <v>0</v>
      </c>
      <c r="R4" s="47">
        <f>'مركز الاتصالات'!R4</f>
        <v>0</v>
      </c>
      <c r="S4" s="47">
        <f>'مركز الاتصالات'!S4</f>
        <v>0</v>
      </c>
      <c r="T4" s="46">
        <f>'مركز الاتصالات'!T4</f>
        <v>0</v>
      </c>
      <c r="U4" s="46">
        <f>'مركز الاتصالات'!U4</f>
        <v>0</v>
      </c>
      <c r="V4" s="46">
        <f>'مركز الاتصالات'!V4</f>
        <v>0</v>
      </c>
      <c r="W4" s="46">
        <f>'مركز الاتصالات'!W4</f>
        <v>0</v>
      </c>
      <c r="X4" s="46">
        <f>'مركز الاتصالات'!X4</f>
        <v>0</v>
      </c>
      <c r="Y4" s="46">
        <f>'مركز الاتصالات'!Y4</f>
        <v>0</v>
      </c>
      <c r="Z4" s="46">
        <f>'مركز الاتصالات'!Z4</f>
        <v>0</v>
      </c>
      <c r="AA4" s="46">
        <f>'مركز الاتصالات'!AA4</f>
        <v>0</v>
      </c>
      <c r="AB4" s="46">
        <f>'مركز الاتصالات'!AB4</f>
        <v>0</v>
      </c>
      <c r="AC4" s="46">
        <f>'مركز الاتصالات'!AC4</f>
        <v>0</v>
      </c>
      <c r="AD4" s="46">
        <f>'مركز الاتصالات'!AD4</f>
        <v>0</v>
      </c>
      <c r="AE4" s="46">
        <f>'مركز الاتصالات'!AE4</f>
        <v>0</v>
      </c>
      <c r="AF4" s="46">
        <f>'مركز الاتصالات'!AF4</f>
        <v>0</v>
      </c>
      <c r="AG4" s="46">
        <f>'مركز الاتصالات'!AG4</f>
        <v>0</v>
      </c>
      <c r="AH4" s="46">
        <f>'مركز الاتصالات'!AH4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+'مركز الاتصالات'!A5</f>
        <v>0</v>
      </c>
      <c r="B8" s="44">
        <f>+'مركز الاتصالات'!B5</f>
        <v>0</v>
      </c>
      <c r="C8" s="45">
        <f>+'مركز الاتصالات'!C5</f>
        <v>0</v>
      </c>
      <c r="D8" s="45">
        <f>+'مركز الاتصالات'!D5</f>
        <v>0</v>
      </c>
      <c r="E8" s="45">
        <f>+'مركز الاتصالات'!E5</f>
        <v>0</v>
      </c>
      <c r="F8" s="46">
        <f>+'مركز الاتصالات'!F5</f>
        <v>0</v>
      </c>
      <c r="G8" s="46">
        <f>+'مركز الاتصالات'!G5</f>
        <v>0</v>
      </c>
      <c r="H8" s="46">
        <f>+'مركز الاتصالات'!H5</f>
        <v>0</v>
      </c>
      <c r="I8" s="46">
        <f>+'مركز الاتصالات'!I5</f>
        <v>0</v>
      </c>
      <c r="J8" s="46">
        <f>+'مركز الاتصالات'!J5</f>
        <v>0</v>
      </c>
      <c r="K8" s="46">
        <f>+'مركز الاتصالات'!K5</f>
        <v>0</v>
      </c>
      <c r="L8" s="46">
        <f>+'مركز الاتصالات'!L5</f>
        <v>0</v>
      </c>
      <c r="M8" s="46">
        <f>+'مركز الاتصالات'!M5</f>
        <v>0</v>
      </c>
      <c r="N8" s="46">
        <f>+'مركز الاتصالات'!N5</f>
        <v>0</v>
      </c>
      <c r="O8" s="46">
        <f>+'مركز الاتصالات'!O5</f>
        <v>0</v>
      </c>
      <c r="P8" s="46">
        <f>+'مركز الاتصالات'!P5</f>
        <v>0</v>
      </c>
      <c r="Q8" s="46">
        <f>+'مركز الاتصالات'!Q5</f>
        <v>0</v>
      </c>
      <c r="R8" s="47">
        <f>+'مركز الاتصالات'!R5</f>
        <v>0</v>
      </c>
      <c r="S8" s="47">
        <f>+'مركز الاتصالات'!S5</f>
        <v>0</v>
      </c>
      <c r="T8" s="46">
        <f>+'مركز الاتصالات'!T5</f>
        <v>0</v>
      </c>
      <c r="U8" s="46">
        <f>+'مركز الاتصالات'!U5</f>
        <v>0</v>
      </c>
      <c r="V8" s="46">
        <f>+'مركز الاتصالات'!V5</f>
        <v>0</v>
      </c>
      <c r="W8" s="46">
        <f>+'مركز الاتصالات'!W5</f>
        <v>0</v>
      </c>
      <c r="X8" s="46">
        <f>+'مركز الاتصالات'!X5</f>
        <v>0</v>
      </c>
      <c r="Y8" s="46">
        <f>+'مركز الاتصالات'!Y5</f>
        <v>0</v>
      </c>
      <c r="Z8" s="46">
        <f>+'مركز الاتصالات'!Z5</f>
        <v>0</v>
      </c>
      <c r="AA8" s="46">
        <f>+'مركز الاتصالات'!AA5</f>
        <v>0</v>
      </c>
      <c r="AB8" s="46">
        <f>+'مركز الاتصالات'!AB5</f>
        <v>0</v>
      </c>
      <c r="AC8" s="46">
        <f>+'مركز الاتصالات'!AC5</f>
        <v>0</v>
      </c>
      <c r="AD8" s="46">
        <f>+'مركز الاتصالات'!AD5</f>
        <v>0</v>
      </c>
      <c r="AE8" s="46">
        <f>+'مركز الاتصالات'!AE5</f>
        <v>0</v>
      </c>
      <c r="AF8" s="46">
        <f>+'مركز الاتصالات'!AF5</f>
        <v>0</v>
      </c>
      <c r="AG8" s="46">
        <f>+'مركز الاتصالات'!AG5</f>
        <v>0</v>
      </c>
      <c r="AH8" s="46">
        <f>+'مركز الاتصالات'!AH5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+'مركز الاتصالات'!A6</f>
        <v>0</v>
      </c>
      <c r="B12" s="44">
        <f>+'مركز الاتصالات'!B6</f>
        <v>0</v>
      </c>
      <c r="C12" s="45">
        <f>+'مركز الاتصالات'!C6</f>
        <v>0</v>
      </c>
      <c r="D12" s="45">
        <f>+'مركز الاتصالات'!D6</f>
        <v>0</v>
      </c>
      <c r="E12" s="45">
        <f>+'مركز الاتصالات'!E6</f>
        <v>0</v>
      </c>
      <c r="F12" s="46">
        <f>+'مركز الاتصالات'!F6</f>
        <v>0</v>
      </c>
      <c r="G12" s="46">
        <f>+'مركز الاتصالات'!G6</f>
        <v>0</v>
      </c>
      <c r="H12" s="46">
        <f>+'مركز الاتصالات'!H6</f>
        <v>0</v>
      </c>
      <c r="I12" s="46">
        <f>+'مركز الاتصالات'!I6</f>
        <v>0</v>
      </c>
      <c r="J12" s="46">
        <f>+'مركز الاتصالات'!J6</f>
        <v>0</v>
      </c>
      <c r="K12" s="46">
        <f>+'مركز الاتصالات'!K6</f>
        <v>0</v>
      </c>
      <c r="L12" s="46">
        <f>+'مركز الاتصالات'!L6</f>
        <v>0</v>
      </c>
      <c r="M12" s="46">
        <f>+'مركز الاتصالات'!M6</f>
        <v>0</v>
      </c>
      <c r="N12" s="46">
        <f>+'مركز الاتصالات'!N6</f>
        <v>0</v>
      </c>
      <c r="O12" s="46">
        <f>+'مركز الاتصالات'!O6</f>
        <v>0</v>
      </c>
      <c r="P12" s="46">
        <f>+'مركز الاتصالات'!P6</f>
        <v>0</v>
      </c>
      <c r="Q12" s="46">
        <f>+'مركز الاتصالات'!Q6</f>
        <v>0</v>
      </c>
      <c r="R12" s="47">
        <f>+'مركز الاتصالات'!R6</f>
        <v>0</v>
      </c>
      <c r="S12" s="47">
        <f>+'مركز الاتصالات'!S6</f>
        <v>0</v>
      </c>
      <c r="T12" s="46">
        <f>+'مركز الاتصالات'!T6</f>
        <v>0</v>
      </c>
      <c r="U12" s="46">
        <f>+'مركز الاتصالات'!U6</f>
        <v>0</v>
      </c>
      <c r="V12" s="46">
        <f>+'مركز الاتصالات'!V6</f>
        <v>0</v>
      </c>
      <c r="W12" s="46">
        <f>+'مركز الاتصالات'!W6</f>
        <v>0</v>
      </c>
      <c r="X12" s="46">
        <f>+'مركز الاتصالات'!X6</f>
        <v>0</v>
      </c>
      <c r="Y12" s="46">
        <f>+'مركز الاتصالات'!Y6</f>
        <v>0</v>
      </c>
      <c r="Z12" s="46">
        <f>+'مركز الاتصالات'!Z6</f>
        <v>0</v>
      </c>
      <c r="AA12" s="46">
        <f>+'مركز الاتصالات'!AA6</f>
        <v>0</v>
      </c>
      <c r="AB12" s="46">
        <f>+'مركز الاتصالات'!AB6</f>
        <v>0</v>
      </c>
      <c r="AC12" s="46">
        <f>+'مركز الاتصالات'!AC6</f>
        <v>0</v>
      </c>
      <c r="AD12" s="46">
        <f>+'مركز الاتصالات'!AD6</f>
        <v>0</v>
      </c>
      <c r="AE12" s="46">
        <f>+'مركز الاتصالات'!AE6</f>
        <v>0</v>
      </c>
      <c r="AF12" s="46">
        <f>+'مركز الاتصالات'!AF6</f>
        <v>0</v>
      </c>
      <c r="AG12" s="46">
        <f>+'مركز الاتصالات'!AG6</f>
        <v>0</v>
      </c>
      <c r="AH12" s="46">
        <f>+'مركز الاتصالات'!AH6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+'مركز الاتصالات'!A7</f>
        <v>0</v>
      </c>
      <c r="B16" s="44">
        <f>+'مركز الاتصالات'!B7</f>
        <v>0</v>
      </c>
      <c r="C16" s="45">
        <f>+'مركز الاتصالات'!C7</f>
        <v>0</v>
      </c>
      <c r="D16" s="45">
        <f>+'مركز الاتصالات'!D7</f>
        <v>0</v>
      </c>
      <c r="E16" s="45">
        <f>+'مركز الاتصالات'!E7</f>
        <v>0</v>
      </c>
      <c r="F16" s="46">
        <f>+'مركز الاتصالات'!F7</f>
        <v>0</v>
      </c>
      <c r="G16" s="46">
        <f>+'مركز الاتصالات'!G7</f>
        <v>0</v>
      </c>
      <c r="H16" s="46">
        <f>+'مركز الاتصالات'!H7</f>
        <v>0</v>
      </c>
      <c r="I16" s="46">
        <f>+'مركز الاتصالات'!I7</f>
        <v>0</v>
      </c>
      <c r="J16" s="46">
        <f>+'مركز الاتصالات'!J7</f>
        <v>0</v>
      </c>
      <c r="K16" s="46">
        <f>+'مركز الاتصالات'!K7</f>
        <v>0</v>
      </c>
      <c r="L16" s="46">
        <f>+'مركز الاتصالات'!L7</f>
        <v>0</v>
      </c>
      <c r="M16" s="46">
        <f>+'مركز الاتصالات'!M7</f>
        <v>0</v>
      </c>
      <c r="N16" s="46">
        <f>+'مركز الاتصالات'!N7</f>
        <v>0</v>
      </c>
      <c r="O16" s="46">
        <f>+'مركز الاتصالات'!O7</f>
        <v>0</v>
      </c>
      <c r="P16" s="46">
        <f>+'مركز الاتصالات'!P7</f>
        <v>0</v>
      </c>
      <c r="Q16" s="46">
        <f>+'مركز الاتصالات'!Q7</f>
        <v>0</v>
      </c>
      <c r="R16" s="47">
        <f>+'مركز الاتصالات'!R7</f>
        <v>0</v>
      </c>
      <c r="S16" s="47">
        <f>+'مركز الاتصالات'!S7</f>
        <v>0</v>
      </c>
      <c r="T16" s="46">
        <f>+'مركز الاتصالات'!T7</f>
        <v>0</v>
      </c>
      <c r="U16" s="46">
        <f>+'مركز الاتصالات'!U7</f>
        <v>0</v>
      </c>
      <c r="V16" s="46">
        <f>+'مركز الاتصالات'!V7</f>
        <v>0</v>
      </c>
      <c r="W16" s="46">
        <f>+'مركز الاتصالات'!W7</f>
        <v>0</v>
      </c>
      <c r="X16" s="46">
        <f>+'مركز الاتصالات'!X7</f>
        <v>0</v>
      </c>
      <c r="Y16" s="46">
        <f>+'مركز الاتصالات'!Y7</f>
        <v>0</v>
      </c>
      <c r="Z16" s="46">
        <f>+'مركز الاتصالات'!Z7</f>
        <v>0</v>
      </c>
      <c r="AA16" s="46">
        <f>+'مركز الاتصالات'!AA7</f>
        <v>0</v>
      </c>
      <c r="AB16" s="46">
        <f>+'مركز الاتصالات'!AB7</f>
        <v>0</v>
      </c>
      <c r="AC16" s="46">
        <f>+'مركز الاتصالات'!AC7</f>
        <v>0</v>
      </c>
      <c r="AD16" s="46">
        <f>+'مركز الاتصالات'!AD7</f>
        <v>0</v>
      </c>
      <c r="AE16" s="46">
        <f>+'مركز الاتصالات'!AE7</f>
        <v>0</v>
      </c>
      <c r="AF16" s="46">
        <f>+'مركز الاتصالات'!AF7</f>
        <v>0</v>
      </c>
      <c r="AG16" s="46">
        <f>+'مركز الاتصالات'!AG7</f>
        <v>0</v>
      </c>
      <c r="AH16" s="46">
        <f>+'مركز الاتصالات'!AH7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+'مركز الاتصالات'!A8</f>
        <v>0</v>
      </c>
      <c r="B20" s="44">
        <f>+'مركز الاتصالات'!B8</f>
        <v>0</v>
      </c>
      <c r="C20" s="45">
        <f>+'مركز الاتصالات'!C8</f>
        <v>0</v>
      </c>
      <c r="D20" s="45">
        <f>+'مركز الاتصالات'!D8</f>
        <v>0</v>
      </c>
      <c r="E20" s="45">
        <f>+'مركز الاتصالات'!E8</f>
        <v>0</v>
      </c>
      <c r="F20" s="46">
        <f>+'مركز الاتصالات'!F8</f>
        <v>0</v>
      </c>
      <c r="G20" s="46">
        <f>+'مركز الاتصالات'!G8</f>
        <v>0</v>
      </c>
      <c r="H20" s="46">
        <f>+'مركز الاتصالات'!H8</f>
        <v>0</v>
      </c>
      <c r="I20" s="46">
        <f>+'مركز الاتصالات'!I8</f>
        <v>0</v>
      </c>
      <c r="J20" s="46">
        <f>+'مركز الاتصالات'!J8</f>
        <v>0</v>
      </c>
      <c r="K20" s="46">
        <f>+'مركز الاتصالات'!K8</f>
        <v>0</v>
      </c>
      <c r="L20" s="46">
        <f>+'مركز الاتصالات'!L8</f>
        <v>0</v>
      </c>
      <c r="M20" s="46">
        <f>+'مركز الاتصالات'!M8</f>
        <v>0</v>
      </c>
      <c r="N20" s="46">
        <f>+'مركز الاتصالات'!N8</f>
        <v>0</v>
      </c>
      <c r="O20" s="46">
        <f>+'مركز الاتصالات'!O8</f>
        <v>0</v>
      </c>
      <c r="P20" s="46">
        <f>+'مركز الاتصالات'!P8</f>
        <v>0</v>
      </c>
      <c r="Q20" s="46">
        <f>+'مركز الاتصالات'!Q8</f>
        <v>0</v>
      </c>
      <c r="R20" s="47">
        <f>+'مركز الاتصالات'!R8</f>
        <v>0</v>
      </c>
      <c r="S20" s="47">
        <f>+'مركز الاتصالات'!S8</f>
        <v>0</v>
      </c>
      <c r="T20" s="46">
        <f>+'مركز الاتصالات'!T8</f>
        <v>0</v>
      </c>
      <c r="U20" s="46">
        <f>+'مركز الاتصالات'!U8</f>
        <v>0</v>
      </c>
      <c r="V20" s="46">
        <f>+'مركز الاتصالات'!V8</f>
        <v>0</v>
      </c>
      <c r="W20" s="46">
        <f>+'مركز الاتصالات'!W8</f>
        <v>0</v>
      </c>
      <c r="X20" s="46">
        <f>+'مركز الاتصالات'!X8</f>
        <v>0</v>
      </c>
      <c r="Y20" s="46">
        <f>+'مركز الاتصالات'!Y8</f>
        <v>0</v>
      </c>
      <c r="Z20" s="46">
        <f>+'مركز الاتصالات'!Z8</f>
        <v>0</v>
      </c>
      <c r="AA20" s="46">
        <f>+'مركز الاتصالات'!AA8</f>
        <v>0</v>
      </c>
      <c r="AB20" s="46">
        <f>+'مركز الاتصالات'!AB8</f>
        <v>0</v>
      </c>
      <c r="AC20" s="46">
        <f>+'مركز الاتصالات'!AC8</f>
        <v>0</v>
      </c>
      <c r="AD20" s="46">
        <f>+'مركز الاتصالات'!AD8</f>
        <v>0</v>
      </c>
      <c r="AE20" s="46">
        <f>+'مركز الاتصالات'!AE8</f>
        <v>0</v>
      </c>
      <c r="AF20" s="46">
        <f>+'مركز الاتصالات'!AF8</f>
        <v>0</v>
      </c>
      <c r="AG20" s="46">
        <f>+'مركز الاتصالات'!AG8</f>
        <v>0</v>
      </c>
      <c r="AH20" s="46">
        <f>+'مركز الاتصالات'!AH8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+'مركز الاتصالات'!A9</f>
        <v>0</v>
      </c>
      <c r="B24" s="44">
        <f>+'مركز الاتصالات'!B9</f>
        <v>0</v>
      </c>
      <c r="C24" s="45">
        <f>+'مركز الاتصالات'!C9</f>
        <v>0</v>
      </c>
      <c r="D24" s="45">
        <f>+'مركز الاتصالات'!D9</f>
        <v>0</v>
      </c>
      <c r="E24" s="45">
        <f>+'مركز الاتصالات'!E9</f>
        <v>0</v>
      </c>
      <c r="F24" s="46">
        <f>+'مركز الاتصالات'!F9</f>
        <v>0</v>
      </c>
      <c r="G24" s="46">
        <f>+'مركز الاتصالات'!G9</f>
        <v>0</v>
      </c>
      <c r="H24" s="46">
        <f>+'مركز الاتصالات'!H9</f>
        <v>0</v>
      </c>
      <c r="I24" s="46">
        <f>+'مركز الاتصالات'!I9</f>
        <v>0</v>
      </c>
      <c r="J24" s="46">
        <f>+'مركز الاتصالات'!J9</f>
        <v>0</v>
      </c>
      <c r="K24" s="46">
        <f>+'مركز الاتصالات'!K9</f>
        <v>0</v>
      </c>
      <c r="L24" s="46">
        <f>+'مركز الاتصالات'!L9</f>
        <v>0</v>
      </c>
      <c r="M24" s="46">
        <f>+'مركز الاتصالات'!M9</f>
        <v>0</v>
      </c>
      <c r="N24" s="46">
        <f>+'مركز الاتصالات'!N9</f>
        <v>0</v>
      </c>
      <c r="O24" s="46">
        <f>+'مركز الاتصالات'!O9</f>
        <v>0</v>
      </c>
      <c r="P24" s="46">
        <f>+'مركز الاتصالات'!P9</f>
        <v>0</v>
      </c>
      <c r="Q24" s="46">
        <f>+'مركز الاتصالات'!Q9</f>
        <v>0</v>
      </c>
      <c r="R24" s="47">
        <f>+'مركز الاتصالات'!R9</f>
        <v>0</v>
      </c>
      <c r="S24" s="47">
        <f>+'مركز الاتصالات'!S9</f>
        <v>0</v>
      </c>
      <c r="T24" s="46">
        <f>+'مركز الاتصالات'!T9</f>
        <v>0</v>
      </c>
      <c r="U24" s="46">
        <f>+'مركز الاتصالات'!U9</f>
        <v>0</v>
      </c>
      <c r="V24" s="46">
        <f>+'مركز الاتصالات'!V9</f>
        <v>0</v>
      </c>
      <c r="W24" s="46">
        <f>+'مركز الاتصالات'!W9</f>
        <v>0</v>
      </c>
      <c r="X24" s="46">
        <f>+'مركز الاتصالات'!X9</f>
        <v>0</v>
      </c>
      <c r="Y24" s="46">
        <f>+'مركز الاتصالات'!Y9</f>
        <v>0</v>
      </c>
      <c r="Z24" s="46">
        <f>+'مركز الاتصالات'!Z9</f>
        <v>0</v>
      </c>
      <c r="AA24" s="46">
        <f>+'مركز الاتصالات'!AA9</f>
        <v>0</v>
      </c>
      <c r="AB24" s="46">
        <f>+'مركز الاتصالات'!AB9</f>
        <v>0</v>
      </c>
      <c r="AC24" s="46">
        <f>+'مركز الاتصالات'!AC9</f>
        <v>0</v>
      </c>
      <c r="AD24" s="46">
        <f>+'مركز الاتصالات'!AD9</f>
        <v>0</v>
      </c>
      <c r="AE24" s="46">
        <f>+'مركز الاتصالات'!AE9</f>
        <v>0</v>
      </c>
      <c r="AF24" s="46">
        <f>+'مركز الاتصالات'!AF9</f>
        <v>0</v>
      </c>
      <c r="AG24" s="46">
        <f>+'مركز الاتصالات'!AG9</f>
        <v>0</v>
      </c>
      <c r="AH24" s="46">
        <f>+'مركز الاتصالات'!AH9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+'مركز الاتصالات'!A10</f>
        <v>0</v>
      </c>
      <c r="B28" s="44">
        <f>+'مركز الاتصالات'!B10</f>
        <v>0</v>
      </c>
      <c r="C28" s="45">
        <f>+'مركز الاتصالات'!C10</f>
        <v>0</v>
      </c>
      <c r="D28" s="45">
        <f>+'مركز الاتصالات'!D10</f>
        <v>0</v>
      </c>
      <c r="E28" s="45">
        <f>+'مركز الاتصالات'!E10</f>
        <v>0</v>
      </c>
      <c r="F28" s="46">
        <f>+'مركز الاتصالات'!F10</f>
        <v>0</v>
      </c>
      <c r="G28" s="46">
        <f>+'مركز الاتصالات'!G10</f>
        <v>0</v>
      </c>
      <c r="H28" s="46">
        <f>+'مركز الاتصالات'!H10</f>
        <v>0</v>
      </c>
      <c r="I28" s="46">
        <f>+'مركز الاتصالات'!I10</f>
        <v>0</v>
      </c>
      <c r="J28" s="46">
        <f>+'مركز الاتصالات'!J10</f>
        <v>0</v>
      </c>
      <c r="K28" s="46">
        <f>+'مركز الاتصالات'!K10</f>
        <v>0</v>
      </c>
      <c r="L28" s="46">
        <f>+'مركز الاتصالات'!L10</f>
        <v>0</v>
      </c>
      <c r="M28" s="46">
        <f>+'مركز الاتصالات'!M10</f>
        <v>0</v>
      </c>
      <c r="N28" s="46">
        <f>+'مركز الاتصالات'!N10</f>
        <v>0</v>
      </c>
      <c r="O28" s="46">
        <f>+'مركز الاتصالات'!O10</f>
        <v>0</v>
      </c>
      <c r="P28" s="46">
        <f>+'مركز الاتصالات'!P10</f>
        <v>0</v>
      </c>
      <c r="Q28" s="46">
        <f>+'مركز الاتصالات'!Q10</f>
        <v>0</v>
      </c>
      <c r="R28" s="47">
        <f>+'مركز الاتصالات'!R10</f>
        <v>0</v>
      </c>
      <c r="S28" s="47">
        <f>+'مركز الاتصالات'!S10</f>
        <v>0</v>
      </c>
      <c r="T28" s="46">
        <f>+'مركز الاتصالات'!T10</f>
        <v>0</v>
      </c>
      <c r="U28" s="46">
        <f>+'مركز الاتصالات'!U10</f>
        <v>0</v>
      </c>
      <c r="V28" s="46">
        <f>+'مركز الاتصالات'!V10</f>
        <v>0</v>
      </c>
      <c r="W28" s="46">
        <f>+'مركز الاتصالات'!W10</f>
        <v>0</v>
      </c>
      <c r="X28" s="46">
        <f>+'مركز الاتصالات'!X10</f>
        <v>0</v>
      </c>
      <c r="Y28" s="46">
        <f>+'مركز الاتصالات'!Y10</f>
        <v>0</v>
      </c>
      <c r="Z28" s="46">
        <f>+'مركز الاتصالات'!Z10</f>
        <v>0</v>
      </c>
      <c r="AA28" s="46">
        <f>+'مركز الاتصالات'!AA10</f>
        <v>0</v>
      </c>
      <c r="AB28" s="46">
        <f>+'مركز الاتصالات'!AB10</f>
        <v>0</v>
      </c>
      <c r="AC28" s="46">
        <f>+'مركز الاتصالات'!AC10</f>
        <v>0</v>
      </c>
      <c r="AD28" s="46">
        <f>+'مركز الاتصالات'!AD10</f>
        <v>0</v>
      </c>
      <c r="AE28" s="46">
        <f>+'مركز الاتصالات'!AE10</f>
        <v>0</v>
      </c>
      <c r="AF28" s="46">
        <f>+'مركز الاتصالات'!AF10</f>
        <v>0</v>
      </c>
      <c r="AG28" s="46">
        <f>+'مركز الاتصالات'!AG10</f>
        <v>0</v>
      </c>
      <c r="AH28" s="46">
        <f>+'مركز الاتصالات'!AH10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+'مركز الاتصالات'!A11</f>
        <v>0</v>
      </c>
      <c r="B32" s="44">
        <f>+'مركز الاتصالات'!B11</f>
        <v>0</v>
      </c>
      <c r="C32" s="45">
        <f>+'مركز الاتصالات'!C11</f>
        <v>0</v>
      </c>
      <c r="D32" s="45">
        <f>+'مركز الاتصالات'!D11</f>
        <v>0</v>
      </c>
      <c r="E32" s="45">
        <f>+'مركز الاتصالات'!E11</f>
        <v>0</v>
      </c>
      <c r="F32" s="46">
        <f>+'مركز الاتصالات'!F11</f>
        <v>0</v>
      </c>
      <c r="G32" s="46">
        <f>+'مركز الاتصالات'!G11</f>
        <v>0</v>
      </c>
      <c r="H32" s="46">
        <f>+'مركز الاتصالات'!H11</f>
        <v>0</v>
      </c>
      <c r="I32" s="46">
        <f>+'مركز الاتصالات'!I11</f>
        <v>0</v>
      </c>
      <c r="J32" s="46">
        <f>+'مركز الاتصالات'!J11</f>
        <v>0</v>
      </c>
      <c r="K32" s="46">
        <f>+'مركز الاتصالات'!K11</f>
        <v>0</v>
      </c>
      <c r="L32" s="46">
        <f>+'مركز الاتصالات'!L11</f>
        <v>0</v>
      </c>
      <c r="M32" s="46">
        <f>+'مركز الاتصالات'!M11</f>
        <v>0</v>
      </c>
      <c r="N32" s="46">
        <f>+'مركز الاتصالات'!N11</f>
        <v>0</v>
      </c>
      <c r="O32" s="46">
        <f>+'مركز الاتصالات'!O11</f>
        <v>0</v>
      </c>
      <c r="P32" s="46">
        <f>+'مركز الاتصالات'!P11</f>
        <v>0</v>
      </c>
      <c r="Q32" s="46">
        <f>+'مركز الاتصالات'!Q11</f>
        <v>0</v>
      </c>
      <c r="R32" s="47">
        <f>+'مركز الاتصالات'!R11</f>
        <v>0</v>
      </c>
      <c r="S32" s="47">
        <f>+'مركز الاتصالات'!S11</f>
        <v>0</v>
      </c>
      <c r="T32" s="46">
        <f>+'مركز الاتصالات'!T11</f>
        <v>0</v>
      </c>
      <c r="U32" s="46">
        <f>+'مركز الاتصالات'!U11</f>
        <v>0</v>
      </c>
      <c r="V32" s="46">
        <f>+'مركز الاتصالات'!V11</f>
        <v>0</v>
      </c>
      <c r="W32" s="46">
        <f>+'مركز الاتصالات'!W11</f>
        <v>0</v>
      </c>
      <c r="X32" s="46">
        <f>+'مركز الاتصالات'!X11</f>
        <v>0</v>
      </c>
      <c r="Y32" s="46">
        <f>+'مركز الاتصالات'!Y11</f>
        <v>0</v>
      </c>
      <c r="Z32" s="46">
        <f>+'مركز الاتصالات'!Z11</f>
        <v>0</v>
      </c>
      <c r="AA32" s="46">
        <f>+'مركز الاتصالات'!AA11</f>
        <v>0</v>
      </c>
      <c r="AB32" s="46">
        <f>+'مركز الاتصالات'!AB11</f>
        <v>0</v>
      </c>
      <c r="AC32" s="46">
        <f>+'مركز الاتصالات'!AC11</f>
        <v>0</v>
      </c>
      <c r="AD32" s="46">
        <f>+'مركز الاتصالات'!AD11</f>
        <v>0</v>
      </c>
      <c r="AE32" s="46">
        <f>+'مركز الاتصالات'!AE11</f>
        <v>0</v>
      </c>
      <c r="AF32" s="46">
        <f>+'مركز الاتصالات'!AF11</f>
        <v>0</v>
      </c>
      <c r="AG32" s="46">
        <f>+'مركز الاتصالات'!AG11</f>
        <v>0</v>
      </c>
      <c r="AH32" s="46">
        <f>+'مركز الاتصالات'!AH11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+'مركز الاتصالات'!A12</f>
        <v>0</v>
      </c>
      <c r="B36" s="44">
        <f>+'مركز الاتصالات'!B12</f>
        <v>0</v>
      </c>
      <c r="C36" s="45">
        <f>+'مركز الاتصالات'!C12</f>
        <v>0</v>
      </c>
      <c r="D36" s="45">
        <f>+'مركز الاتصالات'!D12</f>
        <v>0</v>
      </c>
      <c r="E36" s="45">
        <f>+'مركز الاتصالات'!E12</f>
        <v>0</v>
      </c>
      <c r="F36" s="46">
        <f>+'مركز الاتصالات'!F12</f>
        <v>0</v>
      </c>
      <c r="G36" s="46">
        <f>+'مركز الاتصالات'!G12</f>
        <v>0</v>
      </c>
      <c r="H36" s="46">
        <f>+'مركز الاتصالات'!H12</f>
        <v>0</v>
      </c>
      <c r="I36" s="46">
        <f>+'مركز الاتصالات'!I12</f>
        <v>0</v>
      </c>
      <c r="J36" s="46">
        <f>+'مركز الاتصالات'!J12</f>
        <v>0</v>
      </c>
      <c r="K36" s="46">
        <f>+'مركز الاتصالات'!K12</f>
        <v>0</v>
      </c>
      <c r="L36" s="46">
        <f>+'مركز الاتصالات'!L12</f>
        <v>0</v>
      </c>
      <c r="M36" s="46">
        <f>+'مركز الاتصالات'!M12</f>
        <v>0</v>
      </c>
      <c r="N36" s="46">
        <f>+'مركز الاتصالات'!N12</f>
        <v>0</v>
      </c>
      <c r="O36" s="46">
        <f>+'مركز الاتصالات'!O12</f>
        <v>0</v>
      </c>
      <c r="P36" s="46">
        <f>+'مركز الاتصالات'!P12</f>
        <v>0</v>
      </c>
      <c r="Q36" s="46">
        <f>+'مركز الاتصالات'!Q12</f>
        <v>0</v>
      </c>
      <c r="R36" s="47">
        <f>+'مركز الاتصالات'!R12</f>
        <v>0</v>
      </c>
      <c r="S36" s="47">
        <f>+'مركز الاتصالات'!S12</f>
        <v>0</v>
      </c>
      <c r="T36" s="46">
        <f>+'مركز الاتصالات'!T12</f>
        <v>0</v>
      </c>
      <c r="U36" s="46">
        <f>+'مركز الاتصالات'!U12</f>
        <v>0</v>
      </c>
      <c r="V36" s="46">
        <f>+'مركز الاتصالات'!V12</f>
        <v>0</v>
      </c>
      <c r="W36" s="46">
        <f>+'مركز الاتصالات'!W12</f>
        <v>0</v>
      </c>
      <c r="X36" s="46">
        <f>+'مركز الاتصالات'!X12</f>
        <v>0</v>
      </c>
      <c r="Y36" s="46">
        <f>+'مركز الاتصالات'!Y12</f>
        <v>0</v>
      </c>
      <c r="Z36" s="46">
        <f>+'مركز الاتصالات'!Z12</f>
        <v>0</v>
      </c>
      <c r="AA36" s="46">
        <f>+'مركز الاتصالات'!AA12</f>
        <v>0</v>
      </c>
      <c r="AB36" s="46">
        <f>+'مركز الاتصالات'!AB12</f>
        <v>0</v>
      </c>
      <c r="AC36" s="46">
        <f>+'مركز الاتصالات'!AC12</f>
        <v>0</v>
      </c>
      <c r="AD36" s="46">
        <f>+'مركز الاتصالات'!AD12</f>
        <v>0</v>
      </c>
      <c r="AE36" s="46">
        <f>+'مركز الاتصالات'!AE12</f>
        <v>0</v>
      </c>
      <c r="AF36" s="46">
        <f>+'مركز الاتصالات'!AF12</f>
        <v>0</v>
      </c>
      <c r="AG36" s="46">
        <f>+'مركز الاتصالات'!AG12</f>
        <v>0</v>
      </c>
      <c r="AH36" s="46">
        <f>+'مركز الاتصالات'!AH12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+'مركز الاتصالات'!A13</f>
        <v>0</v>
      </c>
      <c r="B40" s="44">
        <f>+'مركز الاتصالات'!B13</f>
        <v>0</v>
      </c>
      <c r="C40" s="45">
        <f>+'مركز الاتصالات'!C13</f>
        <v>0</v>
      </c>
      <c r="D40" s="45">
        <f>+'مركز الاتصالات'!D13</f>
        <v>0</v>
      </c>
      <c r="E40" s="45">
        <f>+'مركز الاتصالات'!E13</f>
        <v>0</v>
      </c>
      <c r="F40" s="46">
        <f>+'مركز الاتصالات'!F13</f>
        <v>0</v>
      </c>
      <c r="G40" s="46">
        <f>+'مركز الاتصالات'!G13</f>
        <v>0</v>
      </c>
      <c r="H40" s="46">
        <f>+'مركز الاتصالات'!H13</f>
        <v>0</v>
      </c>
      <c r="I40" s="46">
        <f>+'مركز الاتصالات'!I13</f>
        <v>0</v>
      </c>
      <c r="J40" s="46">
        <f>+'مركز الاتصالات'!J13</f>
        <v>0</v>
      </c>
      <c r="K40" s="46">
        <f>+'مركز الاتصالات'!K13</f>
        <v>0</v>
      </c>
      <c r="L40" s="46">
        <f>+'مركز الاتصالات'!L13</f>
        <v>0</v>
      </c>
      <c r="M40" s="46">
        <f>+'مركز الاتصالات'!M13</f>
        <v>0</v>
      </c>
      <c r="N40" s="46">
        <f>+'مركز الاتصالات'!N13</f>
        <v>0</v>
      </c>
      <c r="O40" s="46">
        <f>+'مركز الاتصالات'!O13</f>
        <v>0</v>
      </c>
      <c r="P40" s="46">
        <f>+'مركز الاتصالات'!P13</f>
        <v>0</v>
      </c>
      <c r="Q40" s="46">
        <f>+'مركز الاتصالات'!Q13</f>
        <v>0</v>
      </c>
      <c r="R40" s="47">
        <f>+'مركز الاتصالات'!R13</f>
        <v>0</v>
      </c>
      <c r="S40" s="47">
        <f>+'مركز الاتصالات'!S13</f>
        <v>0</v>
      </c>
      <c r="T40" s="46">
        <f>+'مركز الاتصالات'!T13</f>
        <v>0</v>
      </c>
      <c r="U40" s="46">
        <f>+'مركز الاتصالات'!U13</f>
        <v>0</v>
      </c>
      <c r="V40" s="46">
        <f>+'مركز الاتصالات'!V13</f>
        <v>0</v>
      </c>
      <c r="W40" s="46">
        <f>+'مركز الاتصالات'!W13</f>
        <v>0</v>
      </c>
      <c r="X40" s="46">
        <f>+'مركز الاتصالات'!X13</f>
        <v>0</v>
      </c>
      <c r="Y40" s="46">
        <f>+'مركز الاتصالات'!Y13</f>
        <v>0</v>
      </c>
      <c r="Z40" s="46">
        <f>+'مركز الاتصالات'!Z13</f>
        <v>0</v>
      </c>
      <c r="AA40" s="46">
        <f>+'مركز الاتصالات'!AA13</f>
        <v>0</v>
      </c>
      <c r="AB40" s="46">
        <f>+'مركز الاتصالات'!AB13</f>
        <v>0</v>
      </c>
      <c r="AC40" s="46">
        <f>+'مركز الاتصالات'!AC13</f>
        <v>0</v>
      </c>
      <c r="AD40" s="46">
        <f>+'مركز الاتصالات'!AD13</f>
        <v>0</v>
      </c>
      <c r="AE40" s="46">
        <f>+'مركز الاتصالات'!AE13</f>
        <v>0</v>
      </c>
      <c r="AF40" s="46">
        <f>+'مركز الاتصالات'!AF13</f>
        <v>0</v>
      </c>
      <c r="AG40" s="46">
        <f>+'مركز الاتصالات'!AG13</f>
        <v>0</v>
      </c>
      <c r="AH40" s="46">
        <f>+'مركز الاتصالات'!AH13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+'مركز الاتصالات'!A14</f>
        <v>0</v>
      </c>
      <c r="B44" s="44">
        <f>+'مركز الاتصالات'!B14</f>
        <v>0</v>
      </c>
      <c r="C44" s="45">
        <f>+'مركز الاتصالات'!C14</f>
        <v>0</v>
      </c>
      <c r="D44" s="45">
        <f>+'مركز الاتصالات'!D14</f>
        <v>0</v>
      </c>
      <c r="E44" s="45">
        <f>+'مركز الاتصالات'!E14</f>
        <v>0</v>
      </c>
      <c r="F44" s="46">
        <f>+'مركز الاتصالات'!F14</f>
        <v>0</v>
      </c>
      <c r="G44" s="46">
        <f>+'مركز الاتصالات'!G14</f>
        <v>0</v>
      </c>
      <c r="H44" s="46">
        <f>+'مركز الاتصالات'!H14</f>
        <v>0</v>
      </c>
      <c r="I44" s="46">
        <f>+'مركز الاتصالات'!I14</f>
        <v>0</v>
      </c>
      <c r="J44" s="46">
        <f>+'مركز الاتصالات'!J14</f>
        <v>0</v>
      </c>
      <c r="K44" s="46">
        <f>+'مركز الاتصالات'!K14</f>
        <v>0</v>
      </c>
      <c r="L44" s="46">
        <f>+'مركز الاتصالات'!L14</f>
        <v>0</v>
      </c>
      <c r="M44" s="46">
        <f>+'مركز الاتصالات'!M14</f>
        <v>0</v>
      </c>
      <c r="N44" s="46">
        <f>+'مركز الاتصالات'!N14</f>
        <v>0</v>
      </c>
      <c r="O44" s="46">
        <f>+'مركز الاتصالات'!O14</f>
        <v>0</v>
      </c>
      <c r="P44" s="46">
        <f>+'مركز الاتصالات'!P14</f>
        <v>0</v>
      </c>
      <c r="Q44" s="46">
        <f>+'مركز الاتصالات'!Q14</f>
        <v>0</v>
      </c>
      <c r="R44" s="47">
        <f>+'مركز الاتصالات'!R14</f>
        <v>0</v>
      </c>
      <c r="S44" s="47">
        <f>+'مركز الاتصالات'!S14</f>
        <v>0</v>
      </c>
      <c r="T44" s="46">
        <f>+'مركز الاتصالات'!T14</f>
        <v>0</v>
      </c>
      <c r="U44" s="46">
        <f>+'مركز الاتصالات'!U14</f>
        <v>0</v>
      </c>
      <c r="V44" s="46">
        <f>+'مركز الاتصالات'!V14</f>
        <v>0</v>
      </c>
      <c r="W44" s="46">
        <f>+'مركز الاتصالات'!W14</f>
        <v>0</v>
      </c>
      <c r="X44" s="46">
        <f>+'مركز الاتصالات'!X14</f>
        <v>0</v>
      </c>
      <c r="Y44" s="46">
        <f>+'مركز الاتصالات'!Y14</f>
        <v>0</v>
      </c>
      <c r="Z44" s="46">
        <f>+'مركز الاتصالات'!Z14</f>
        <v>0</v>
      </c>
      <c r="AA44" s="46">
        <f>+'مركز الاتصالات'!AA14</f>
        <v>0</v>
      </c>
      <c r="AB44" s="46">
        <f>+'مركز الاتصالات'!AB14</f>
        <v>0</v>
      </c>
      <c r="AC44" s="46">
        <f>+'مركز الاتصالات'!AC14</f>
        <v>0</v>
      </c>
      <c r="AD44" s="46">
        <f>+'مركز الاتصالات'!AD14</f>
        <v>0</v>
      </c>
      <c r="AE44" s="46">
        <f>+'مركز الاتصالات'!AE14</f>
        <v>0</v>
      </c>
      <c r="AF44" s="46">
        <f>+'مركز الاتصالات'!AF14</f>
        <v>0</v>
      </c>
      <c r="AG44" s="46">
        <f>+'مركز الاتصالات'!AG14</f>
        <v>0</v>
      </c>
      <c r="AH44" s="46">
        <f>+'مركز الاتصالات'!AH14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+'مركز الاتصالات'!A15</f>
        <v>0</v>
      </c>
      <c r="B48" s="44">
        <f>+'مركز الاتصالات'!B15</f>
        <v>0</v>
      </c>
      <c r="C48" s="45">
        <f>+'مركز الاتصالات'!C15</f>
        <v>0</v>
      </c>
      <c r="D48" s="45">
        <f>+'مركز الاتصالات'!D15</f>
        <v>0</v>
      </c>
      <c r="E48" s="45">
        <f>+'مركز الاتصالات'!E15</f>
        <v>0</v>
      </c>
      <c r="F48" s="46">
        <f>+'مركز الاتصالات'!F15</f>
        <v>0</v>
      </c>
      <c r="G48" s="46">
        <f>+'مركز الاتصالات'!G15</f>
        <v>0</v>
      </c>
      <c r="H48" s="46">
        <f>+'مركز الاتصالات'!H15</f>
        <v>0</v>
      </c>
      <c r="I48" s="46">
        <f>+'مركز الاتصالات'!I15</f>
        <v>0</v>
      </c>
      <c r="J48" s="46">
        <f>+'مركز الاتصالات'!J15</f>
        <v>0</v>
      </c>
      <c r="K48" s="46">
        <f>+'مركز الاتصالات'!K15</f>
        <v>0</v>
      </c>
      <c r="L48" s="46">
        <f>+'مركز الاتصالات'!L15</f>
        <v>0</v>
      </c>
      <c r="M48" s="46">
        <f>+'مركز الاتصالات'!M15</f>
        <v>0</v>
      </c>
      <c r="N48" s="46">
        <f>+'مركز الاتصالات'!N15</f>
        <v>0</v>
      </c>
      <c r="O48" s="46">
        <f>+'مركز الاتصالات'!O15</f>
        <v>0</v>
      </c>
      <c r="P48" s="46">
        <f>+'مركز الاتصالات'!P15</f>
        <v>0</v>
      </c>
      <c r="Q48" s="46">
        <f>+'مركز الاتصالات'!Q15</f>
        <v>0</v>
      </c>
      <c r="R48" s="47">
        <f>+'مركز الاتصالات'!R15</f>
        <v>0</v>
      </c>
      <c r="S48" s="47">
        <f>+'مركز الاتصالات'!S15</f>
        <v>0</v>
      </c>
      <c r="T48" s="46">
        <f>+'مركز الاتصالات'!T15</f>
        <v>0</v>
      </c>
      <c r="U48" s="46">
        <f>+'مركز الاتصالات'!U15</f>
        <v>0</v>
      </c>
      <c r="V48" s="46">
        <f>+'مركز الاتصالات'!V15</f>
        <v>0</v>
      </c>
      <c r="W48" s="46">
        <f>+'مركز الاتصالات'!W15</f>
        <v>0</v>
      </c>
      <c r="X48" s="46">
        <f>+'مركز الاتصالات'!X15</f>
        <v>0</v>
      </c>
      <c r="Y48" s="46">
        <f>+'مركز الاتصالات'!Y15</f>
        <v>0</v>
      </c>
      <c r="Z48" s="46">
        <f>+'مركز الاتصالات'!Z15</f>
        <v>0</v>
      </c>
      <c r="AA48" s="46">
        <f>+'مركز الاتصالات'!AA15</f>
        <v>0</v>
      </c>
      <c r="AB48" s="46">
        <f>+'مركز الاتصالات'!AB15</f>
        <v>0</v>
      </c>
      <c r="AC48" s="46">
        <f>+'مركز الاتصالات'!AC15</f>
        <v>0</v>
      </c>
      <c r="AD48" s="46">
        <f>+'مركز الاتصالات'!AD15</f>
        <v>0</v>
      </c>
      <c r="AE48" s="46">
        <f>+'مركز الاتصالات'!AE15</f>
        <v>0</v>
      </c>
      <c r="AF48" s="46">
        <f>+'مركز الاتصالات'!AF15</f>
        <v>0</v>
      </c>
      <c r="AG48" s="46">
        <f>+'مركز الاتصالات'!AG15</f>
        <v>0</v>
      </c>
      <c r="AH48" s="46">
        <f>+'مركز الاتصالات'!AH15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+'مركز الاتصالات'!A16</f>
        <v>0</v>
      </c>
      <c r="B52" s="44">
        <f>+'مركز الاتصالات'!B16</f>
        <v>0</v>
      </c>
      <c r="C52" s="45">
        <f>+'مركز الاتصالات'!C16</f>
        <v>0</v>
      </c>
      <c r="D52" s="45">
        <f>+'مركز الاتصالات'!D16</f>
        <v>0</v>
      </c>
      <c r="E52" s="45">
        <f>+'مركز الاتصالات'!E16</f>
        <v>0</v>
      </c>
      <c r="F52" s="46">
        <f>+'مركز الاتصالات'!F16</f>
        <v>0</v>
      </c>
      <c r="G52" s="46">
        <f>+'مركز الاتصالات'!G16</f>
        <v>0</v>
      </c>
      <c r="H52" s="46">
        <f>+'مركز الاتصالات'!H16</f>
        <v>0</v>
      </c>
      <c r="I52" s="46">
        <f>+'مركز الاتصالات'!I16</f>
        <v>0</v>
      </c>
      <c r="J52" s="46">
        <f>+'مركز الاتصالات'!J16</f>
        <v>0</v>
      </c>
      <c r="K52" s="46">
        <f>+'مركز الاتصالات'!K16</f>
        <v>0</v>
      </c>
      <c r="L52" s="46">
        <f>+'مركز الاتصالات'!L16</f>
        <v>0</v>
      </c>
      <c r="M52" s="46">
        <f>+'مركز الاتصالات'!M16</f>
        <v>0</v>
      </c>
      <c r="N52" s="46">
        <f>+'مركز الاتصالات'!N16</f>
        <v>0</v>
      </c>
      <c r="O52" s="46">
        <f>+'مركز الاتصالات'!O16</f>
        <v>0</v>
      </c>
      <c r="P52" s="46">
        <f>+'مركز الاتصالات'!P16</f>
        <v>0</v>
      </c>
      <c r="Q52" s="46">
        <f>+'مركز الاتصالات'!Q16</f>
        <v>0</v>
      </c>
      <c r="R52" s="47">
        <f>+'مركز الاتصالات'!R16</f>
        <v>0</v>
      </c>
      <c r="S52" s="47">
        <f>+'مركز الاتصالات'!S16</f>
        <v>0</v>
      </c>
      <c r="T52" s="46">
        <f>+'مركز الاتصالات'!T16</f>
        <v>0</v>
      </c>
      <c r="U52" s="46">
        <f>+'مركز الاتصالات'!U16</f>
        <v>0</v>
      </c>
      <c r="V52" s="46">
        <f>+'مركز الاتصالات'!V16</f>
        <v>0</v>
      </c>
      <c r="W52" s="46">
        <f>+'مركز الاتصالات'!W16</f>
        <v>0</v>
      </c>
      <c r="X52" s="46">
        <f>+'مركز الاتصالات'!X16</f>
        <v>0</v>
      </c>
      <c r="Y52" s="46">
        <f>+'مركز الاتصالات'!Y16</f>
        <v>0</v>
      </c>
      <c r="Z52" s="46">
        <f>+'مركز الاتصالات'!Z16</f>
        <v>0</v>
      </c>
      <c r="AA52" s="46">
        <f>+'مركز الاتصالات'!AA16</f>
        <v>0</v>
      </c>
      <c r="AB52" s="46">
        <f>+'مركز الاتصالات'!AB16</f>
        <v>0</v>
      </c>
      <c r="AC52" s="46">
        <f>+'مركز الاتصالات'!AC16</f>
        <v>0</v>
      </c>
      <c r="AD52" s="46">
        <f>+'مركز الاتصالات'!AD16</f>
        <v>0</v>
      </c>
      <c r="AE52" s="46">
        <f>+'مركز الاتصالات'!AE16</f>
        <v>0</v>
      </c>
      <c r="AF52" s="46">
        <f>+'مركز الاتصالات'!AF16</f>
        <v>0</v>
      </c>
      <c r="AG52" s="46">
        <f>+'مركز الاتصالات'!AG16</f>
        <v>0</v>
      </c>
      <c r="AH52" s="46">
        <f>+'مركز الاتصالات'!AH16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+'مركز الاتصالات'!A17</f>
        <v>0</v>
      </c>
      <c r="B56" s="44">
        <f>+'مركز الاتصالات'!B17</f>
        <v>0</v>
      </c>
      <c r="C56" s="45">
        <f>+'مركز الاتصالات'!C17</f>
        <v>0</v>
      </c>
      <c r="D56" s="45">
        <f>+'مركز الاتصالات'!D17</f>
        <v>0</v>
      </c>
      <c r="E56" s="45">
        <f>+'مركز الاتصالات'!E17</f>
        <v>0</v>
      </c>
      <c r="F56" s="46">
        <f>+'مركز الاتصالات'!F17</f>
        <v>0</v>
      </c>
      <c r="G56" s="46">
        <f>+'مركز الاتصالات'!G17</f>
        <v>0</v>
      </c>
      <c r="H56" s="46">
        <f>+'مركز الاتصالات'!H17</f>
        <v>0</v>
      </c>
      <c r="I56" s="46">
        <f>+'مركز الاتصالات'!I17</f>
        <v>0</v>
      </c>
      <c r="J56" s="46">
        <f>+'مركز الاتصالات'!J17</f>
        <v>0</v>
      </c>
      <c r="K56" s="46">
        <f>+'مركز الاتصالات'!K17</f>
        <v>0</v>
      </c>
      <c r="L56" s="46">
        <f>+'مركز الاتصالات'!L17</f>
        <v>0</v>
      </c>
      <c r="M56" s="46">
        <f>+'مركز الاتصالات'!M17</f>
        <v>0</v>
      </c>
      <c r="N56" s="46">
        <f>+'مركز الاتصالات'!N17</f>
        <v>0</v>
      </c>
      <c r="O56" s="46">
        <f>+'مركز الاتصالات'!O17</f>
        <v>0</v>
      </c>
      <c r="P56" s="46">
        <f>+'مركز الاتصالات'!P17</f>
        <v>0</v>
      </c>
      <c r="Q56" s="46">
        <f>+'مركز الاتصالات'!Q17</f>
        <v>0</v>
      </c>
      <c r="R56" s="47">
        <f>+'مركز الاتصالات'!R17</f>
        <v>0</v>
      </c>
      <c r="S56" s="47">
        <f>+'مركز الاتصالات'!S17</f>
        <v>0</v>
      </c>
      <c r="T56" s="46">
        <f>+'مركز الاتصالات'!T17</f>
        <v>0</v>
      </c>
      <c r="U56" s="46">
        <f>+'مركز الاتصالات'!U17</f>
        <v>0</v>
      </c>
      <c r="V56" s="46">
        <f>+'مركز الاتصالات'!V17</f>
        <v>0</v>
      </c>
      <c r="W56" s="46">
        <f>+'مركز الاتصالات'!W17</f>
        <v>0</v>
      </c>
      <c r="X56" s="46">
        <f>+'مركز الاتصالات'!X17</f>
        <v>0</v>
      </c>
      <c r="Y56" s="46">
        <f>+'مركز الاتصالات'!Y17</f>
        <v>0</v>
      </c>
      <c r="Z56" s="46">
        <f>+'مركز الاتصالات'!Z17</f>
        <v>0</v>
      </c>
      <c r="AA56" s="46">
        <f>+'مركز الاتصالات'!AA17</f>
        <v>0</v>
      </c>
      <c r="AB56" s="46">
        <f>+'مركز الاتصالات'!AB17</f>
        <v>0</v>
      </c>
      <c r="AC56" s="46">
        <f>+'مركز الاتصالات'!AC17</f>
        <v>0</v>
      </c>
      <c r="AD56" s="46">
        <f>+'مركز الاتصالات'!AD17</f>
        <v>0</v>
      </c>
      <c r="AE56" s="46">
        <f>+'مركز الاتصالات'!AE17</f>
        <v>0</v>
      </c>
      <c r="AF56" s="46">
        <f>+'مركز الاتصالات'!AF17</f>
        <v>0</v>
      </c>
      <c r="AG56" s="46">
        <f>+'مركز الاتصالات'!AG17</f>
        <v>0</v>
      </c>
      <c r="AH56" s="46">
        <f>+'مركز الاتصالات'!AH17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+'مركز الاتصالات'!A18</f>
        <v>0</v>
      </c>
      <c r="B60" s="44">
        <f>+'مركز الاتصالات'!B18</f>
        <v>0</v>
      </c>
      <c r="C60" s="45">
        <f>+'مركز الاتصالات'!C18</f>
        <v>0</v>
      </c>
      <c r="D60" s="45">
        <f>+'مركز الاتصالات'!D18</f>
        <v>0</v>
      </c>
      <c r="E60" s="45">
        <f>+'مركز الاتصالات'!E18</f>
        <v>0</v>
      </c>
      <c r="F60" s="46">
        <f>+'مركز الاتصالات'!F18</f>
        <v>0</v>
      </c>
      <c r="G60" s="46">
        <f>+'مركز الاتصالات'!G18</f>
        <v>0</v>
      </c>
      <c r="H60" s="46">
        <f>+'مركز الاتصالات'!H18</f>
        <v>0</v>
      </c>
      <c r="I60" s="46">
        <f>+'مركز الاتصالات'!I18</f>
        <v>0</v>
      </c>
      <c r="J60" s="46">
        <f>+'مركز الاتصالات'!J18</f>
        <v>0</v>
      </c>
      <c r="K60" s="46">
        <f>+'مركز الاتصالات'!K18</f>
        <v>0</v>
      </c>
      <c r="L60" s="46">
        <f>+'مركز الاتصالات'!L18</f>
        <v>0</v>
      </c>
      <c r="M60" s="46">
        <f>+'مركز الاتصالات'!M18</f>
        <v>0</v>
      </c>
      <c r="N60" s="46">
        <f>+'مركز الاتصالات'!N18</f>
        <v>0</v>
      </c>
      <c r="O60" s="46">
        <f>+'مركز الاتصالات'!O18</f>
        <v>0</v>
      </c>
      <c r="P60" s="46">
        <f>+'مركز الاتصالات'!P18</f>
        <v>0</v>
      </c>
      <c r="Q60" s="46">
        <f>+'مركز الاتصالات'!Q18</f>
        <v>0</v>
      </c>
      <c r="R60" s="47">
        <f>+'مركز الاتصالات'!R18</f>
        <v>0</v>
      </c>
      <c r="S60" s="47">
        <f>+'مركز الاتصالات'!S18</f>
        <v>0</v>
      </c>
      <c r="T60" s="46">
        <f>+'مركز الاتصالات'!T18</f>
        <v>0</v>
      </c>
      <c r="U60" s="46">
        <f>+'مركز الاتصالات'!U18</f>
        <v>0</v>
      </c>
      <c r="V60" s="46">
        <f>+'مركز الاتصالات'!V18</f>
        <v>0</v>
      </c>
      <c r="W60" s="46">
        <f>+'مركز الاتصالات'!W18</f>
        <v>0</v>
      </c>
      <c r="X60" s="46">
        <f>+'مركز الاتصالات'!X18</f>
        <v>0</v>
      </c>
      <c r="Y60" s="46">
        <f>+'مركز الاتصالات'!Y18</f>
        <v>0</v>
      </c>
      <c r="Z60" s="46">
        <f>+'مركز الاتصالات'!Z18</f>
        <v>0</v>
      </c>
      <c r="AA60" s="46">
        <f>+'مركز الاتصالات'!AA18</f>
        <v>0</v>
      </c>
      <c r="AB60" s="46">
        <f>+'مركز الاتصالات'!AB18</f>
        <v>0</v>
      </c>
      <c r="AC60" s="46">
        <f>+'مركز الاتصالات'!AC18</f>
        <v>0</v>
      </c>
      <c r="AD60" s="46">
        <f>+'مركز الاتصالات'!AD18</f>
        <v>0</v>
      </c>
      <c r="AE60" s="46">
        <f>+'مركز الاتصالات'!AE18</f>
        <v>0</v>
      </c>
      <c r="AF60" s="46">
        <f>+'مركز الاتصالات'!AF18</f>
        <v>0</v>
      </c>
      <c r="AG60" s="46">
        <f>+'مركز الاتصالات'!AG18</f>
        <v>0</v>
      </c>
      <c r="AH60" s="46">
        <f>+'مركز الاتصالات'!AH18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+'مركز الاتصالات'!A19</f>
        <v>0</v>
      </c>
      <c r="B64" s="44">
        <f>+'مركز الاتصالات'!B19</f>
        <v>0</v>
      </c>
      <c r="C64" s="45">
        <f>+'مركز الاتصالات'!C19</f>
        <v>0</v>
      </c>
      <c r="D64" s="45">
        <f>+'مركز الاتصالات'!D19</f>
        <v>0</v>
      </c>
      <c r="E64" s="45">
        <f>+'مركز الاتصالات'!E19</f>
        <v>0</v>
      </c>
      <c r="F64" s="46">
        <f>+'مركز الاتصالات'!F19</f>
        <v>0</v>
      </c>
      <c r="G64" s="46">
        <f>+'مركز الاتصالات'!G19</f>
        <v>0</v>
      </c>
      <c r="H64" s="46">
        <f>+'مركز الاتصالات'!H19</f>
        <v>0</v>
      </c>
      <c r="I64" s="46">
        <f>+'مركز الاتصالات'!I19</f>
        <v>0</v>
      </c>
      <c r="J64" s="46">
        <f>+'مركز الاتصالات'!J19</f>
        <v>0</v>
      </c>
      <c r="K64" s="46">
        <f>+'مركز الاتصالات'!K19</f>
        <v>0</v>
      </c>
      <c r="L64" s="46">
        <f>+'مركز الاتصالات'!L19</f>
        <v>0</v>
      </c>
      <c r="M64" s="46">
        <f>+'مركز الاتصالات'!M19</f>
        <v>0</v>
      </c>
      <c r="N64" s="46">
        <f>+'مركز الاتصالات'!N19</f>
        <v>0</v>
      </c>
      <c r="O64" s="46">
        <f>+'مركز الاتصالات'!O19</f>
        <v>0</v>
      </c>
      <c r="P64" s="46">
        <f>+'مركز الاتصالات'!P19</f>
        <v>0</v>
      </c>
      <c r="Q64" s="46">
        <f>+'مركز الاتصالات'!Q19</f>
        <v>0</v>
      </c>
      <c r="R64" s="47">
        <f>+'مركز الاتصالات'!R19</f>
        <v>0</v>
      </c>
      <c r="S64" s="47">
        <f>+'مركز الاتصالات'!S19</f>
        <v>0</v>
      </c>
      <c r="T64" s="46">
        <f>+'مركز الاتصالات'!T19</f>
        <v>0</v>
      </c>
      <c r="U64" s="46">
        <f>+'مركز الاتصالات'!U19</f>
        <v>0</v>
      </c>
      <c r="V64" s="46">
        <f>+'مركز الاتصالات'!V19</f>
        <v>0</v>
      </c>
      <c r="W64" s="46">
        <f>+'مركز الاتصالات'!W19</f>
        <v>0</v>
      </c>
      <c r="X64" s="46">
        <f>+'مركز الاتصالات'!X19</f>
        <v>0</v>
      </c>
      <c r="Y64" s="46">
        <f>+'مركز الاتصالات'!Y19</f>
        <v>0</v>
      </c>
      <c r="Z64" s="46">
        <f>+'مركز الاتصالات'!Z19</f>
        <v>0</v>
      </c>
      <c r="AA64" s="46">
        <f>+'مركز الاتصالات'!AA19</f>
        <v>0</v>
      </c>
      <c r="AB64" s="46">
        <f>+'مركز الاتصالات'!AB19</f>
        <v>0</v>
      </c>
      <c r="AC64" s="46">
        <f>+'مركز الاتصالات'!AC19</f>
        <v>0</v>
      </c>
      <c r="AD64" s="46">
        <f>+'مركز الاتصالات'!AD19</f>
        <v>0</v>
      </c>
      <c r="AE64" s="46">
        <f>+'مركز الاتصالات'!AE19</f>
        <v>0</v>
      </c>
      <c r="AF64" s="46">
        <f>+'مركز الاتصالات'!AF19</f>
        <v>0</v>
      </c>
      <c r="AG64" s="46">
        <f>+'مركز الاتصالات'!AG19</f>
        <v>0</v>
      </c>
      <c r="AH64" s="46">
        <f>+'مركز الاتصالات'!AH19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+'مركز الاتصالات'!A20</f>
        <v>0</v>
      </c>
      <c r="B68" s="44">
        <f>+'مركز الاتصالات'!B20</f>
        <v>0</v>
      </c>
      <c r="C68" s="45">
        <f>+'مركز الاتصالات'!C20</f>
        <v>0</v>
      </c>
      <c r="D68" s="45">
        <f>+'مركز الاتصالات'!D20</f>
        <v>0</v>
      </c>
      <c r="E68" s="45">
        <f>+'مركز الاتصالات'!E20</f>
        <v>0</v>
      </c>
      <c r="F68" s="46">
        <f>+'مركز الاتصالات'!F20</f>
        <v>0</v>
      </c>
      <c r="G68" s="46">
        <f>+'مركز الاتصالات'!G20</f>
        <v>0</v>
      </c>
      <c r="H68" s="46">
        <f>+'مركز الاتصالات'!H20</f>
        <v>0</v>
      </c>
      <c r="I68" s="46">
        <f>+'مركز الاتصالات'!I20</f>
        <v>0</v>
      </c>
      <c r="J68" s="46">
        <f>+'مركز الاتصالات'!J20</f>
        <v>0</v>
      </c>
      <c r="K68" s="46">
        <f>+'مركز الاتصالات'!K20</f>
        <v>0</v>
      </c>
      <c r="L68" s="46">
        <f>+'مركز الاتصالات'!L20</f>
        <v>0</v>
      </c>
      <c r="M68" s="46">
        <f>+'مركز الاتصالات'!M20</f>
        <v>0</v>
      </c>
      <c r="N68" s="46">
        <f>+'مركز الاتصالات'!N20</f>
        <v>0</v>
      </c>
      <c r="O68" s="46">
        <f>+'مركز الاتصالات'!O20</f>
        <v>0</v>
      </c>
      <c r="P68" s="46">
        <f>+'مركز الاتصالات'!P20</f>
        <v>0</v>
      </c>
      <c r="Q68" s="46">
        <f>+'مركز الاتصالات'!Q20</f>
        <v>0</v>
      </c>
      <c r="R68" s="47">
        <f>+'مركز الاتصالات'!R20</f>
        <v>0</v>
      </c>
      <c r="S68" s="47">
        <f>+'مركز الاتصالات'!S20</f>
        <v>0</v>
      </c>
      <c r="T68" s="46">
        <f>+'مركز الاتصالات'!T20</f>
        <v>0</v>
      </c>
      <c r="U68" s="46">
        <f>+'مركز الاتصالات'!U20</f>
        <v>0</v>
      </c>
      <c r="V68" s="46">
        <f>+'مركز الاتصالات'!V20</f>
        <v>0</v>
      </c>
      <c r="W68" s="46">
        <f>+'مركز الاتصالات'!W20</f>
        <v>0</v>
      </c>
      <c r="X68" s="46">
        <f>+'مركز الاتصالات'!X20</f>
        <v>0</v>
      </c>
      <c r="Y68" s="46">
        <f>+'مركز الاتصالات'!Y20</f>
        <v>0</v>
      </c>
      <c r="Z68" s="46">
        <f>+'مركز الاتصالات'!Z20</f>
        <v>0</v>
      </c>
      <c r="AA68" s="46">
        <f>+'مركز الاتصالات'!AA20</f>
        <v>0</v>
      </c>
      <c r="AB68" s="46">
        <f>+'مركز الاتصالات'!AB20</f>
        <v>0</v>
      </c>
      <c r="AC68" s="46">
        <f>+'مركز الاتصالات'!AC20</f>
        <v>0</v>
      </c>
      <c r="AD68" s="46">
        <f>+'مركز الاتصالات'!AD20</f>
        <v>0</v>
      </c>
      <c r="AE68" s="46">
        <f>+'مركز الاتصالات'!AE20</f>
        <v>0</v>
      </c>
      <c r="AF68" s="46">
        <f>+'مركز الاتصالات'!AF20</f>
        <v>0</v>
      </c>
      <c r="AG68" s="46">
        <f>+'مركز الاتصالات'!AG20</f>
        <v>0</v>
      </c>
      <c r="AH68" s="46">
        <f>+'مركز الاتصالات'!AH20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+'مركز الاتصالات'!A21</f>
        <v>0</v>
      </c>
      <c r="B72" s="44">
        <f>+'مركز الاتصالات'!B21</f>
        <v>0</v>
      </c>
      <c r="C72" s="45">
        <f>+'مركز الاتصالات'!C21</f>
        <v>0</v>
      </c>
      <c r="D72" s="45">
        <f>+'مركز الاتصالات'!D21</f>
        <v>0</v>
      </c>
      <c r="E72" s="45">
        <f>+'مركز الاتصالات'!E21</f>
        <v>0</v>
      </c>
      <c r="F72" s="46">
        <f>+'مركز الاتصالات'!F21</f>
        <v>0</v>
      </c>
      <c r="G72" s="46">
        <f>+'مركز الاتصالات'!G21</f>
        <v>0</v>
      </c>
      <c r="H72" s="46">
        <f>+'مركز الاتصالات'!H21</f>
        <v>0</v>
      </c>
      <c r="I72" s="46">
        <f>+'مركز الاتصالات'!I21</f>
        <v>0</v>
      </c>
      <c r="J72" s="46">
        <f>+'مركز الاتصالات'!J21</f>
        <v>0</v>
      </c>
      <c r="K72" s="46">
        <f>+'مركز الاتصالات'!K21</f>
        <v>0</v>
      </c>
      <c r="L72" s="46">
        <f>+'مركز الاتصالات'!L21</f>
        <v>0</v>
      </c>
      <c r="M72" s="46">
        <f>+'مركز الاتصالات'!M21</f>
        <v>0</v>
      </c>
      <c r="N72" s="46">
        <f>+'مركز الاتصالات'!N21</f>
        <v>0</v>
      </c>
      <c r="O72" s="46">
        <f>+'مركز الاتصالات'!O21</f>
        <v>0</v>
      </c>
      <c r="P72" s="46">
        <f>+'مركز الاتصالات'!P21</f>
        <v>0</v>
      </c>
      <c r="Q72" s="46">
        <f>+'مركز الاتصالات'!Q21</f>
        <v>0</v>
      </c>
      <c r="R72" s="47">
        <f>+'مركز الاتصالات'!R21</f>
        <v>0</v>
      </c>
      <c r="S72" s="47">
        <f>+'مركز الاتصالات'!S21</f>
        <v>0</v>
      </c>
      <c r="T72" s="46">
        <f>+'مركز الاتصالات'!T21</f>
        <v>0</v>
      </c>
      <c r="U72" s="46">
        <f>+'مركز الاتصالات'!U21</f>
        <v>0</v>
      </c>
      <c r="V72" s="46">
        <f>+'مركز الاتصالات'!V21</f>
        <v>0</v>
      </c>
      <c r="W72" s="46">
        <f>+'مركز الاتصالات'!W21</f>
        <v>0</v>
      </c>
      <c r="X72" s="46">
        <f>+'مركز الاتصالات'!X21</f>
        <v>0</v>
      </c>
      <c r="Y72" s="46">
        <f>+'مركز الاتصالات'!Y21</f>
        <v>0</v>
      </c>
      <c r="Z72" s="46">
        <f>+'مركز الاتصالات'!Z21</f>
        <v>0</v>
      </c>
      <c r="AA72" s="46">
        <f>+'مركز الاتصالات'!AA21</f>
        <v>0</v>
      </c>
      <c r="AB72" s="46">
        <f>+'مركز الاتصالات'!AB21</f>
        <v>0</v>
      </c>
      <c r="AC72" s="46">
        <f>+'مركز الاتصالات'!AC21</f>
        <v>0</v>
      </c>
      <c r="AD72" s="46">
        <f>+'مركز الاتصالات'!AD21</f>
        <v>0</v>
      </c>
      <c r="AE72" s="46">
        <f>+'مركز الاتصالات'!AE21</f>
        <v>0</v>
      </c>
      <c r="AF72" s="46">
        <f>+'مركز الاتصالات'!AF21</f>
        <v>0</v>
      </c>
      <c r="AG72" s="46">
        <f>+'مركز الاتصالات'!AG21</f>
        <v>0</v>
      </c>
      <c r="AH72" s="46">
        <f>+'مركز الاتصالات'!AH21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+'مركز الاتصالات'!A22</f>
        <v>0</v>
      </c>
      <c r="B76" s="44">
        <f>+'مركز الاتصالات'!B22</f>
        <v>0</v>
      </c>
      <c r="C76" s="45">
        <f>+'مركز الاتصالات'!C22</f>
        <v>0</v>
      </c>
      <c r="D76" s="45">
        <f>+'مركز الاتصالات'!D22</f>
        <v>0</v>
      </c>
      <c r="E76" s="45">
        <f>+'مركز الاتصالات'!E22</f>
        <v>0</v>
      </c>
      <c r="F76" s="46">
        <f>+'مركز الاتصالات'!F22</f>
        <v>0</v>
      </c>
      <c r="G76" s="46">
        <f>+'مركز الاتصالات'!G22</f>
        <v>0</v>
      </c>
      <c r="H76" s="46">
        <f>+'مركز الاتصالات'!H22</f>
        <v>0</v>
      </c>
      <c r="I76" s="46">
        <f>+'مركز الاتصالات'!I22</f>
        <v>0</v>
      </c>
      <c r="J76" s="46">
        <f>+'مركز الاتصالات'!J22</f>
        <v>0</v>
      </c>
      <c r="K76" s="46">
        <f>+'مركز الاتصالات'!K22</f>
        <v>0</v>
      </c>
      <c r="L76" s="46">
        <f>+'مركز الاتصالات'!L22</f>
        <v>0</v>
      </c>
      <c r="M76" s="46">
        <f>+'مركز الاتصالات'!M22</f>
        <v>0</v>
      </c>
      <c r="N76" s="46">
        <f>+'مركز الاتصالات'!N22</f>
        <v>0</v>
      </c>
      <c r="O76" s="46">
        <f>+'مركز الاتصالات'!O22</f>
        <v>0</v>
      </c>
      <c r="P76" s="46">
        <f>+'مركز الاتصالات'!P22</f>
        <v>0</v>
      </c>
      <c r="Q76" s="46">
        <f>+'مركز الاتصالات'!Q22</f>
        <v>0</v>
      </c>
      <c r="R76" s="47">
        <f>+'مركز الاتصالات'!R22</f>
        <v>0</v>
      </c>
      <c r="S76" s="47">
        <f>+'مركز الاتصالات'!S22</f>
        <v>0</v>
      </c>
      <c r="T76" s="46">
        <f>+'مركز الاتصالات'!T22</f>
        <v>0</v>
      </c>
      <c r="U76" s="46">
        <f>+'مركز الاتصالات'!U22</f>
        <v>0</v>
      </c>
      <c r="V76" s="46">
        <f>+'مركز الاتصالات'!V22</f>
        <v>0</v>
      </c>
      <c r="W76" s="46">
        <f>+'مركز الاتصالات'!W22</f>
        <v>0</v>
      </c>
      <c r="X76" s="46">
        <f>+'مركز الاتصالات'!X22</f>
        <v>0</v>
      </c>
      <c r="Y76" s="46">
        <f>+'مركز الاتصالات'!Y22</f>
        <v>0</v>
      </c>
      <c r="Z76" s="46">
        <f>+'مركز الاتصالات'!Z22</f>
        <v>0</v>
      </c>
      <c r="AA76" s="46">
        <f>+'مركز الاتصالات'!AA22</f>
        <v>0</v>
      </c>
      <c r="AB76" s="46">
        <f>+'مركز الاتصالات'!AB22</f>
        <v>0</v>
      </c>
      <c r="AC76" s="46">
        <f>+'مركز الاتصالات'!AC22</f>
        <v>0</v>
      </c>
      <c r="AD76" s="46">
        <f>+'مركز الاتصالات'!AD22</f>
        <v>0</v>
      </c>
      <c r="AE76" s="46">
        <f>+'مركز الاتصالات'!AE22</f>
        <v>0</v>
      </c>
      <c r="AF76" s="46">
        <f>+'مركز الاتصالات'!AF22</f>
        <v>0</v>
      </c>
      <c r="AG76" s="46">
        <f>+'مركز الاتصالات'!AG22</f>
        <v>0</v>
      </c>
      <c r="AH76" s="46">
        <f>+'مركز الاتصالات'!AH22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+'مركز الاتصالات'!A23</f>
        <v>0</v>
      </c>
      <c r="B80" s="44">
        <f>+'مركز الاتصالات'!B23</f>
        <v>0</v>
      </c>
      <c r="C80" s="45">
        <f>+'مركز الاتصالات'!C23</f>
        <v>0</v>
      </c>
      <c r="D80" s="45">
        <f>+'مركز الاتصالات'!D23</f>
        <v>0</v>
      </c>
      <c r="E80" s="45">
        <f>+'مركز الاتصالات'!E23</f>
        <v>0</v>
      </c>
      <c r="F80" s="46">
        <f>+'مركز الاتصالات'!F23</f>
        <v>0</v>
      </c>
      <c r="G80" s="46">
        <f>+'مركز الاتصالات'!G23</f>
        <v>0</v>
      </c>
      <c r="H80" s="46">
        <f>+'مركز الاتصالات'!H23</f>
        <v>0</v>
      </c>
      <c r="I80" s="46">
        <f>+'مركز الاتصالات'!I23</f>
        <v>0</v>
      </c>
      <c r="J80" s="46">
        <f>+'مركز الاتصالات'!J23</f>
        <v>0</v>
      </c>
      <c r="K80" s="46">
        <f>+'مركز الاتصالات'!K23</f>
        <v>0</v>
      </c>
      <c r="L80" s="46">
        <f>+'مركز الاتصالات'!L23</f>
        <v>0</v>
      </c>
      <c r="M80" s="46">
        <f>+'مركز الاتصالات'!M23</f>
        <v>0</v>
      </c>
      <c r="N80" s="46">
        <f>+'مركز الاتصالات'!N23</f>
        <v>0</v>
      </c>
      <c r="O80" s="46">
        <f>+'مركز الاتصالات'!O23</f>
        <v>0</v>
      </c>
      <c r="P80" s="46">
        <f>+'مركز الاتصالات'!P23</f>
        <v>0</v>
      </c>
      <c r="Q80" s="46">
        <f>+'مركز الاتصالات'!Q23</f>
        <v>0</v>
      </c>
      <c r="R80" s="47">
        <f>+'مركز الاتصالات'!R23</f>
        <v>0</v>
      </c>
      <c r="S80" s="47">
        <f>+'مركز الاتصالات'!S23</f>
        <v>0</v>
      </c>
      <c r="T80" s="46">
        <f>+'مركز الاتصالات'!T23</f>
        <v>0</v>
      </c>
      <c r="U80" s="46">
        <f>+'مركز الاتصالات'!U23</f>
        <v>0</v>
      </c>
      <c r="V80" s="46">
        <f>+'مركز الاتصالات'!V23</f>
        <v>0</v>
      </c>
      <c r="W80" s="46">
        <f>+'مركز الاتصالات'!W23</f>
        <v>0</v>
      </c>
      <c r="X80" s="46">
        <f>+'مركز الاتصالات'!X23</f>
        <v>0</v>
      </c>
      <c r="Y80" s="46">
        <f>+'مركز الاتصالات'!Y23</f>
        <v>0</v>
      </c>
      <c r="Z80" s="46">
        <f>+'مركز الاتصالات'!Z23</f>
        <v>0</v>
      </c>
      <c r="AA80" s="46">
        <f>+'مركز الاتصالات'!AA23</f>
        <v>0</v>
      </c>
      <c r="AB80" s="46">
        <f>+'مركز الاتصالات'!AB23</f>
        <v>0</v>
      </c>
      <c r="AC80" s="46">
        <f>+'مركز الاتصالات'!AC23</f>
        <v>0</v>
      </c>
      <c r="AD80" s="46">
        <f>+'مركز الاتصالات'!AD23</f>
        <v>0</v>
      </c>
      <c r="AE80" s="46">
        <f>+'مركز الاتصالات'!AE23</f>
        <v>0</v>
      </c>
      <c r="AF80" s="46">
        <f>+'مركز الاتصالات'!AF23</f>
        <v>0</v>
      </c>
      <c r="AG80" s="46">
        <f>+'مركز الاتصالات'!AG23</f>
        <v>0</v>
      </c>
      <c r="AH80" s="46">
        <f>+'مركز الاتصالات'!AH23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+'مركز الاتصالات'!A24</f>
        <v>0</v>
      </c>
      <c r="B84" s="44">
        <f>+'مركز الاتصالات'!B24</f>
        <v>0</v>
      </c>
      <c r="C84" s="45">
        <f>+'مركز الاتصالات'!C24</f>
        <v>0</v>
      </c>
      <c r="D84" s="45">
        <f>+'مركز الاتصالات'!D24</f>
        <v>0</v>
      </c>
      <c r="E84" s="45">
        <f>+'مركز الاتصالات'!E24</f>
        <v>0</v>
      </c>
      <c r="F84" s="46">
        <f>+'مركز الاتصالات'!F24</f>
        <v>0</v>
      </c>
      <c r="G84" s="46">
        <f>+'مركز الاتصالات'!G24</f>
        <v>0</v>
      </c>
      <c r="H84" s="46">
        <f>+'مركز الاتصالات'!H24</f>
        <v>0</v>
      </c>
      <c r="I84" s="46">
        <f>+'مركز الاتصالات'!I24</f>
        <v>0</v>
      </c>
      <c r="J84" s="46">
        <f>+'مركز الاتصالات'!J24</f>
        <v>0</v>
      </c>
      <c r="K84" s="46">
        <f>+'مركز الاتصالات'!K24</f>
        <v>0</v>
      </c>
      <c r="L84" s="46">
        <f>+'مركز الاتصالات'!L24</f>
        <v>0</v>
      </c>
      <c r="M84" s="46">
        <f>+'مركز الاتصالات'!M24</f>
        <v>0</v>
      </c>
      <c r="N84" s="46">
        <f>+'مركز الاتصالات'!N24</f>
        <v>0</v>
      </c>
      <c r="O84" s="46">
        <f>+'مركز الاتصالات'!O24</f>
        <v>0</v>
      </c>
      <c r="P84" s="46">
        <f>+'مركز الاتصالات'!P24</f>
        <v>0</v>
      </c>
      <c r="Q84" s="46">
        <f>+'مركز الاتصالات'!Q24</f>
        <v>0</v>
      </c>
      <c r="R84" s="47">
        <f>+'مركز الاتصالات'!R24</f>
        <v>0</v>
      </c>
      <c r="S84" s="47">
        <f>+'مركز الاتصالات'!S24</f>
        <v>0</v>
      </c>
      <c r="T84" s="46">
        <f>+'مركز الاتصالات'!T24</f>
        <v>0</v>
      </c>
      <c r="U84" s="46">
        <f>+'مركز الاتصالات'!U24</f>
        <v>0</v>
      </c>
      <c r="V84" s="46">
        <f>+'مركز الاتصالات'!V24</f>
        <v>0</v>
      </c>
      <c r="W84" s="46">
        <f>+'مركز الاتصالات'!W24</f>
        <v>0</v>
      </c>
      <c r="X84" s="46">
        <f>+'مركز الاتصالات'!X24</f>
        <v>0</v>
      </c>
      <c r="Y84" s="46">
        <f>+'مركز الاتصالات'!Y24</f>
        <v>0</v>
      </c>
      <c r="Z84" s="46">
        <f>+'مركز الاتصالات'!Z24</f>
        <v>0</v>
      </c>
      <c r="AA84" s="46">
        <f>+'مركز الاتصالات'!AA24</f>
        <v>0</v>
      </c>
      <c r="AB84" s="46">
        <f>+'مركز الاتصالات'!AB24</f>
        <v>0</v>
      </c>
      <c r="AC84" s="46">
        <f>+'مركز الاتصالات'!AC24</f>
        <v>0</v>
      </c>
      <c r="AD84" s="46">
        <f>+'مركز الاتصالات'!AD24</f>
        <v>0</v>
      </c>
      <c r="AE84" s="46">
        <f>+'مركز الاتصالات'!AE24</f>
        <v>0</v>
      </c>
      <c r="AF84" s="46">
        <f>+'مركز الاتصالات'!AF24</f>
        <v>0</v>
      </c>
      <c r="AG84" s="46">
        <f>+'مركز الاتصالات'!AG24</f>
        <v>0</v>
      </c>
      <c r="AH84" s="46">
        <f>+'مركز الاتصالات'!AH24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+'مركز الاتصالات'!A25</f>
        <v>0</v>
      </c>
      <c r="B88" s="44">
        <f>+'مركز الاتصالات'!B25</f>
        <v>0</v>
      </c>
      <c r="C88" s="45">
        <f>+'مركز الاتصالات'!C25</f>
        <v>0</v>
      </c>
      <c r="D88" s="45">
        <f>+'مركز الاتصالات'!D25</f>
        <v>0</v>
      </c>
      <c r="E88" s="45">
        <f>+'مركز الاتصالات'!E25</f>
        <v>0</v>
      </c>
      <c r="F88" s="46">
        <f>+'مركز الاتصالات'!F25</f>
        <v>0</v>
      </c>
      <c r="G88" s="46">
        <f>+'مركز الاتصالات'!G25</f>
        <v>0</v>
      </c>
      <c r="H88" s="46">
        <f>+'مركز الاتصالات'!H25</f>
        <v>0</v>
      </c>
      <c r="I88" s="46">
        <f>+'مركز الاتصالات'!I25</f>
        <v>0</v>
      </c>
      <c r="J88" s="46">
        <f>+'مركز الاتصالات'!J25</f>
        <v>0</v>
      </c>
      <c r="K88" s="46">
        <f>+'مركز الاتصالات'!K25</f>
        <v>0</v>
      </c>
      <c r="L88" s="46">
        <f>+'مركز الاتصالات'!L25</f>
        <v>0</v>
      </c>
      <c r="M88" s="46">
        <f>+'مركز الاتصالات'!M25</f>
        <v>0</v>
      </c>
      <c r="N88" s="46">
        <f>+'مركز الاتصالات'!N25</f>
        <v>0</v>
      </c>
      <c r="O88" s="46">
        <f>+'مركز الاتصالات'!O25</f>
        <v>0</v>
      </c>
      <c r="P88" s="46">
        <f>+'مركز الاتصالات'!P25</f>
        <v>0</v>
      </c>
      <c r="Q88" s="46">
        <f>+'مركز الاتصالات'!Q25</f>
        <v>0</v>
      </c>
      <c r="R88" s="47">
        <f>+'مركز الاتصالات'!R25</f>
        <v>0</v>
      </c>
      <c r="S88" s="47">
        <f>+'مركز الاتصالات'!S25</f>
        <v>0</v>
      </c>
      <c r="T88" s="46">
        <f>+'مركز الاتصالات'!T25</f>
        <v>0</v>
      </c>
      <c r="U88" s="46">
        <f>+'مركز الاتصالات'!U25</f>
        <v>0</v>
      </c>
      <c r="V88" s="46">
        <f>+'مركز الاتصالات'!V25</f>
        <v>0</v>
      </c>
      <c r="W88" s="46">
        <f>+'مركز الاتصالات'!W25</f>
        <v>0</v>
      </c>
      <c r="X88" s="46">
        <f>+'مركز الاتصالات'!X25</f>
        <v>0</v>
      </c>
      <c r="Y88" s="46">
        <f>+'مركز الاتصالات'!Y25</f>
        <v>0</v>
      </c>
      <c r="Z88" s="46">
        <f>+'مركز الاتصالات'!Z25</f>
        <v>0</v>
      </c>
      <c r="AA88" s="46">
        <f>+'مركز الاتصالات'!AA25</f>
        <v>0</v>
      </c>
      <c r="AB88" s="46">
        <f>+'مركز الاتصالات'!AB25</f>
        <v>0</v>
      </c>
      <c r="AC88" s="46">
        <f>+'مركز الاتصالات'!AC25</f>
        <v>0</v>
      </c>
      <c r="AD88" s="46">
        <f>+'مركز الاتصالات'!AD25</f>
        <v>0</v>
      </c>
      <c r="AE88" s="46">
        <f>+'مركز الاتصالات'!AE25</f>
        <v>0</v>
      </c>
      <c r="AF88" s="46">
        <f>+'مركز الاتصالات'!AF25</f>
        <v>0</v>
      </c>
      <c r="AG88" s="46">
        <f>+'مركز الاتصالات'!AG25</f>
        <v>0</v>
      </c>
      <c r="AH88" s="46">
        <f>+'مركز الاتصالات'!AH25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+'مركز الاتصالات'!A26</f>
        <v>0</v>
      </c>
      <c r="B92" s="44">
        <f>+'مركز الاتصالات'!B26</f>
        <v>0</v>
      </c>
      <c r="C92" s="45">
        <f>+'مركز الاتصالات'!C26</f>
        <v>0</v>
      </c>
      <c r="D92" s="45">
        <f>+'مركز الاتصالات'!D26</f>
        <v>0</v>
      </c>
      <c r="E92" s="45">
        <f>+'مركز الاتصالات'!E26</f>
        <v>0</v>
      </c>
      <c r="F92" s="46">
        <f>+'مركز الاتصالات'!F26</f>
        <v>0</v>
      </c>
      <c r="G92" s="46">
        <f>+'مركز الاتصالات'!G26</f>
        <v>0</v>
      </c>
      <c r="H92" s="46">
        <f>+'مركز الاتصالات'!H26</f>
        <v>0</v>
      </c>
      <c r="I92" s="46">
        <f>+'مركز الاتصالات'!I26</f>
        <v>0</v>
      </c>
      <c r="J92" s="46">
        <f>+'مركز الاتصالات'!J26</f>
        <v>0</v>
      </c>
      <c r="K92" s="46">
        <f>+'مركز الاتصالات'!K26</f>
        <v>0</v>
      </c>
      <c r="L92" s="46">
        <f>+'مركز الاتصالات'!L26</f>
        <v>0</v>
      </c>
      <c r="M92" s="46">
        <f>+'مركز الاتصالات'!M26</f>
        <v>0</v>
      </c>
      <c r="N92" s="46">
        <f>+'مركز الاتصالات'!N26</f>
        <v>0</v>
      </c>
      <c r="O92" s="46">
        <f>+'مركز الاتصالات'!O26</f>
        <v>0</v>
      </c>
      <c r="P92" s="46">
        <f>+'مركز الاتصالات'!P26</f>
        <v>0</v>
      </c>
      <c r="Q92" s="46">
        <f>+'مركز الاتصالات'!Q26</f>
        <v>0</v>
      </c>
      <c r="R92" s="47">
        <f>+'مركز الاتصالات'!R26</f>
        <v>0</v>
      </c>
      <c r="S92" s="47">
        <f>+'مركز الاتصالات'!S26</f>
        <v>0</v>
      </c>
      <c r="T92" s="46">
        <f>+'مركز الاتصالات'!T26</f>
        <v>0</v>
      </c>
      <c r="U92" s="46">
        <f>+'مركز الاتصالات'!U26</f>
        <v>0</v>
      </c>
      <c r="V92" s="46">
        <f>+'مركز الاتصالات'!V26</f>
        <v>0</v>
      </c>
      <c r="W92" s="46">
        <f>+'مركز الاتصالات'!W26</f>
        <v>0</v>
      </c>
      <c r="X92" s="46">
        <f>+'مركز الاتصالات'!X26</f>
        <v>0</v>
      </c>
      <c r="Y92" s="46">
        <f>+'مركز الاتصالات'!Y26</f>
        <v>0</v>
      </c>
      <c r="Z92" s="46">
        <f>+'مركز الاتصالات'!Z26</f>
        <v>0</v>
      </c>
      <c r="AA92" s="46">
        <f>+'مركز الاتصالات'!AA26</f>
        <v>0</v>
      </c>
      <c r="AB92" s="46">
        <f>+'مركز الاتصالات'!AB26</f>
        <v>0</v>
      </c>
      <c r="AC92" s="46">
        <f>+'مركز الاتصالات'!AC26</f>
        <v>0</v>
      </c>
      <c r="AD92" s="46">
        <f>+'مركز الاتصالات'!AD26</f>
        <v>0</v>
      </c>
      <c r="AE92" s="46">
        <f>+'مركز الاتصالات'!AE26</f>
        <v>0</v>
      </c>
      <c r="AF92" s="46">
        <f>+'مركز الاتصالات'!AF26</f>
        <v>0</v>
      </c>
      <c r="AG92" s="46">
        <f>+'مركز الاتصالات'!AG26</f>
        <v>0</v>
      </c>
      <c r="AH92" s="46">
        <f>+'مركز الاتصالات'!AH26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+'مركز الاتصالات'!A27</f>
        <v>0</v>
      </c>
      <c r="B96" s="44">
        <f>+'مركز الاتصالات'!B27</f>
        <v>0</v>
      </c>
      <c r="C96" s="45">
        <f>+'مركز الاتصالات'!C27</f>
        <v>0</v>
      </c>
      <c r="D96" s="45">
        <f>+'مركز الاتصالات'!D27</f>
        <v>0</v>
      </c>
      <c r="E96" s="45">
        <f>+'مركز الاتصالات'!E27</f>
        <v>0</v>
      </c>
      <c r="F96" s="46">
        <f>+'مركز الاتصالات'!F27</f>
        <v>0</v>
      </c>
      <c r="G96" s="46">
        <f>+'مركز الاتصالات'!G27</f>
        <v>0</v>
      </c>
      <c r="H96" s="46">
        <f>+'مركز الاتصالات'!H27</f>
        <v>0</v>
      </c>
      <c r="I96" s="46">
        <f>+'مركز الاتصالات'!I27</f>
        <v>0</v>
      </c>
      <c r="J96" s="46">
        <f>+'مركز الاتصالات'!J27</f>
        <v>0</v>
      </c>
      <c r="K96" s="46">
        <f>+'مركز الاتصالات'!K27</f>
        <v>0</v>
      </c>
      <c r="L96" s="46">
        <f>+'مركز الاتصالات'!L27</f>
        <v>0</v>
      </c>
      <c r="M96" s="46">
        <f>+'مركز الاتصالات'!M27</f>
        <v>0</v>
      </c>
      <c r="N96" s="46">
        <f>+'مركز الاتصالات'!N27</f>
        <v>0</v>
      </c>
      <c r="O96" s="46">
        <f>+'مركز الاتصالات'!O27</f>
        <v>0</v>
      </c>
      <c r="P96" s="46">
        <f>+'مركز الاتصالات'!P27</f>
        <v>0</v>
      </c>
      <c r="Q96" s="46">
        <f>+'مركز الاتصالات'!Q27</f>
        <v>0</v>
      </c>
      <c r="R96" s="47">
        <f>+'مركز الاتصالات'!R27</f>
        <v>0</v>
      </c>
      <c r="S96" s="47">
        <f>+'مركز الاتصالات'!S27</f>
        <v>0</v>
      </c>
      <c r="T96" s="46">
        <f>+'مركز الاتصالات'!T27</f>
        <v>0</v>
      </c>
      <c r="U96" s="46">
        <f>+'مركز الاتصالات'!U27</f>
        <v>0</v>
      </c>
      <c r="V96" s="46">
        <f>+'مركز الاتصالات'!V27</f>
        <v>0</v>
      </c>
      <c r="W96" s="46">
        <f>+'مركز الاتصالات'!W27</f>
        <v>0</v>
      </c>
      <c r="X96" s="46">
        <f>+'مركز الاتصالات'!X27</f>
        <v>0</v>
      </c>
      <c r="Y96" s="46">
        <f>+'مركز الاتصالات'!Y27</f>
        <v>0</v>
      </c>
      <c r="Z96" s="46">
        <f>+'مركز الاتصالات'!Z27</f>
        <v>0</v>
      </c>
      <c r="AA96" s="46">
        <f>+'مركز الاتصالات'!AA27</f>
        <v>0</v>
      </c>
      <c r="AB96" s="46">
        <f>+'مركز الاتصالات'!AB27</f>
        <v>0</v>
      </c>
      <c r="AC96" s="46">
        <f>+'مركز الاتصالات'!AC27</f>
        <v>0</v>
      </c>
      <c r="AD96" s="46">
        <f>+'مركز الاتصالات'!AD27</f>
        <v>0</v>
      </c>
      <c r="AE96" s="46">
        <f>+'مركز الاتصالات'!AE27</f>
        <v>0</v>
      </c>
      <c r="AF96" s="46">
        <f>+'مركز الاتصالات'!AF27</f>
        <v>0</v>
      </c>
      <c r="AG96" s="46">
        <f>+'مركز الاتصالات'!AG27</f>
        <v>0</v>
      </c>
      <c r="AH96" s="46">
        <f>+'مركز الاتصالات'!AH27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+'مركز الاتصالات'!A28</f>
        <v>0</v>
      </c>
      <c r="B100" s="44">
        <f>+'مركز الاتصالات'!B28</f>
        <v>0</v>
      </c>
      <c r="C100" s="45">
        <f>+'مركز الاتصالات'!C28</f>
        <v>0</v>
      </c>
      <c r="D100" s="45">
        <f>+'مركز الاتصالات'!D28</f>
        <v>0</v>
      </c>
      <c r="E100" s="45">
        <f>+'مركز الاتصالات'!E28</f>
        <v>0</v>
      </c>
      <c r="F100" s="46">
        <f>+'مركز الاتصالات'!F28</f>
        <v>0</v>
      </c>
      <c r="G100" s="46">
        <f>+'مركز الاتصالات'!G28</f>
        <v>0</v>
      </c>
      <c r="H100" s="46">
        <f>+'مركز الاتصالات'!H28</f>
        <v>0</v>
      </c>
      <c r="I100" s="46">
        <f>+'مركز الاتصالات'!I28</f>
        <v>0</v>
      </c>
      <c r="J100" s="46">
        <f>+'مركز الاتصالات'!J28</f>
        <v>0</v>
      </c>
      <c r="K100" s="46">
        <f>+'مركز الاتصالات'!K28</f>
        <v>0</v>
      </c>
      <c r="L100" s="46">
        <f>+'مركز الاتصالات'!L28</f>
        <v>0</v>
      </c>
      <c r="M100" s="46">
        <f>+'مركز الاتصالات'!M28</f>
        <v>0</v>
      </c>
      <c r="N100" s="46">
        <f>+'مركز الاتصالات'!N28</f>
        <v>0</v>
      </c>
      <c r="O100" s="46">
        <f>+'مركز الاتصالات'!O28</f>
        <v>0</v>
      </c>
      <c r="P100" s="46">
        <f>+'مركز الاتصالات'!P28</f>
        <v>0</v>
      </c>
      <c r="Q100" s="46">
        <f>+'مركز الاتصالات'!Q28</f>
        <v>0</v>
      </c>
      <c r="R100" s="47">
        <f>+'مركز الاتصالات'!R28</f>
        <v>0</v>
      </c>
      <c r="S100" s="47">
        <f>+'مركز الاتصالات'!S28</f>
        <v>0</v>
      </c>
      <c r="T100" s="46">
        <f>+'مركز الاتصالات'!T28</f>
        <v>0</v>
      </c>
      <c r="U100" s="46">
        <f>+'مركز الاتصالات'!U28</f>
        <v>0</v>
      </c>
      <c r="V100" s="46">
        <f>+'مركز الاتصالات'!V28</f>
        <v>0</v>
      </c>
      <c r="W100" s="46">
        <f>+'مركز الاتصالات'!W28</f>
        <v>0</v>
      </c>
      <c r="X100" s="46">
        <f>+'مركز الاتصالات'!X28</f>
        <v>0</v>
      </c>
      <c r="Y100" s="46">
        <f>+'مركز الاتصالات'!Y28</f>
        <v>0</v>
      </c>
      <c r="Z100" s="46">
        <f>+'مركز الاتصالات'!Z28</f>
        <v>0</v>
      </c>
      <c r="AA100" s="46">
        <f>+'مركز الاتصالات'!AA28</f>
        <v>0</v>
      </c>
      <c r="AB100" s="46">
        <f>+'مركز الاتصالات'!AB28</f>
        <v>0</v>
      </c>
      <c r="AC100" s="46">
        <f>+'مركز الاتصالات'!AC28</f>
        <v>0</v>
      </c>
      <c r="AD100" s="46">
        <f>+'مركز الاتصالات'!AD28</f>
        <v>0</v>
      </c>
      <c r="AE100" s="46">
        <f>+'مركز الاتصالات'!AE28</f>
        <v>0</v>
      </c>
      <c r="AF100" s="46">
        <f>+'مركز الاتصالات'!AF28</f>
        <v>0</v>
      </c>
      <c r="AG100" s="46">
        <f>+'مركز الاتصالات'!AG28</f>
        <v>0</v>
      </c>
      <c r="AH100" s="46">
        <f>+'مركز الاتصالات'!AH28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+'مركز الاتصالات'!A29</f>
        <v>0</v>
      </c>
      <c r="B104" s="44">
        <f>+'مركز الاتصالات'!B29</f>
        <v>0</v>
      </c>
      <c r="C104" s="45">
        <f>+'مركز الاتصالات'!C29</f>
        <v>0</v>
      </c>
      <c r="D104" s="45">
        <f>+'مركز الاتصالات'!D29</f>
        <v>0</v>
      </c>
      <c r="E104" s="45">
        <f>+'مركز الاتصالات'!E29</f>
        <v>0</v>
      </c>
      <c r="F104" s="46">
        <f>+'مركز الاتصالات'!F29</f>
        <v>0</v>
      </c>
      <c r="G104" s="46">
        <f>+'مركز الاتصالات'!G29</f>
        <v>0</v>
      </c>
      <c r="H104" s="46">
        <f>+'مركز الاتصالات'!H29</f>
        <v>0</v>
      </c>
      <c r="I104" s="46">
        <f>+'مركز الاتصالات'!I29</f>
        <v>0</v>
      </c>
      <c r="J104" s="46">
        <f>+'مركز الاتصالات'!J29</f>
        <v>0</v>
      </c>
      <c r="K104" s="46">
        <f>+'مركز الاتصالات'!K29</f>
        <v>0</v>
      </c>
      <c r="L104" s="46">
        <f>+'مركز الاتصالات'!L29</f>
        <v>0</v>
      </c>
      <c r="M104" s="46">
        <f>+'مركز الاتصالات'!M29</f>
        <v>0</v>
      </c>
      <c r="N104" s="46">
        <f>+'مركز الاتصالات'!N29</f>
        <v>0</v>
      </c>
      <c r="O104" s="46">
        <f>+'مركز الاتصالات'!O29</f>
        <v>0</v>
      </c>
      <c r="P104" s="46">
        <f>+'مركز الاتصالات'!P29</f>
        <v>0</v>
      </c>
      <c r="Q104" s="46">
        <f>+'مركز الاتصالات'!Q29</f>
        <v>0</v>
      </c>
      <c r="R104" s="47">
        <f>+'مركز الاتصالات'!R29</f>
        <v>0</v>
      </c>
      <c r="S104" s="47">
        <f>+'مركز الاتصالات'!S29</f>
        <v>0</v>
      </c>
      <c r="T104" s="46">
        <f>+'مركز الاتصالات'!T29</f>
        <v>0</v>
      </c>
      <c r="U104" s="46">
        <f>+'مركز الاتصالات'!U29</f>
        <v>0</v>
      </c>
      <c r="V104" s="46">
        <f>+'مركز الاتصالات'!V29</f>
        <v>0</v>
      </c>
      <c r="W104" s="46">
        <f>+'مركز الاتصالات'!W29</f>
        <v>0</v>
      </c>
      <c r="X104" s="46">
        <f>+'مركز الاتصالات'!X29</f>
        <v>0</v>
      </c>
      <c r="Y104" s="46">
        <f>+'مركز الاتصالات'!Y29</f>
        <v>0</v>
      </c>
      <c r="Z104" s="46">
        <f>+'مركز الاتصالات'!Z29</f>
        <v>0</v>
      </c>
      <c r="AA104" s="46">
        <f>+'مركز الاتصالات'!AA29</f>
        <v>0</v>
      </c>
      <c r="AB104" s="46">
        <f>+'مركز الاتصالات'!AB29</f>
        <v>0</v>
      </c>
      <c r="AC104" s="46">
        <f>+'مركز الاتصالات'!AC29</f>
        <v>0</v>
      </c>
      <c r="AD104" s="46">
        <f>+'مركز الاتصالات'!AD29</f>
        <v>0</v>
      </c>
      <c r="AE104" s="46">
        <f>+'مركز الاتصالات'!AE29</f>
        <v>0</v>
      </c>
      <c r="AF104" s="46">
        <f>+'مركز الاتصالات'!AF29</f>
        <v>0</v>
      </c>
      <c r="AG104" s="46">
        <f>+'مركز الاتصالات'!AG29</f>
        <v>0</v>
      </c>
      <c r="AH104" s="46">
        <f>+'مركز الاتصالات'!AH29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+'مركز الاتصالات'!A30</f>
        <v>0</v>
      </c>
      <c r="B108" s="44">
        <f>+'مركز الاتصالات'!B30</f>
        <v>0</v>
      </c>
      <c r="C108" s="45">
        <f>+'مركز الاتصالات'!C30</f>
        <v>0</v>
      </c>
      <c r="D108" s="45">
        <f>+'مركز الاتصالات'!D30</f>
        <v>0</v>
      </c>
      <c r="E108" s="45">
        <f>+'مركز الاتصالات'!E30</f>
        <v>0</v>
      </c>
      <c r="F108" s="46">
        <f>+'مركز الاتصالات'!F30</f>
        <v>0</v>
      </c>
      <c r="G108" s="46">
        <f>+'مركز الاتصالات'!G30</f>
        <v>0</v>
      </c>
      <c r="H108" s="46">
        <f>+'مركز الاتصالات'!H30</f>
        <v>0</v>
      </c>
      <c r="I108" s="46">
        <f>+'مركز الاتصالات'!I30</f>
        <v>0</v>
      </c>
      <c r="J108" s="46">
        <f>+'مركز الاتصالات'!J30</f>
        <v>0</v>
      </c>
      <c r="K108" s="46">
        <f>+'مركز الاتصالات'!K30</f>
        <v>0</v>
      </c>
      <c r="L108" s="46">
        <f>+'مركز الاتصالات'!L30</f>
        <v>0</v>
      </c>
      <c r="M108" s="46">
        <f>+'مركز الاتصالات'!M30</f>
        <v>0</v>
      </c>
      <c r="N108" s="46">
        <f>+'مركز الاتصالات'!N30</f>
        <v>0</v>
      </c>
      <c r="O108" s="46">
        <f>+'مركز الاتصالات'!O30</f>
        <v>0</v>
      </c>
      <c r="P108" s="46">
        <f>+'مركز الاتصالات'!P30</f>
        <v>0</v>
      </c>
      <c r="Q108" s="46">
        <f>+'مركز الاتصالات'!Q30</f>
        <v>0</v>
      </c>
      <c r="R108" s="47">
        <f>+'مركز الاتصالات'!R30</f>
        <v>0</v>
      </c>
      <c r="S108" s="47">
        <f>+'مركز الاتصالات'!S30</f>
        <v>0</v>
      </c>
      <c r="T108" s="46">
        <f>+'مركز الاتصالات'!T30</f>
        <v>0</v>
      </c>
      <c r="U108" s="46">
        <f>+'مركز الاتصالات'!U30</f>
        <v>0</v>
      </c>
      <c r="V108" s="46">
        <f>+'مركز الاتصالات'!V30</f>
        <v>0</v>
      </c>
      <c r="W108" s="46">
        <f>+'مركز الاتصالات'!W30</f>
        <v>0</v>
      </c>
      <c r="X108" s="46">
        <f>+'مركز الاتصالات'!X30</f>
        <v>0</v>
      </c>
      <c r="Y108" s="46">
        <f>+'مركز الاتصالات'!Y30</f>
        <v>0</v>
      </c>
      <c r="Z108" s="46">
        <f>+'مركز الاتصالات'!Z30</f>
        <v>0</v>
      </c>
      <c r="AA108" s="46">
        <f>+'مركز الاتصالات'!AA30</f>
        <v>0</v>
      </c>
      <c r="AB108" s="46">
        <f>+'مركز الاتصالات'!AB30</f>
        <v>0</v>
      </c>
      <c r="AC108" s="46">
        <f>+'مركز الاتصالات'!AC30</f>
        <v>0</v>
      </c>
      <c r="AD108" s="46">
        <f>+'مركز الاتصالات'!AD30</f>
        <v>0</v>
      </c>
      <c r="AE108" s="46">
        <f>+'مركز الاتصالات'!AE30</f>
        <v>0</v>
      </c>
      <c r="AF108" s="46">
        <f>+'مركز الاتصالات'!AF30</f>
        <v>0</v>
      </c>
      <c r="AG108" s="46">
        <f>+'مركز الاتصالات'!AG30</f>
        <v>0</v>
      </c>
      <c r="AH108" s="46">
        <f>+'مركز الاتصالات'!AH30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+'مركز الاتصالات'!A31</f>
        <v>0</v>
      </c>
      <c r="B112" s="44">
        <f>+'مركز الاتصالات'!B31</f>
        <v>0</v>
      </c>
      <c r="C112" s="45">
        <f>+'مركز الاتصالات'!C31</f>
        <v>0</v>
      </c>
      <c r="D112" s="45">
        <f>+'مركز الاتصالات'!D31</f>
        <v>0</v>
      </c>
      <c r="E112" s="45">
        <f>+'مركز الاتصالات'!E31</f>
        <v>0</v>
      </c>
      <c r="F112" s="46">
        <f>+'مركز الاتصالات'!F31</f>
        <v>0</v>
      </c>
      <c r="G112" s="46">
        <f>+'مركز الاتصالات'!G31</f>
        <v>0</v>
      </c>
      <c r="H112" s="46">
        <f>+'مركز الاتصالات'!H31</f>
        <v>0</v>
      </c>
      <c r="I112" s="46">
        <f>+'مركز الاتصالات'!I31</f>
        <v>0</v>
      </c>
      <c r="J112" s="46">
        <f>+'مركز الاتصالات'!J31</f>
        <v>0</v>
      </c>
      <c r="K112" s="46">
        <f>+'مركز الاتصالات'!K31</f>
        <v>0</v>
      </c>
      <c r="L112" s="46">
        <f>+'مركز الاتصالات'!L31</f>
        <v>0</v>
      </c>
      <c r="M112" s="46">
        <f>+'مركز الاتصالات'!M31</f>
        <v>0</v>
      </c>
      <c r="N112" s="46">
        <f>+'مركز الاتصالات'!N31</f>
        <v>0</v>
      </c>
      <c r="O112" s="46">
        <f>+'مركز الاتصالات'!O31</f>
        <v>0</v>
      </c>
      <c r="P112" s="46">
        <f>+'مركز الاتصالات'!P31</f>
        <v>0</v>
      </c>
      <c r="Q112" s="46">
        <f>+'مركز الاتصالات'!Q31</f>
        <v>0</v>
      </c>
      <c r="R112" s="47">
        <f>+'مركز الاتصالات'!R31</f>
        <v>0</v>
      </c>
      <c r="S112" s="47">
        <f>+'مركز الاتصالات'!S31</f>
        <v>0</v>
      </c>
      <c r="T112" s="46">
        <f>+'مركز الاتصالات'!T31</f>
        <v>0</v>
      </c>
      <c r="U112" s="46">
        <f>+'مركز الاتصالات'!U31</f>
        <v>0</v>
      </c>
      <c r="V112" s="46">
        <f>+'مركز الاتصالات'!V31</f>
        <v>0</v>
      </c>
      <c r="W112" s="46">
        <f>+'مركز الاتصالات'!W31</f>
        <v>0</v>
      </c>
      <c r="X112" s="46">
        <f>+'مركز الاتصالات'!X31</f>
        <v>0</v>
      </c>
      <c r="Y112" s="46">
        <f>+'مركز الاتصالات'!Y31</f>
        <v>0</v>
      </c>
      <c r="Z112" s="46">
        <f>+'مركز الاتصالات'!Z31</f>
        <v>0</v>
      </c>
      <c r="AA112" s="46">
        <f>+'مركز الاتصالات'!AA31</f>
        <v>0</v>
      </c>
      <c r="AB112" s="46">
        <f>+'مركز الاتصالات'!AB31</f>
        <v>0</v>
      </c>
      <c r="AC112" s="46">
        <f>+'مركز الاتصالات'!AC31</f>
        <v>0</v>
      </c>
      <c r="AD112" s="46">
        <f>+'مركز الاتصالات'!AD31</f>
        <v>0</v>
      </c>
      <c r="AE112" s="46">
        <f>+'مركز الاتصالات'!AE31</f>
        <v>0</v>
      </c>
      <c r="AF112" s="46">
        <f>+'مركز الاتصالات'!AF31</f>
        <v>0</v>
      </c>
      <c r="AG112" s="46">
        <f>+'مركز الاتصالات'!AG31</f>
        <v>0</v>
      </c>
      <c r="AH112" s="46">
        <f>+'مركز الاتصالات'!AH31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+'مركز الاتصالات'!A32</f>
        <v>0</v>
      </c>
      <c r="B116" s="44">
        <f>+'مركز الاتصالات'!B32</f>
        <v>0</v>
      </c>
      <c r="C116" s="45">
        <f>+'مركز الاتصالات'!C32</f>
        <v>0</v>
      </c>
      <c r="D116" s="45">
        <f>+'مركز الاتصالات'!D32</f>
        <v>0</v>
      </c>
      <c r="E116" s="45">
        <f>+'مركز الاتصالات'!E32</f>
        <v>0</v>
      </c>
      <c r="F116" s="46">
        <f>+'مركز الاتصالات'!F32</f>
        <v>0</v>
      </c>
      <c r="G116" s="46">
        <f>+'مركز الاتصالات'!G32</f>
        <v>0</v>
      </c>
      <c r="H116" s="46">
        <f>+'مركز الاتصالات'!H32</f>
        <v>0</v>
      </c>
      <c r="I116" s="46">
        <f>+'مركز الاتصالات'!I32</f>
        <v>0</v>
      </c>
      <c r="J116" s="46">
        <f>+'مركز الاتصالات'!J32</f>
        <v>0</v>
      </c>
      <c r="K116" s="46">
        <f>+'مركز الاتصالات'!K32</f>
        <v>0</v>
      </c>
      <c r="L116" s="46">
        <f>+'مركز الاتصالات'!L32</f>
        <v>0</v>
      </c>
      <c r="M116" s="46">
        <f>+'مركز الاتصالات'!M32</f>
        <v>0</v>
      </c>
      <c r="N116" s="46">
        <f>+'مركز الاتصالات'!N32</f>
        <v>0</v>
      </c>
      <c r="O116" s="46">
        <f>+'مركز الاتصالات'!O32</f>
        <v>0</v>
      </c>
      <c r="P116" s="46">
        <f>+'مركز الاتصالات'!P32</f>
        <v>0</v>
      </c>
      <c r="Q116" s="46">
        <f>+'مركز الاتصالات'!Q32</f>
        <v>0</v>
      </c>
      <c r="R116" s="47">
        <f>+'مركز الاتصالات'!R32</f>
        <v>0</v>
      </c>
      <c r="S116" s="47">
        <f>+'مركز الاتصالات'!S32</f>
        <v>0</v>
      </c>
      <c r="T116" s="46">
        <f>+'مركز الاتصالات'!T32</f>
        <v>0</v>
      </c>
      <c r="U116" s="46">
        <f>+'مركز الاتصالات'!U32</f>
        <v>0</v>
      </c>
      <c r="V116" s="46">
        <f>+'مركز الاتصالات'!V32</f>
        <v>0</v>
      </c>
      <c r="W116" s="46">
        <f>+'مركز الاتصالات'!W32</f>
        <v>0</v>
      </c>
      <c r="X116" s="46">
        <f>+'مركز الاتصالات'!X32</f>
        <v>0</v>
      </c>
      <c r="Y116" s="46">
        <f>+'مركز الاتصالات'!Y32</f>
        <v>0</v>
      </c>
      <c r="Z116" s="46">
        <f>+'مركز الاتصالات'!Z32</f>
        <v>0</v>
      </c>
      <c r="AA116" s="46">
        <f>+'مركز الاتصالات'!AA32</f>
        <v>0</v>
      </c>
      <c r="AB116" s="46">
        <f>+'مركز الاتصالات'!AB32</f>
        <v>0</v>
      </c>
      <c r="AC116" s="46">
        <f>+'مركز الاتصالات'!AC32</f>
        <v>0</v>
      </c>
      <c r="AD116" s="46">
        <f>+'مركز الاتصالات'!AD32</f>
        <v>0</v>
      </c>
      <c r="AE116" s="46">
        <f>+'مركز الاتصالات'!AE32</f>
        <v>0</v>
      </c>
      <c r="AF116" s="46">
        <f>+'مركز الاتصالات'!AF32</f>
        <v>0</v>
      </c>
      <c r="AG116" s="46">
        <f>+'مركز الاتصالات'!AG32</f>
        <v>0</v>
      </c>
      <c r="AH116" s="46">
        <f>+'مركز الاتصالات'!AH32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+'مركز الاتصالات'!A33</f>
        <v>0</v>
      </c>
      <c r="B120" s="44">
        <f>+'مركز الاتصالات'!B33</f>
        <v>0</v>
      </c>
      <c r="C120" s="45">
        <f>+'مركز الاتصالات'!C33</f>
        <v>0</v>
      </c>
      <c r="D120" s="45">
        <f>+'مركز الاتصالات'!D33</f>
        <v>0</v>
      </c>
      <c r="E120" s="45">
        <f>+'مركز الاتصالات'!E33</f>
        <v>0</v>
      </c>
      <c r="F120" s="46">
        <f>+'مركز الاتصالات'!F33</f>
        <v>0</v>
      </c>
      <c r="G120" s="46">
        <f>+'مركز الاتصالات'!G33</f>
        <v>0</v>
      </c>
      <c r="H120" s="46">
        <f>+'مركز الاتصالات'!H33</f>
        <v>0</v>
      </c>
      <c r="I120" s="46">
        <f>+'مركز الاتصالات'!I33</f>
        <v>0</v>
      </c>
      <c r="J120" s="46">
        <f>+'مركز الاتصالات'!J33</f>
        <v>0</v>
      </c>
      <c r="K120" s="46">
        <f>+'مركز الاتصالات'!K33</f>
        <v>0</v>
      </c>
      <c r="L120" s="46">
        <f>+'مركز الاتصالات'!L33</f>
        <v>0</v>
      </c>
      <c r="M120" s="46">
        <f>+'مركز الاتصالات'!M33</f>
        <v>0</v>
      </c>
      <c r="N120" s="46">
        <f>+'مركز الاتصالات'!N33</f>
        <v>0</v>
      </c>
      <c r="O120" s="46">
        <f>+'مركز الاتصالات'!O33</f>
        <v>0</v>
      </c>
      <c r="P120" s="46">
        <f>+'مركز الاتصالات'!P33</f>
        <v>0</v>
      </c>
      <c r="Q120" s="46">
        <f>+'مركز الاتصالات'!Q33</f>
        <v>0</v>
      </c>
      <c r="R120" s="47">
        <f>+'مركز الاتصالات'!R33</f>
        <v>0</v>
      </c>
      <c r="S120" s="47">
        <f>+'مركز الاتصالات'!S33</f>
        <v>0</v>
      </c>
      <c r="T120" s="46">
        <f>+'مركز الاتصالات'!T33</f>
        <v>0</v>
      </c>
      <c r="U120" s="46">
        <f>+'مركز الاتصالات'!U33</f>
        <v>0</v>
      </c>
      <c r="V120" s="46">
        <f>+'مركز الاتصالات'!V33</f>
        <v>0</v>
      </c>
      <c r="W120" s="46">
        <f>+'مركز الاتصالات'!W33</f>
        <v>0</v>
      </c>
      <c r="X120" s="46">
        <f>+'مركز الاتصالات'!X33</f>
        <v>0</v>
      </c>
      <c r="Y120" s="46">
        <f>+'مركز الاتصالات'!Y33</f>
        <v>0</v>
      </c>
      <c r="Z120" s="46">
        <f>+'مركز الاتصالات'!Z33</f>
        <v>0</v>
      </c>
      <c r="AA120" s="46">
        <f>+'مركز الاتصالات'!AA33</f>
        <v>0</v>
      </c>
      <c r="AB120" s="46">
        <f>+'مركز الاتصالات'!AB33</f>
        <v>0</v>
      </c>
      <c r="AC120" s="46">
        <f>+'مركز الاتصالات'!AC33</f>
        <v>0</v>
      </c>
      <c r="AD120" s="46">
        <f>+'مركز الاتصالات'!AD33</f>
        <v>0</v>
      </c>
      <c r="AE120" s="46">
        <f>+'مركز الاتصالات'!AE33</f>
        <v>0</v>
      </c>
      <c r="AF120" s="46">
        <f>+'مركز الاتصالات'!AF33</f>
        <v>0</v>
      </c>
      <c r="AG120" s="46">
        <f>+'مركز الاتصالات'!AG33</f>
        <v>0</v>
      </c>
      <c r="AH120" s="46">
        <f>+'مركز الاتصالات'!AH33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+'مركز الاتصالات'!A34</f>
        <v>0</v>
      </c>
      <c r="B124" s="44">
        <f>+'مركز الاتصالات'!B34</f>
        <v>0</v>
      </c>
      <c r="C124" s="45">
        <f>+'مركز الاتصالات'!C34</f>
        <v>0</v>
      </c>
      <c r="D124" s="45">
        <f>+'مركز الاتصالات'!D34</f>
        <v>0</v>
      </c>
      <c r="E124" s="45">
        <f>+'مركز الاتصالات'!E34</f>
        <v>0</v>
      </c>
      <c r="F124" s="46">
        <f>+'مركز الاتصالات'!F34</f>
        <v>0</v>
      </c>
      <c r="G124" s="46">
        <f>+'مركز الاتصالات'!G34</f>
        <v>0</v>
      </c>
      <c r="H124" s="46">
        <f>+'مركز الاتصالات'!H34</f>
        <v>0</v>
      </c>
      <c r="I124" s="46">
        <f>+'مركز الاتصالات'!I34</f>
        <v>0</v>
      </c>
      <c r="J124" s="46">
        <f>+'مركز الاتصالات'!J34</f>
        <v>0</v>
      </c>
      <c r="K124" s="46">
        <f>+'مركز الاتصالات'!K34</f>
        <v>0</v>
      </c>
      <c r="L124" s="46">
        <f>+'مركز الاتصالات'!L34</f>
        <v>0</v>
      </c>
      <c r="M124" s="46">
        <f>+'مركز الاتصالات'!M34</f>
        <v>0</v>
      </c>
      <c r="N124" s="46">
        <f>+'مركز الاتصالات'!N34</f>
        <v>0</v>
      </c>
      <c r="O124" s="46">
        <f>+'مركز الاتصالات'!O34</f>
        <v>0</v>
      </c>
      <c r="P124" s="46">
        <f>+'مركز الاتصالات'!P34</f>
        <v>0</v>
      </c>
      <c r="Q124" s="46">
        <f>+'مركز الاتصالات'!Q34</f>
        <v>0</v>
      </c>
      <c r="R124" s="47">
        <f>+'مركز الاتصالات'!R34</f>
        <v>0</v>
      </c>
      <c r="S124" s="47">
        <f>+'مركز الاتصالات'!S34</f>
        <v>0</v>
      </c>
      <c r="T124" s="46">
        <f>+'مركز الاتصالات'!T34</f>
        <v>0</v>
      </c>
      <c r="U124" s="46">
        <f>+'مركز الاتصالات'!U34</f>
        <v>0</v>
      </c>
      <c r="V124" s="46">
        <f>+'مركز الاتصالات'!V34</f>
        <v>0</v>
      </c>
      <c r="W124" s="46">
        <f>+'مركز الاتصالات'!W34</f>
        <v>0</v>
      </c>
      <c r="X124" s="46">
        <f>+'مركز الاتصالات'!X34</f>
        <v>0</v>
      </c>
      <c r="Y124" s="46">
        <f>+'مركز الاتصالات'!Y34</f>
        <v>0</v>
      </c>
      <c r="Z124" s="46">
        <f>+'مركز الاتصالات'!Z34</f>
        <v>0</v>
      </c>
      <c r="AA124" s="46">
        <f>+'مركز الاتصالات'!AA34</f>
        <v>0</v>
      </c>
      <c r="AB124" s="46">
        <f>+'مركز الاتصالات'!AB34</f>
        <v>0</v>
      </c>
      <c r="AC124" s="46">
        <f>+'مركز الاتصالات'!AC34</f>
        <v>0</v>
      </c>
      <c r="AD124" s="46">
        <f>+'مركز الاتصالات'!AD34</f>
        <v>0</v>
      </c>
      <c r="AE124" s="46">
        <f>+'مركز الاتصالات'!AE34</f>
        <v>0</v>
      </c>
      <c r="AF124" s="46">
        <f>+'مركز الاتصالات'!AF34</f>
        <v>0</v>
      </c>
      <c r="AG124" s="46">
        <f>+'مركز الاتصالات'!AG34</f>
        <v>0</v>
      </c>
      <c r="AH124" s="46">
        <f>+'مركز الاتصالات'!AH34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+'مركز الاتصالات'!A35</f>
        <v>0</v>
      </c>
      <c r="B128" s="44">
        <f>+'مركز الاتصالات'!B35</f>
        <v>0</v>
      </c>
      <c r="C128" s="45">
        <f>+'مركز الاتصالات'!C35</f>
        <v>0</v>
      </c>
      <c r="D128" s="45">
        <f>+'مركز الاتصالات'!D35</f>
        <v>0</v>
      </c>
      <c r="E128" s="45">
        <f>+'مركز الاتصالات'!E35</f>
        <v>0</v>
      </c>
      <c r="F128" s="46">
        <f>+'مركز الاتصالات'!F35</f>
        <v>0</v>
      </c>
      <c r="G128" s="46">
        <f>+'مركز الاتصالات'!G35</f>
        <v>0</v>
      </c>
      <c r="H128" s="46">
        <f>+'مركز الاتصالات'!H35</f>
        <v>0</v>
      </c>
      <c r="I128" s="46">
        <f>+'مركز الاتصالات'!I35</f>
        <v>0</v>
      </c>
      <c r="J128" s="46">
        <f>+'مركز الاتصالات'!J35</f>
        <v>0</v>
      </c>
      <c r="K128" s="46">
        <f>+'مركز الاتصالات'!K35</f>
        <v>0</v>
      </c>
      <c r="L128" s="46">
        <f>+'مركز الاتصالات'!L35</f>
        <v>0</v>
      </c>
      <c r="M128" s="46">
        <f>+'مركز الاتصالات'!M35</f>
        <v>0</v>
      </c>
      <c r="N128" s="46">
        <f>+'مركز الاتصالات'!N35</f>
        <v>0</v>
      </c>
      <c r="O128" s="46">
        <f>+'مركز الاتصالات'!O35</f>
        <v>0</v>
      </c>
      <c r="P128" s="46">
        <f>+'مركز الاتصالات'!P35</f>
        <v>0</v>
      </c>
      <c r="Q128" s="46">
        <f>+'مركز الاتصالات'!Q35</f>
        <v>0</v>
      </c>
      <c r="R128" s="47">
        <f>+'مركز الاتصالات'!R35</f>
        <v>0</v>
      </c>
      <c r="S128" s="47">
        <f>+'مركز الاتصالات'!S35</f>
        <v>0</v>
      </c>
      <c r="T128" s="46">
        <f>+'مركز الاتصالات'!T35</f>
        <v>0</v>
      </c>
      <c r="U128" s="46">
        <f>+'مركز الاتصالات'!U35</f>
        <v>0</v>
      </c>
      <c r="V128" s="46">
        <f>+'مركز الاتصالات'!V35</f>
        <v>0</v>
      </c>
      <c r="W128" s="46">
        <f>+'مركز الاتصالات'!W35</f>
        <v>0</v>
      </c>
      <c r="X128" s="46">
        <f>+'مركز الاتصالات'!X35</f>
        <v>0</v>
      </c>
      <c r="Y128" s="46">
        <f>+'مركز الاتصالات'!Y35</f>
        <v>0</v>
      </c>
      <c r="Z128" s="46">
        <f>+'مركز الاتصالات'!Z35</f>
        <v>0</v>
      </c>
      <c r="AA128" s="46">
        <f>+'مركز الاتصالات'!AA35</f>
        <v>0</v>
      </c>
      <c r="AB128" s="46">
        <f>+'مركز الاتصالات'!AB35</f>
        <v>0</v>
      </c>
      <c r="AC128" s="46">
        <f>+'مركز الاتصالات'!AC35</f>
        <v>0</v>
      </c>
      <c r="AD128" s="46">
        <f>+'مركز الاتصالات'!AD35</f>
        <v>0</v>
      </c>
      <c r="AE128" s="46">
        <f>+'مركز الاتصالات'!AE35</f>
        <v>0</v>
      </c>
      <c r="AF128" s="46">
        <f>+'مركز الاتصالات'!AF35</f>
        <v>0</v>
      </c>
      <c r="AG128" s="46">
        <f>+'مركز الاتصالات'!AG35</f>
        <v>0</v>
      </c>
      <c r="AH128" s="46">
        <f>+'مركز الاتصالات'!AH35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+'مركز الاتصالات'!A36</f>
        <v>0</v>
      </c>
      <c r="B132" s="44">
        <f>+'مركز الاتصالات'!B36</f>
        <v>0</v>
      </c>
      <c r="C132" s="45">
        <f>+'مركز الاتصالات'!C36</f>
        <v>0</v>
      </c>
      <c r="D132" s="45">
        <f>+'مركز الاتصالات'!D36</f>
        <v>0</v>
      </c>
      <c r="E132" s="45">
        <f>+'مركز الاتصالات'!E36</f>
        <v>0</v>
      </c>
      <c r="F132" s="46">
        <f>+'مركز الاتصالات'!F36</f>
        <v>0</v>
      </c>
      <c r="G132" s="46">
        <f>+'مركز الاتصالات'!G36</f>
        <v>0</v>
      </c>
      <c r="H132" s="46">
        <f>+'مركز الاتصالات'!H36</f>
        <v>0</v>
      </c>
      <c r="I132" s="46">
        <f>+'مركز الاتصالات'!I36</f>
        <v>0</v>
      </c>
      <c r="J132" s="46">
        <f>+'مركز الاتصالات'!J36</f>
        <v>0</v>
      </c>
      <c r="K132" s="46">
        <f>+'مركز الاتصالات'!K36</f>
        <v>0</v>
      </c>
      <c r="L132" s="46">
        <f>+'مركز الاتصالات'!L36</f>
        <v>0</v>
      </c>
      <c r="M132" s="46">
        <f>+'مركز الاتصالات'!M36</f>
        <v>0</v>
      </c>
      <c r="N132" s="46">
        <f>+'مركز الاتصالات'!N36</f>
        <v>0</v>
      </c>
      <c r="O132" s="46">
        <f>+'مركز الاتصالات'!O36</f>
        <v>0</v>
      </c>
      <c r="P132" s="46">
        <f>+'مركز الاتصالات'!P36</f>
        <v>0</v>
      </c>
      <c r="Q132" s="46">
        <f>+'مركز الاتصالات'!Q36</f>
        <v>0</v>
      </c>
      <c r="R132" s="47">
        <f>+'مركز الاتصالات'!R36</f>
        <v>0</v>
      </c>
      <c r="S132" s="47">
        <f>+'مركز الاتصالات'!S36</f>
        <v>0</v>
      </c>
      <c r="T132" s="46">
        <f>+'مركز الاتصالات'!T36</f>
        <v>0</v>
      </c>
      <c r="U132" s="46">
        <f>+'مركز الاتصالات'!U36</f>
        <v>0</v>
      </c>
      <c r="V132" s="46">
        <f>+'مركز الاتصالات'!V36</f>
        <v>0</v>
      </c>
      <c r="W132" s="46">
        <f>+'مركز الاتصالات'!W36</f>
        <v>0</v>
      </c>
      <c r="X132" s="46">
        <f>+'مركز الاتصالات'!X36</f>
        <v>0</v>
      </c>
      <c r="Y132" s="46">
        <f>+'مركز الاتصالات'!Y36</f>
        <v>0</v>
      </c>
      <c r="Z132" s="46">
        <f>+'مركز الاتصالات'!Z36</f>
        <v>0</v>
      </c>
      <c r="AA132" s="46">
        <f>+'مركز الاتصالات'!AA36</f>
        <v>0</v>
      </c>
      <c r="AB132" s="46">
        <f>+'مركز الاتصالات'!AB36</f>
        <v>0</v>
      </c>
      <c r="AC132" s="46">
        <f>+'مركز الاتصالات'!AC36</f>
        <v>0</v>
      </c>
      <c r="AD132" s="46">
        <f>+'مركز الاتصالات'!AD36</f>
        <v>0</v>
      </c>
      <c r="AE132" s="46">
        <f>+'مركز الاتصالات'!AE36</f>
        <v>0</v>
      </c>
      <c r="AF132" s="46">
        <f>+'مركز الاتصالات'!AF36</f>
        <v>0</v>
      </c>
      <c r="AG132" s="46">
        <f>+'مركز الاتصالات'!AG36</f>
        <v>0</v>
      </c>
      <c r="AH132" s="46">
        <f>+'مركز الاتصالات'!AH36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+'مركز الاتصالات'!A37</f>
        <v>0</v>
      </c>
      <c r="B136" s="44">
        <f>+'مركز الاتصالات'!B37</f>
        <v>0</v>
      </c>
      <c r="C136" s="45">
        <f>+'مركز الاتصالات'!C37</f>
        <v>0</v>
      </c>
      <c r="D136" s="45">
        <f>+'مركز الاتصالات'!D37</f>
        <v>0</v>
      </c>
      <c r="E136" s="45">
        <f>+'مركز الاتصالات'!E37</f>
        <v>0</v>
      </c>
      <c r="F136" s="46">
        <f>+'مركز الاتصالات'!F37</f>
        <v>0</v>
      </c>
      <c r="G136" s="46">
        <f>+'مركز الاتصالات'!G37</f>
        <v>0</v>
      </c>
      <c r="H136" s="46">
        <f>+'مركز الاتصالات'!H37</f>
        <v>0</v>
      </c>
      <c r="I136" s="46">
        <f>+'مركز الاتصالات'!I37</f>
        <v>0</v>
      </c>
      <c r="J136" s="46">
        <f>+'مركز الاتصالات'!J37</f>
        <v>0</v>
      </c>
      <c r="K136" s="46">
        <f>+'مركز الاتصالات'!K37</f>
        <v>0</v>
      </c>
      <c r="L136" s="46">
        <f>+'مركز الاتصالات'!L37</f>
        <v>0</v>
      </c>
      <c r="M136" s="46">
        <f>+'مركز الاتصالات'!M37</f>
        <v>0</v>
      </c>
      <c r="N136" s="46">
        <f>+'مركز الاتصالات'!N37</f>
        <v>0</v>
      </c>
      <c r="O136" s="46">
        <f>+'مركز الاتصالات'!O37</f>
        <v>0</v>
      </c>
      <c r="P136" s="46">
        <f>+'مركز الاتصالات'!P37</f>
        <v>0</v>
      </c>
      <c r="Q136" s="46">
        <f>+'مركز الاتصالات'!Q37</f>
        <v>0</v>
      </c>
      <c r="R136" s="47">
        <f>+'مركز الاتصالات'!R37</f>
        <v>0</v>
      </c>
      <c r="S136" s="47">
        <f>+'مركز الاتصالات'!S37</f>
        <v>0</v>
      </c>
      <c r="T136" s="46">
        <f>+'مركز الاتصالات'!T37</f>
        <v>0</v>
      </c>
      <c r="U136" s="46">
        <f>+'مركز الاتصالات'!U37</f>
        <v>0</v>
      </c>
      <c r="V136" s="46">
        <f>+'مركز الاتصالات'!V37</f>
        <v>0</v>
      </c>
      <c r="W136" s="46">
        <f>+'مركز الاتصالات'!W37</f>
        <v>0</v>
      </c>
      <c r="X136" s="46">
        <f>+'مركز الاتصالات'!X37</f>
        <v>0</v>
      </c>
      <c r="Y136" s="46">
        <f>+'مركز الاتصالات'!Y37</f>
        <v>0</v>
      </c>
      <c r="Z136" s="46">
        <f>+'مركز الاتصالات'!Z37</f>
        <v>0</v>
      </c>
      <c r="AA136" s="46">
        <f>+'مركز الاتصالات'!AA37</f>
        <v>0</v>
      </c>
      <c r="AB136" s="46">
        <f>+'مركز الاتصالات'!AB37</f>
        <v>0</v>
      </c>
      <c r="AC136" s="46">
        <f>+'مركز الاتصالات'!AC37</f>
        <v>0</v>
      </c>
      <c r="AD136" s="46">
        <f>+'مركز الاتصالات'!AD37</f>
        <v>0</v>
      </c>
      <c r="AE136" s="46">
        <f>+'مركز الاتصالات'!AE37</f>
        <v>0</v>
      </c>
      <c r="AF136" s="46">
        <f>+'مركز الاتصالات'!AF37</f>
        <v>0</v>
      </c>
      <c r="AG136" s="46">
        <f>+'مركز الاتصالات'!AG37</f>
        <v>0</v>
      </c>
      <c r="AH136" s="46">
        <f>+'مركز الاتصالات'!AH37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+'مركز الاتصالات'!A38</f>
        <v>0</v>
      </c>
      <c r="B140" s="44">
        <f>+'مركز الاتصالات'!B38</f>
        <v>0</v>
      </c>
      <c r="C140" s="45">
        <f>+'مركز الاتصالات'!C38</f>
        <v>0</v>
      </c>
      <c r="D140" s="45">
        <f>+'مركز الاتصالات'!D38</f>
        <v>0</v>
      </c>
      <c r="E140" s="45">
        <f>+'مركز الاتصالات'!E38</f>
        <v>0</v>
      </c>
      <c r="F140" s="46">
        <f>+'مركز الاتصالات'!F38</f>
        <v>0</v>
      </c>
      <c r="G140" s="46">
        <f>+'مركز الاتصالات'!G38</f>
        <v>0</v>
      </c>
      <c r="H140" s="46">
        <f>+'مركز الاتصالات'!H38</f>
        <v>0</v>
      </c>
      <c r="I140" s="46">
        <f>+'مركز الاتصالات'!I38</f>
        <v>0</v>
      </c>
      <c r="J140" s="46">
        <f>+'مركز الاتصالات'!J38</f>
        <v>0</v>
      </c>
      <c r="K140" s="46">
        <f>+'مركز الاتصالات'!K38</f>
        <v>0</v>
      </c>
      <c r="L140" s="46">
        <f>+'مركز الاتصالات'!L38</f>
        <v>0</v>
      </c>
      <c r="M140" s="46">
        <f>+'مركز الاتصالات'!M38</f>
        <v>0</v>
      </c>
      <c r="N140" s="46">
        <f>+'مركز الاتصالات'!N38</f>
        <v>0</v>
      </c>
      <c r="O140" s="46">
        <f>+'مركز الاتصالات'!O38</f>
        <v>0</v>
      </c>
      <c r="P140" s="46">
        <f>+'مركز الاتصالات'!P38</f>
        <v>0</v>
      </c>
      <c r="Q140" s="46">
        <f>+'مركز الاتصالات'!Q38</f>
        <v>0</v>
      </c>
      <c r="R140" s="47">
        <f>+'مركز الاتصالات'!R38</f>
        <v>0</v>
      </c>
      <c r="S140" s="47">
        <f>+'مركز الاتصالات'!S38</f>
        <v>0</v>
      </c>
      <c r="T140" s="46">
        <f>+'مركز الاتصالات'!T38</f>
        <v>0</v>
      </c>
      <c r="U140" s="46">
        <f>+'مركز الاتصالات'!U38</f>
        <v>0</v>
      </c>
      <c r="V140" s="46">
        <f>+'مركز الاتصالات'!V38</f>
        <v>0</v>
      </c>
      <c r="W140" s="46">
        <f>+'مركز الاتصالات'!W38</f>
        <v>0</v>
      </c>
      <c r="X140" s="46">
        <f>+'مركز الاتصالات'!X38</f>
        <v>0</v>
      </c>
      <c r="Y140" s="46">
        <f>+'مركز الاتصالات'!Y38</f>
        <v>0</v>
      </c>
      <c r="Z140" s="46">
        <f>+'مركز الاتصالات'!Z38</f>
        <v>0</v>
      </c>
      <c r="AA140" s="46">
        <f>+'مركز الاتصالات'!AA38</f>
        <v>0</v>
      </c>
      <c r="AB140" s="46">
        <f>+'مركز الاتصالات'!AB38</f>
        <v>0</v>
      </c>
      <c r="AC140" s="46">
        <f>+'مركز الاتصالات'!AC38</f>
        <v>0</v>
      </c>
      <c r="AD140" s="46">
        <f>+'مركز الاتصالات'!AD38</f>
        <v>0</v>
      </c>
      <c r="AE140" s="46">
        <f>+'مركز الاتصالات'!AE38</f>
        <v>0</v>
      </c>
      <c r="AF140" s="46">
        <f>+'مركز الاتصالات'!AF38</f>
        <v>0</v>
      </c>
      <c r="AG140" s="46">
        <f>+'مركز الاتصالات'!AG38</f>
        <v>0</v>
      </c>
      <c r="AH140" s="46">
        <f>+'مركز الاتصالات'!AH38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+'مركز الاتصالات'!A39</f>
        <v>0</v>
      </c>
      <c r="B144" s="44">
        <f>+'مركز الاتصالات'!B39</f>
        <v>0</v>
      </c>
      <c r="C144" s="45">
        <f>+'مركز الاتصالات'!C39</f>
        <v>0</v>
      </c>
      <c r="D144" s="45">
        <f>+'مركز الاتصالات'!D39</f>
        <v>0</v>
      </c>
      <c r="E144" s="45">
        <f>+'مركز الاتصالات'!E39</f>
        <v>0</v>
      </c>
      <c r="F144" s="46">
        <f>+'مركز الاتصالات'!F39</f>
        <v>0</v>
      </c>
      <c r="G144" s="46">
        <f>+'مركز الاتصالات'!G39</f>
        <v>0</v>
      </c>
      <c r="H144" s="46">
        <f>+'مركز الاتصالات'!H39</f>
        <v>0</v>
      </c>
      <c r="I144" s="46">
        <f>+'مركز الاتصالات'!I39</f>
        <v>0</v>
      </c>
      <c r="J144" s="46">
        <f>+'مركز الاتصالات'!J39</f>
        <v>0</v>
      </c>
      <c r="K144" s="46">
        <f>+'مركز الاتصالات'!K39</f>
        <v>0</v>
      </c>
      <c r="L144" s="46">
        <f>+'مركز الاتصالات'!L39</f>
        <v>0</v>
      </c>
      <c r="M144" s="46">
        <f>+'مركز الاتصالات'!M39</f>
        <v>0</v>
      </c>
      <c r="N144" s="46">
        <f>+'مركز الاتصالات'!N39</f>
        <v>0</v>
      </c>
      <c r="O144" s="46">
        <f>+'مركز الاتصالات'!O39</f>
        <v>0</v>
      </c>
      <c r="P144" s="46">
        <f>+'مركز الاتصالات'!P39</f>
        <v>0</v>
      </c>
      <c r="Q144" s="46">
        <f>+'مركز الاتصالات'!Q39</f>
        <v>0</v>
      </c>
      <c r="R144" s="47">
        <f>+'مركز الاتصالات'!R39</f>
        <v>0</v>
      </c>
      <c r="S144" s="47">
        <f>+'مركز الاتصالات'!S39</f>
        <v>0</v>
      </c>
      <c r="T144" s="46">
        <f>+'مركز الاتصالات'!T39</f>
        <v>0</v>
      </c>
      <c r="U144" s="46">
        <f>+'مركز الاتصالات'!U39</f>
        <v>0</v>
      </c>
      <c r="V144" s="46">
        <f>+'مركز الاتصالات'!V39</f>
        <v>0</v>
      </c>
      <c r="W144" s="46">
        <f>+'مركز الاتصالات'!W39</f>
        <v>0</v>
      </c>
      <c r="X144" s="46">
        <f>+'مركز الاتصالات'!X39</f>
        <v>0</v>
      </c>
      <c r="Y144" s="46">
        <f>+'مركز الاتصالات'!Y39</f>
        <v>0</v>
      </c>
      <c r="Z144" s="46">
        <f>+'مركز الاتصالات'!Z39</f>
        <v>0</v>
      </c>
      <c r="AA144" s="46">
        <f>+'مركز الاتصالات'!AA39</f>
        <v>0</v>
      </c>
      <c r="AB144" s="46">
        <f>+'مركز الاتصالات'!AB39</f>
        <v>0</v>
      </c>
      <c r="AC144" s="46">
        <f>+'مركز الاتصالات'!AC39</f>
        <v>0</v>
      </c>
      <c r="AD144" s="46">
        <f>+'مركز الاتصالات'!AD39</f>
        <v>0</v>
      </c>
      <c r="AE144" s="46">
        <f>+'مركز الاتصالات'!AE39</f>
        <v>0</v>
      </c>
      <c r="AF144" s="46">
        <f>+'مركز الاتصالات'!AF39</f>
        <v>0</v>
      </c>
      <c r="AG144" s="46">
        <f>+'مركز الاتصالات'!AG39</f>
        <v>0</v>
      </c>
      <c r="AH144" s="46">
        <f>+'مركز الاتصالات'!AH39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+'مركز الاتصالات'!A40</f>
        <v>0</v>
      </c>
      <c r="B148" s="44">
        <f>+'مركز الاتصالات'!B40</f>
        <v>0</v>
      </c>
      <c r="C148" s="45">
        <f>+'مركز الاتصالات'!C40</f>
        <v>0</v>
      </c>
      <c r="D148" s="45">
        <f>+'مركز الاتصالات'!D40</f>
        <v>0</v>
      </c>
      <c r="E148" s="45">
        <f>+'مركز الاتصالات'!E40</f>
        <v>0</v>
      </c>
      <c r="F148" s="46">
        <f>+'مركز الاتصالات'!F40</f>
        <v>0</v>
      </c>
      <c r="G148" s="46">
        <f>+'مركز الاتصالات'!G40</f>
        <v>0</v>
      </c>
      <c r="H148" s="46">
        <f>+'مركز الاتصالات'!H40</f>
        <v>0</v>
      </c>
      <c r="I148" s="46">
        <f>+'مركز الاتصالات'!I40</f>
        <v>0</v>
      </c>
      <c r="J148" s="46">
        <f>+'مركز الاتصالات'!J40</f>
        <v>0</v>
      </c>
      <c r="K148" s="46">
        <f>+'مركز الاتصالات'!K40</f>
        <v>0</v>
      </c>
      <c r="L148" s="46">
        <f>+'مركز الاتصالات'!L40</f>
        <v>0</v>
      </c>
      <c r="M148" s="46">
        <f>+'مركز الاتصالات'!M40</f>
        <v>0</v>
      </c>
      <c r="N148" s="46">
        <f>+'مركز الاتصالات'!N40</f>
        <v>0</v>
      </c>
      <c r="O148" s="46">
        <f>+'مركز الاتصالات'!O40</f>
        <v>0</v>
      </c>
      <c r="P148" s="46">
        <f>+'مركز الاتصالات'!P40</f>
        <v>0</v>
      </c>
      <c r="Q148" s="46">
        <f>+'مركز الاتصالات'!Q40</f>
        <v>0</v>
      </c>
      <c r="R148" s="47">
        <f>+'مركز الاتصالات'!R40</f>
        <v>0</v>
      </c>
      <c r="S148" s="47">
        <f>+'مركز الاتصالات'!S40</f>
        <v>0</v>
      </c>
      <c r="T148" s="46">
        <f>+'مركز الاتصالات'!T40</f>
        <v>0</v>
      </c>
      <c r="U148" s="46">
        <f>+'مركز الاتصالات'!U40</f>
        <v>0</v>
      </c>
      <c r="V148" s="46">
        <f>+'مركز الاتصالات'!V40</f>
        <v>0</v>
      </c>
      <c r="W148" s="46">
        <f>+'مركز الاتصالات'!W40</f>
        <v>0</v>
      </c>
      <c r="X148" s="46">
        <f>+'مركز الاتصالات'!X40</f>
        <v>0</v>
      </c>
      <c r="Y148" s="46">
        <f>+'مركز الاتصالات'!Y40</f>
        <v>0</v>
      </c>
      <c r="Z148" s="46">
        <f>+'مركز الاتصالات'!Z40</f>
        <v>0</v>
      </c>
      <c r="AA148" s="46">
        <f>+'مركز الاتصالات'!AA40</f>
        <v>0</v>
      </c>
      <c r="AB148" s="46">
        <f>+'مركز الاتصالات'!AB40</f>
        <v>0</v>
      </c>
      <c r="AC148" s="46">
        <f>+'مركز الاتصالات'!AC40</f>
        <v>0</v>
      </c>
      <c r="AD148" s="46">
        <f>+'مركز الاتصالات'!AD40</f>
        <v>0</v>
      </c>
      <c r="AE148" s="46">
        <f>+'مركز الاتصالات'!AE40</f>
        <v>0</v>
      </c>
      <c r="AF148" s="46">
        <f>+'مركز الاتصالات'!AF40</f>
        <v>0</v>
      </c>
      <c r="AG148" s="46">
        <f>+'مركز الاتصالات'!AG40</f>
        <v>0</v>
      </c>
      <c r="AH148" s="46">
        <f>+'مركز الاتصالات'!AH40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+'مركز الاتصالات'!A41</f>
        <v>0</v>
      </c>
      <c r="B152" s="44">
        <f>+'مركز الاتصالات'!B41</f>
        <v>0</v>
      </c>
      <c r="C152" s="45">
        <f>+'مركز الاتصالات'!C41</f>
        <v>0</v>
      </c>
      <c r="D152" s="45">
        <f>+'مركز الاتصالات'!D41</f>
        <v>0</v>
      </c>
      <c r="E152" s="45">
        <f>+'مركز الاتصالات'!E41</f>
        <v>0</v>
      </c>
      <c r="F152" s="46">
        <f>+'مركز الاتصالات'!F41</f>
        <v>0</v>
      </c>
      <c r="G152" s="46">
        <f>+'مركز الاتصالات'!G41</f>
        <v>0</v>
      </c>
      <c r="H152" s="46">
        <f>+'مركز الاتصالات'!H41</f>
        <v>0</v>
      </c>
      <c r="I152" s="46">
        <f>+'مركز الاتصالات'!I41</f>
        <v>0</v>
      </c>
      <c r="J152" s="46">
        <f>+'مركز الاتصالات'!J41</f>
        <v>0</v>
      </c>
      <c r="K152" s="46">
        <f>+'مركز الاتصالات'!K41</f>
        <v>0</v>
      </c>
      <c r="L152" s="46">
        <f>+'مركز الاتصالات'!L41</f>
        <v>0</v>
      </c>
      <c r="M152" s="46">
        <f>+'مركز الاتصالات'!M41</f>
        <v>0</v>
      </c>
      <c r="N152" s="46">
        <f>+'مركز الاتصالات'!N41</f>
        <v>0</v>
      </c>
      <c r="O152" s="46">
        <f>+'مركز الاتصالات'!O41</f>
        <v>0</v>
      </c>
      <c r="P152" s="46">
        <f>+'مركز الاتصالات'!P41</f>
        <v>0</v>
      </c>
      <c r="Q152" s="46">
        <f>+'مركز الاتصالات'!Q41</f>
        <v>0</v>
      </c>
      <c r="R152" s="47">
        <f>+'مركز الاتصالات'!R41</f>
        <v>0</v>
      </c>
      <c r="S152" s="47">
        <f>+'مركز الاتصالات'!S41</f>
        <v>0</v>
      </c>
      <c r="T152" s="46">
        <f>+'مركز الاتصالات'!T41</f>
        <v>0</v>
      </c>
      <c r="U152" s="46">
        <f>+'مركز الاتصالات'!U41</f>
        <v>0</v>
      </c>
      <c r="V152" s="46">
        <f>+'مركز الاتصالات'!V41</f>
        <v>0</v>
      </c>
      <c r="W152" s="46">
        <f>+'مركز الاتصالات'!W41</f>
        <v>0</v>
      </c>
      <c r="X152" s="46">
        <f>+'مركز الاتصالات'!X41</f>
        <v>0</v>
      </c>
      <c r="Y152" s="46">
        <f>+'مركز الاتصالات'!Y41</f>
        <v>0</v>
      </c>
      <c r="Z152" s="46">
        <f>+'مركز الاتصالات'!Z41</f>
        <v>0</v>
      </c>
      <c r="AA152" s="46">
        <f>+'مركز الاتصالات'!AA41</f>
        <v>0</v>
      </c>
      <c r="AB152" s="46">
        <f>+'مركز الاتصالات'!AB41</f>
        <v>0</v>
      </c>
      <c r="AC152" s="46">
        <f>+'مركز الاتصالات'!AC41</f>
        <v>0</v>
      </c>
      <c r="AD152" s="46">
        <f>+'مركز الاتصالات'!AD41</f>
        <v>0</v>
      </c>
      <c r="AE152" s="46">
        <f>+'مركز الاتصالات'!AE41</f>
        <v>0</v>
      </c>
      <c r="AF152" s="46">
        <f>+'مركز الاتصالات'!AF41</f>
        <v>0</v>
      </c>
      <c r="AG152" s="46">
        <f>+'مركز الاتصالات'!AG41</f>
        <v>0</v>
      </c>
      <c r="AH152" s="46">
        <f>+'مركز الاتصالات'!AH41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+'مركز الاتصالات'!A42</f>
        <v>0</v>
      </c>
      <c r="B156" s="44">
        <f>+'مركز الاتصالات'!B42</f>
        <v>0</v>
      </c>
      <c r="C156" s="45">
        <f>+'مركز الاتصالات'!C42</f>
        <v>0</v>
      </c>
      <c r="D156" s="45">
        <f>+'مركز الاتصالات'!D42</f>
        <v>0</v>
      </c>
      <c r="E156" s="45">
        <f>+'مركز الاتصالات'!E42</f>
        <v>0</v>
      </c>
      <c r="F156" s="46">
        <f>'مركز الاتصالات'!F42</f>
        <v>0</v>
      </c>
      <c r="G156" s="46">
        <f>'مركز الاتصالات'!G42</f>
        <v>0</v>
      </c>
      <c r="H156" s="46">
        <f>'مركز الاتصالات'!H42</f>
        <v>0</v>
      </c>
      <c r="I156" s="46">
        <f>'مركز الاتصالات'!I42</f>
        <v>0</v>
      </c>
      <c r="J156" s="46">
        <f>'مركز الاتصالات'!J42</f>
        <v>0</v>
      </c>
      <c r="K156" s="46">
        <f>'مركز الاتصالات'!K42</f>
        <v>0</v>
      </c>
      <c r="L156" s="46">
        <f>'مركز الاتصالات'!L42</f>
        <v>0</v>
      </c>
      <c r="M156" s="46">
        <f>'مركز الاتصالات'!M42</f>
        <v>0</v>
      </c>
      <c r="N156" s="46">
        <f>'مركز الاتصالات'!N42</f>
        <v>0</v>
      </c>
      <c r="O156" s="46">
        <f>'مركز الاتصالات'!O42</f>
        <v>0</v>
      </c>
      <c r="P156" s="46">
        <f>'مركز الاتصالات'!P42</f>
        <v>0</v>
      </c>
      <c r="Q156" s="46">
        <f>'مركز الاتصالات'!Q42</f>
        <v>0</v>
      </c>
      <c r="R156" s="47">
        <f>'مركز الاتصالات'!R42</f>
        <v>0</v>
      </c>
      <c r="S156" s="47">
        <f>'مركز الاتصالات'!S42</f>
        <v>0</v>
      </c>
      <c r="T156" s="46">
        <f>'مركز الاتصالات'!T42</f>
        <v>0</v>
      </c>
      <c r="U156" s="46">
        <f>'مركز الاتصالات'!U42</f>
        <v>0</v>
      </c>
      <c r="V156" s="46">
        <f>'مركز الاتصالات'!V42</f>
        <v>0</v>
      </c>
      <c r="W156" s="46">
        <f>'مركز الاتصالات'!W42</f>
        <v>0</v>
      </c>
      <c r="X156" s="46">
        <f>'مركز الاتصالات'!X42</f>
        <v>0</v>
      </c>
      <c r="Y156" s="46">
        <f>'مركز الاتصالات'!Y42</f>
        <v>0</v>
      </c>
      <c r="Z156" s="46">
        <f>'مركز الاتصالات'!Z42</f>
        <v>0</v>
      </c>
      <c r="AA156" s="46">
        <f>'مركز الاتصالات'!AA42</f>
        <v>0</v>
      </c>
      <c r="AB156" s="46">
        <f>'مركز الاتصالات'!AB42</f>
        <v>0</v>
      </c>
      <c r="AC156" s="46">
        <f>'مركز الاتصالات'!AC42</f>
        <v>0</v>
      </c>
      <c r="AD156" s="46">
        <f>'مركز الاتصالات'!AD42</f>
        <v>0</v>
      </c>
      <c r="AE156" s="46">
        <f>'مركز الاتصالات'!AE42</f>
        <v>0</v>
      </c>
      <c r="AF156" s="46">
        <f>'مركز الاتصالات'!AF42</f>
        <v>0</v>
      </c>
      <c r="AG156" s="46">
        <f>'مركز الاتصالات'!AG42</f>
        <v>0</v>
      </c>
      <c r="AH156" s="46">
        <f>'مركز الاتصالات'!AH42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+'مركز الاتصالات'!A43</f>
        <v>0</v>
      </c>
      <c r="B160" s="44">
        <f>+'مركز الاتصالات'!B43</f>
        <v>0</v>
      </c>
      <c r="C160" s="45">
        <f>+'مركز الاتصالات'!C43</f>
        <v>0</v>
      </c>
      <c r="D160" s="45">
        <f>+'مركز الاتصالات'!D43</f>
        <v>0</v>
      </c>
      <c r="E160" s="45">
        <f>+'مركز الاتصالات'!E43</f>
        <v>0</v>
      </c>
      <c r="F160" s="46">
        <f>'مركز الاتصالات'!F43</f>
        <v>0</v>
      </c>
      <c r="G160" s="46">
        <f>'مركز الاتصالات'!G43</f>
        <v>0</v>
      </c>
      <c r="H160" s="46">
        <f>'مركز الاتصالات'!H43</f>
        <v>0</v>
      </c>
      <c r="I160" s="46">
        <f>'مركز الاتصالات'!I43</f>
        <v>0</v>
      </c>
      <c r="J160" s="46">
        <f>'مركز الاتصالات'!J43</f>
        <v>0</v>
      </c>
      <c r="K160" s="46">
        <f>'مركز الاتصالات'!K43</f>
        <v>0</v>
      </c>
      <c r="L160" s="46">
        <f>'مركز الاتصالات'!L43</f>
        <v>0</v>
      </c>
      <c r="M160" s="46">
        <f>'مركز الاتصالات'!M43</f>
        <v>0</v>
      </c>
      <c r="N160" s="46">
        <f>'مركز الاتصالات'!N43</f>
        <v>0</v>
      </c>
      <c r="O160" s="46">
        <f>'مركز الاتصالات'!O43</f>
        <v>0</v>
      </c>
      <c r="P160" s="46">
        <f>'مركز الاتصالات'!P43</f>
        <v>0</v>
      </c>
      <c r="Q160" s="46">
        <f>'مركز الاتصالات'!Q43</f>
        <v>0</v>
      </c>
      <c r="R160" s="47">
        <f>'مركز الاتصالات'!R43</f>
        <v>0</v>
      </c>
      <c r="S160" s="47">
        <f>'مركز الاتصالات'!S43</f>
        <v>0</v>
      </c>
      <c r="T160" s="46">
        <f>'مركز الاتصالات'!T43</f>
        <v>0</v>
      </c>
      <c r="U160" s="46">
        <f>'مركز الاتصالات'!U43</f>
        <v>0</v>
      </c>
      <c r="V160" s="46">
        <f>'مركز الاتصالات'!V43</f>
        <v>0</v>
      </c>
      <c r="W160" s="46">
        <f>'مركز الاتصالات'!W43</f>
        <v>0</v>
      </c>
      <c r="X160" s="46">
        <f>'مركز الاتصالات'!X43</f>
        <v>0</v>
      </c>
      <c r="Y160" s="46">
        <f>'مركز الاتصالات'!Y43</f>
        <v>0</v>
      </c>
      <c r="Z160" s="46">
        <f>'مركز الاتصالات'!Z43</f>
        <v>0</v>
      </c>
      <c r="AA160" s="46">
        <f>'مركز الاتصالات'!AA43</f>
        <v>0</v>
      </c>
      <c r="AB160" s="46">
        <f>'مركز الاتصالات'!AB43</f>
        <v>0</v>
      </c>
      <c r="AC160" s="46">
        <f>'مركز الاتصالات'!AC43</f>
        <v>0</v>
      </c>
      <c r="AD160" s="46">
        <f>'مركز الاتصالات'!AD43</f>
        <v>0</v>
      </c>
      <c r="AE160" s="46">
        <f>'مركز الاتصالات'!AE43</f>
        <v>0</v>
      </c>
      <c r="AF160" s="46">
        <f>'مركز الاتصالات'!AF43</f>
        <v>0</v>
      </c>
      <c r="AG160" s="46">
        <f>'مركز الاتصالات'!AG43</f>
        <v>0</v>
      </c>
      <c r="AH160" s="46">
        <f>'مركز الاتصالات'!AH43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+'مركز الاتصالات'!A44</f>
        <v>0</v>
      </c>
      <c r="B164" s="44">
        <f>+'مركز الاتصالات'!B44</f>
        <v>0</v>
      </c>
      <c r="C164" s="45">
        <f>+'مركز الاتصالات'!C44</f>
        <v>0</v>
      </c>
      <c r="D164" s="45">
        <f>+'مركز الاتصالات'!D44</f>
        <v>0</v>
      </c>
      <c r="E164" s="45">
        <f>+'مركز الاتصالات'!E44</f>
        <v>0</v>
      </c>
      <c r="F164" s="46">
        <f>'مركز الاتصالات'!F44</f>
        <v>0</v>
      </c>
      <c r="G164" s="46">
        <f>'مركز الاتصالات'!G44</f>
        <v>0</v>
      </c>
      <c r="H164" s="46">
        <f>'مركز الاتصالات'!H44</f>
        <v>0</v>
      </c>
      <c r="I164" s="46">
        <f>'مركز الاتصالات'!I44</f>
        <v>0</v>
      </c>
      <c r="J164" s="46">
        <f>'مركز الاتصالات'!J44</f>
        <v>0</v>
      </c>
      <c r="K164" s="46">
        <f>'مركز الاتصالات'!K44</f>
        <v>0</v>
      </c>
      <c r="L164" s="46">
        <f>'مركز الاتصالات'!L44</f>
        <v>0</v>
      </c>
      <c r="M164" s="46">
        <f>'مركز الاتصالات'!M44</f>
        <v>0</v>
      </c>
      <c r="N164" s="46">
        <f>'مركز الاتصالات'!N44</f>
        <v>0</v>
      </c>
      <c r="O164" s="46">
        <f>'مركز الاتصالات'!O44</f>
        <v>0</v>
      </c>
      <c r="P164" s="46">
        <f>'مركز الاتصالات'!P44</f>
        <v>0</v>
      </c>
      <c r="Q164" s="46">
        <f>'مركز الاتصالات'!Q44</f>
        <v>0</v>
      </c>
      <c r="R164" s="47">
        <f>'مركز الاتصالات'!R44</f>
        <v>0</v>
      </c>
      <c r="S164" s="47">
        <f>'مركز الاتصالات'!S44</f>
        <v>0</v>
      </c>
      <c r="T164" s="46">
        <f>'مركز الاتصالات'!T44</f>
        <v>0</v>
      </c>
      <c r="U164" s="46">
        <f>'مركز الاتصالات'!U44</f>
        <v>0</v>
      </c>
      <c r="V164" s="46">
        <f>'مركز الاتصالات'!V44</f>
        <v>0</v>
      </c>
      <c r="W164" s="46">
        <f>'مركز الاتصالات'!W44</f>
        <v>0</v>
      </c>
      <c r="X164" s="46">
        <f>'مركز الاتصالات'!X44</f>
        <v>0</v>
      </c>
      <c r="Y164" s="46">
        <f>'مركز الاتصالات'!Y44</f>
        <v>0</v>
      </c>
      <c r="Z164" s="46">
        <f>'مركز الاتصالات'!Z44</f>
        <v>0</v>
      </c>
      <c r="AA164" s="46">
        <f>'مركز الاتصالات'!AA44</f>
        <v>0</v>
      </c>
      <c r="AB164" s="46">
        <f>'مركز الاتصالات'!AB44</f>
        <v>0</v>
      </c>
      <c r="AC164" s="46">
        <f>'مركز الاتصالات'!AC44</f>
        <v>0</v>
      </c>
      <c r="AD164" s="46">
        <f>'مركز الاتصالات'!AD44</f>
        <v>0</v>
      </c>
      <c r="AE164" s="46">
        <f>'مركز الاتصالات'!AE44</f>
        <v>0</v>
      </c>
      <c r="AF164" s="46">
        <f>'مركز الاتصالات'!AF44</f>
        <v>0</v>
      </c>
      <c r="AG164" s="46">
        <f>'مركز الاتصالات'!AG44</f>
        <v>0</v>
      </c>
      <c r="AH164" s="46">
        <f>'مركز الاتصالات'!AH44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+'مركز الاتصالات'!A45</f>
        <v>0</v>
      </c>
      <c r="B168" s="44">
        <f>+'مركز الاتصالات'!B45</f>
        <v>0</v>
      </c>
      <c r="C168" s="45">
        <f>+'مركز الاتصالات'!C45</f>
        <v>0</v>
      </c>
      <c r="D168" s="45">
        <f>+'مركز الاتصالات'!D45</f>
        <v>0</v>
      </c>
      <c r="E168" s="45">
        <f>+'مركز الاتصالات'!E45</f>
        <v>0</v>
      </c>
      <c r="F168" s="46">
        <f>'مركز الاتصالات'!F45</f>
        <v>0</v>
      </c>
      <c r="G168" s="46">
        <f>'مركز الاتصالات'!G45</f>
        <v>0</v>
      </c>
      <c r="H168" s="46">
        <f>'مركز الاتصالات'!H45</f>
        <v>0</v>
      </c>
      <c r="I168" s="46">
        <f>'مركز الاتصالات'!I45</f>
        <v>0</v>
      </c>
      <c r="J168" s="46">
        <f>'مركز الاتصالات'!J45</f>
        <v>0</v>
      </c>
      <c r="K168" s="46">
        <f>'مركز الاتصالات'!K45</f>
        <v>0</v>
      </c>
      <c r="L168" s="46">
        <f>'مركز الاتصالات'!L45</f>
        <v>0</v>
      </c>
      <c r="M168" s="46">
        <f>'مركز الاتصالات'!M45</f>
        <v>0</v>
      </c>
      <c r="N168" s="46">
        <f>'مركز الاتصالات'!N45</f>
        <v>0</v>
      </c>
      <c r="O168" s="46">
        <f>'مركز الاتصالات'!O45</f>
        <v>0</v>
      </c>
      <c r="P168" s="46">
        <f>'مركز الاتصالات'!P45</f>
        <v>0</v>
      </c>
      <c r="Q168" s="46">
        <f>'مركز الاتصالات'!Q45</f>
        <v>0</v>
      </c>
      <c r="R168" s="47">
        <f>'مركز الاتصالات'!R45</f>
        <v>0</v>
      </c>
      <c r="S168" s="47">
        <f>'مركز الاتصالات'!S45</f>
        <v>0</v>
      </c>
      <c r="T168" s="46">
        <f>'مركز الاتصالات'!T45</f>
        <v>0</v>
      </c>
      <c r="U168" s="46">
        <f>'مركز الاتصالات'!U45</f>
        <v>0</v>
      </c>
      <c r="V168" s="46">
        <f>'مركز الاتصالات'!V45</f>
        <v>0</v>
      </c>
      <c r="W168" s="46">
        <f>'مركز الاتصالات'!W45</f>
        <v>0</v>
      </c>
      <c r="X168" s="46">
        <f>'مركز الاتصالات'!X45</f>
        <v>0</v>
      </c>
      <c r="Y168" s="46">
        <f>'مركز الاتصالات'!Y45</f>
        <v>0</v>
      </c>
      <c r="Z168" s="46">
        <f>'مركز الاتصالات'!Z45</f>
        <v>0</v>
      </c>
      <c r="AA168" s="46">
        <f>'مركز الاتصالات'!AA45</f>
        <v>0</v>
      </c>
      <c r="AB168" s="46">
        <f>'مركز الاتصالات'!AB45</f>
        <v>0</v>
      </c>
      <c r="AC168" s="46">
        <f>'مركز الاتصالات'!AC45</f>
        <v>0</v>
      </c>
      <c r="AD168" s="46">
        <f>'مركز الاتصالات'!AD45</f>
        <v>0</v>
      </c>
      <c r="AE168" s="46">
        <f>'مركز الاتصالات'!AE45</f>
        <v>0</v>
      </c>
      <c r="AF168" s="46">
        <f>'مركز الاتصالات'!AF45</f>
        <v>0</v>
      </c>
      <c r="AG168" s="46">
        <f>'مركز الاتصالات'!AG45</f>
        <v>0</v>
      </c>
      <c r="AH168" s="46">
        <f>'مركز الاتصالات'!AH45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+'مركز الاتصالات'!A46</f>
        <v>0</v>
      </c>
      <c r="B172" s="44">
        <f>+'مركز الاتصالات'!B46</f>
        <v>0</v>
      </c>
      <c r="C172" s="45">
        <f>+'مركز الاتصالات'!C46</f>
        <v>0</v>
      </c>
      <c r="D172" s="45">
        <f>+'مركز الاتصالات'!D46</f>
        <v>0</v>
      </c>
      <c r="E172" s="45">
        <f>+'مركز الاتصالات'!E46</f>
        <v>0</v>
      </c>
      <c r="F172" s="46">
        <f>'مركز الاتصالات'!F46</f>
        <v>0</v>
      </c>
      <c r="G172" s="46">
        <f>'مركز الاتصالات'!G46</f>
        <v>0</v>
      </c>
      <c r="H172" s="46">
        <f>'مركز الاتصالات'!H46</f>
        <v>0</v>
      </c>
      <c r="I172" s="46">
        <f>'مركز الاتصالات'!I46</f>
        <v>0</v>
      </c>
      <c r="J172" s="46">
        <f>'مركز الاتصالات'!J46</f>
        <v>0</v>
      </c>
      <c r="K172" s="46">
        <f>'مركز الاتصالات'!K46</f>
        <v>0</v>
      </c>
      <c r="L172" s="46">
        <f>'مركز الاتصالات'!L46</f>
        <v>0</v>
      </c>
      <c r="M172" s="46">
        <f>'مركز الاتصالات'!M46</f>
        <v>0</v>
      </c>
      <c r="N172" s="46">
        <f>'مركز الاتصالات'!N46</f>
        <v>0</v>
      </c>
      <c r="O172" s="46">
        <f>'مركز الاتصالات'!O46</f>
        <v>0</v>
      </c>
      <c r="P172" s="46">
        <f>'مركز الاتصالات'!P46</f>
        <v>0</v>
      </c>
      <c r="Q172" s="46">
        <f>'مركز الاتصالات'!Q46</f>
        <v>0</v>
      </c>
      <c r="R172" s="47">
        <f>'مركز الاتصالات'!R46</f>
        <v>0</v>
      </c>
      <c r="S172" s="47"/>
      <c r="T172" s="46">
        <f>'مركز الاتصالات'!T46</f>
        <v>0</v>
      </c>
      <c r="U172" s="46">
        <f>'مركز الاتصالات'!U46</f>
        <v>0</v>
      </c>
      <c r="V172" s="46">
        <f>'مركز الاتصالات'!V46</f>
        <v>0</v>
      </c>
      <c r="W172" s="46">
        <f>'مركز الاتصالات'!W46</f>
        <v>0</v>
      </c>
      <c r="X172" s="46">
        <f>'مركز الاتصالات'!X46</f>
        <v>0</v>
      </c>
      <c r="Y172" s="46">
        <f>'مركز الاتصالات'!Y46</f>
        <v>0</v>
      </c>
      <c r="Z172" s="46">
        <f>'مركز الاتصالات'!Z46</f>
        <v>0</v>
      </c>
      <c r="AA172" s="46">
        <f>'مركز الاتصالات'!AA46</f>
        <v>0</v>
      </c>
      <c r="AB172" s="46">
        <f>'مركز الاتصالات'!AB46</f>
        <v>0</v>
      </c>
      <c r="AC172" s="46">
        <f>'مركز الاتصالات'!AC46</f>
        <v>0</v>
      </c>
      <c r="AD172" s="46">
        <f>'مركز الاتصالات'!AD46</f>
        <v>0</v>
      </c>
      <c r="AE172" s="46">
        <f>'مركز الاتصالات'!AE46</f>
        <v>0</v>
      </c>
      <c r="AF172" s="46">
        <f>'مركز الاتصالات'!AF46</f>
        <v>0</v>
      </c>
      <c r="AG172" s="46">
        <f>'مركز الاتصالات'!AG46</f>
        <v>0</v>
      </c>
      <c r="AH172" s="46">
        <f>'مركز الاتصالات'!AH46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+'مركز الاتصالات'!A47</f>
        <v>0</v>
      </c>
      <c r="B176" s="44">
        <f>+'مركز الاتصالات'!B47</f>
        <v>0</v>
      </c>
      <c r="C176" s="45">
        <f>+'مركز الاتصالات'!C47</f>
        <v>0</v>
      </c>
      <c r="D176" s="45">
        <f>+'مركز الاتصالات'!D47</f>
        <v>0</v>
      </c>
      <c r="E176" s="45">
        <f>+'مركز الاتصالات'!E47</f>
        <v>0</v>
      </c>
      <c r="F176" s="46">
        <f>'مركز الاتصالات'!F47</f>
        <v>0</v>
      </c>
      <c r="G176" s="46">
        <f>'مركز الاتصالات'!G47</f>
        <v>0</v>
      </c>
      <c r="H176" s="46">
        <f>'مركز الاتصالات'!H47</f>
        <v>0</v>
      </c>
      <c r="I176" s="46">
        <f>'مركز الاتصالات'!I47</f>
        <v>0</v>
      </c>
      <c r="J176" s="46">
        <f>'مركز الاتصالات'!J47</f>
        <v>0</v>
      </c>
      <c r="K176" s="46">
        <f>'مركز الاتصالات'!K47</f>
        <v>0</v>
      </c>
      <c r="L176" s="46">
        <f>'مركز الاتصالات'!L47</f>
        <v>0</v>
      </c>
      <c r="M176" s="46">
        <f>'مركز الاتصالات'!M47</f>
        <v>0</v>
      </c>
      <c r="N176" s="46">
        <f>'مركز الاتصالات'!N47</f>
        <v>0</v>
      </c>
      <c r="O176" s="46">
        <f>'مركز الاتصالات'!O47</f>
        <v>0</v>
      </c>
      <c r="P176" s="46">
        <f>'مركز الاتصالات'!P47</f>
        <v>0</v>
      </c>
      <c r="Q176" s="46">
        <f>'مركز الاتصالات'!Q47</f>
        <v>0</v>
      </c>
      <c r="R176" s="47">
        <f>'مركز الاتصالات'!R47</f>
        <v>0</v>
      </c>
      <c r="S176" s="47">
        <f>'مركز الاتصالات'!S47</f>
        <v>0</v>
      </c>
      <c r="T176" s="46">
        <f>'مركز الاتصالات'!T47</f>
        <v>0</v>
      </c>
      <c r="U176" s="46">
        <f>'مركز الاتصالات'!U47</f>
        <v>0</v>
      </c>
      <c r="V176" s="46">
        <f>'مركز الاتصالات'!V47</f>
        <v>0</v>
      </c>
      <c r="W176" s="46">
        <f>'مركز الاتصالات'!W47</f>
        <v>0</v>
      </c>
      <c r="X176" s="46">
        <f>'مركز الاتصالات'!X47</f>
        <v>0</v>
      </c>
      <c r="Y176" s="46">
        <f>'مركز الاتصالات'!Y47</f>
        <v>0</v>
      </c>
      <c r="Z176" s="46">
        <f>'مركز الاتصالات'!Z47</f>
        <v>0</v>
      </c>
      <c r="AA176" s="46">
        <f>'مركز الاتصالات'!AA47</f>
        <v>0</v>
      </c>
      <c r="AB176" s="46">
        <f>'مركز الاتصالات'!AB47</f>
        <v>0</v>
      </c>
      <c r="AC176" s="46">
        <f>'مركز الاتصالات'!AC47</f>
        <v>0</v>
      </c>
      <c r="AD176" s="46">
        <f>'مركز الاتصالات'!AD47</f>
        <v>0</v>
      </c>
      <c r="AE176" s="46">
        <f>'مركز الاتصالات'!AE47</f>
        <v>0</v>
      </c>
      <c r="AF176" s="46">
        <f>'مركز الاتصالات'!AF47</f>
        <v>0</v>
      </c>
      <c r="AG176" s="46">
        <f>'مركز الاتصالات'!AG47</f>
        <v>0</v>
      </c>
      <c r="AH176" s="46">
        <f>'مركز الاتصالات'!AH47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+'مركز الاتصالات'!A48</f>
        <v>0</v>
      </c>
      <c r="B180" s="44">
        <f>+'مركز الاتصالات'!B48</f>
        <v>0</v>
      </c>
      <c r="C180" s="45">
        <f>+'مركز الاتصالات'!C48</f>
        <v>0</v>
      </c>
      <c r="D180" s="45">
        <f>+'مركز الاتصالات'!D48</f>
        <v>0</v>
      </c>
      <c r="E180" s="45">
        <f>+'مركز الاتصالات'!E48</f>
        <v>0</v>
      </c>
      <c r="F180" s="46">
        <f>'مركز الاتصالات'!F48</f>
        <v>0</v>
      </c>
      <c r="G180" s="46">
        <f>'مركز الاتصالات'!G48</f>
        <v>0</v>
      </c>
      <c r="H180" s="46">
        <f>'مركز الاتصالات'!H48</f>
        <v>0</v>
      </c>
      <c r="I180" s="46">
        <f>'مركز الاتصالات'!I48</f>
        <v>0</v>
      </c>
      <c r="J180" s="46">
        <f>'مركز الاتصالات'!J48</f>
        <v>0</v>
      </c>
      <c r="K180" s="46">
        <f>'مركز الاتصالات'!K48</f>
        <v>0</v>
      </c>
      <c r="L180" s="46">
        <f>'مركز الاتصالات'!L48</f>
        <v>0</v>
      </c>
      <c r="M180" s="46">
        <f>'مركز الاتصالات'!M48</f>
        <v>0</v>
      </c>
      <c r="N180" s="46">
        <f>'مركز الاتصالات'!N48</f>
        <v>0</v>
      </c>
      <c r="O180" s="46">
        <f>'مركز الاتصالات'!O48</f>
        <v>0</v>
      </c>
      <c r="P180" s="46">
        <f>'مركز الاتصالات'!P48</f>
        <v>0</v>
      </c>
      <c r="Q180" s="46">
        <f>'مركز الاتصالات'!Q48</f>
        <v>0</v>
      </c>
      <c r="R180" s="47">
        <f>'مركز الاتصالات'!R48</f>
        <v>0</v>
      </c>
      <c r="S180" s="47">
        <f>'مركز الاتصالات'!S48</f>
        <v>0</v>
      </c>
      <c r="T180" s="46">
        <f>'مركز الاتصالات'!T48</f>
        <v>0</v>
      </c>
      <c r="U180" s="46">
        <f>'مركز الاتصالات'!U48</f>
        <v>0</v>
      </c>
      <c r="V180" s="46">
        <f>'مركز الاتصالات'!V48</f>
        <v>0</v>
      </c>
      <c r="W180" s="46">
        <f>'مركز الاتصالات'!W48</f>
        <v>0</v>
      </c>
      <c r="X180" s="46">
        <f>'مركز الاتصالات'!X48</f>
        <v>0</v>
      </c>
      <c r="Y180" s="46">
        <f>'مركز الاتصالات'!Y48</f>
        <v>0</v>
      </c>
      <c r="Z180" s="46">
        <f>'مركز الاتصالات'!Z48</f>
        <v>0</v>
      </c>
      <c r="AA180" s="46">
        <f>'مركز الاتصالات'!AA48</f>
        <v>0</v>
      </c>
      <c r="AB180" s="46">
        <f>'مركز الاتصالات'!AB48</f>
        <v>0</v>
      </c>
      <c r="AC180" s="46">
        <f>'مركز الاتصالات'!AC48</f>
        <v>0</v>
      </c>
      <c r="AD180" s="46">
        <f>'مركز الاتصالات'!AD48</f>
        <v>0</v>
      </c>
      <c r="AE180" s="46">
        <f>'مركز الاتصالات'!AE48</f>
        <v>0</v>
      </c>
      <c r="AF180" s="46">
        <f>'مركز الاتصالات'!AF48</f>
        <v>0</v>
      </c>
      <c r="AG180" s="46">
        <f>'مركز الاتصالات'!AG48</f>
        <v>0</v>
      </c>
      <c r="AH180" s="46">
        <f>'مركز الاتصالات'!AH48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+'مركز الاتصالات'!A49</f>
        <v>0</v>
      </c>
      <c r="B184" s="44">
        <f>+'مركز الاتصالات'!B49</f>
        <v>0</v>
      </c>
      <c r="C184" s="45">
        <f>+'مركز الاتصالات'!C49</f>
        <v>0</v>
      </c>
      <c r="D184" s="45">
        <f>+'مركز الاتصالات'!D49</f>
        <v>0</v>
      </c>
      <c r="E184" s="45">
        <f>+'مركز الاتصالات'!E49</f>
        <v>0</v>
      </c>
      <c r="F184" s="46">
        <f>'مركز الاتصالات'!F49</f>
        <v>0</v>
      </c>
      <c r="G184" s="46">
        <f>'مركز الاتصالات'!G49</f>
        <v>0</v>
      </c>
      <c r="H184" s="46">
        <f>'مركز الاتصالات'!H49</f>
        <v>0</v>
      </c>
      <c r="I184" s="46">
        <f>'مركز الاتصالات'!I49</f>
        <v>0</v>
      </c>
      <c r="J184" s="46">
        <f>'مركز الاتصالات'!J49</f>
        <v>0</v>
      </c>
      <c r="K184" s="46">
        <f>'مركز الاتصالات'!K49</f>
        <v>0</v>
      </c>
      <c r="L184" s="46">
        <f>'مركز الاتصالات'!L49</f>
        <v>0</v>
      </c>
      <c r="M184" s="46">
        <f>'مركز الاتصالات'!M49</f>
        <v>0</v>
      </c>
      <c r="N184" s="46">
        <f>'مركز الاتصالات'!N49</f>
        <v>0</v>
      </c>
      <c r="O184" s="46">
        <f>'مركز الاتصالات'!O49</f>
        <v>0</v>
      </c>
      <c r="P184" s="46">
        <f>'مركز الاتصالات'!P49</f>
        <v>0</v>
      </c>
      <c r="Q184" s="46">
        <f>'مركز الاتصالات'!Q49</f>
        <v>0</v>
      </c>
      <c r="R184" s="47">
        <f>'مركز الاتصالات'!R49</f>
        <v>0</v>
      </c>
      <c r="S184" s="47">
        <f>'مركز الاتصالات'!S49</f>
        <v>0</v>
      </c>
      <c r="T184" s="46">
        <f>'مركز الاتصالات'!T49</f>
        <v>0</v>
      </c>
      <c r="U184" s="46">
        <f>'مركز الاتصالات'!U49</f>
        <v>0</v>
      </c>
      <c r="V184" s="46">
        <f>'مركز الاتصالات'!V49</f>
        <v>0</v>
      </c>
      <c r="W184" s="46">
        <f>'مركز الاتصالات'!W49</f>
        <v>0</v>
      </c>
      <c r="X184" s="46">
        <f>'مركز الاتصالات'!X49</f>
        <v>0</v>
      </c>
      <c r="Y184" s="46">
        <f>'مركز الاتصالات'!Y49</f>
        <v>0</v>
      </c>
      <c r="Z184" s="46">
        <f>'مركز الاتصالات'!Z49</f>
        <v>0</v>
      </c>
      <c r="AA184" s="46">
        <f>'مركز الاتصالات'!AA49</f>
        <v>0</v>
      </c>
      <c r="AB184" s="46">
        <f>'مركز الاتصالات'!AB49</f>
        <v>0</v>
      </c>
      <c r="AC184" s="46">
        <f>'مركز الاتصالات'!AC49</f>
        <v>0</v>
      </c>
      <c r="AD184" s="46">
        <f>'مركز الاتصالات'!AD49</f>
        <v>0</v>
      </c>
      <c r="AE184" s="46">
        <f>'مركز الاتصالات'!AE49</f>
        <v>0</v>
      </c>
      <c r="AF184" s="46">
        <f>'مركز الاتصالات'!AF49</f>
        <v>0</v>
      </c>
      <c r="AG184" s="46">
        <f>'مركز الاتصالات'!AG49</f>
        <v>0</v>
      </c>
      <c r="AH184" s="46">
        <f>'مركز الاتصالات'!AH49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+'مركز الاتصالات'!A50</f>
        <v>0</v>
      </c>
      <c r="B188" s="44">
        <f>+'مركز الاتصالات'!B50</f>
        <v>0</v>
      </c>
      <c r="C188" s="45">
        <f>+'مركز الاتصالات'!C50</f>
        <v>0</v>
      </c>
      <c r="D188" s="45">
        <f>+'مركز الاتصالات'!D50</f>
        <v>0</v>
      </c>
      <c r="E188" s="45">
        <f>+'مركز الاتصالات'!E50</f>
        <v>0</v>
      </c>
      <c r="F188" s="46">
        <f>'مركز الاتصالات'!F50</f>
        <v>0</v>
      </c>
      <c r="G188" s="46">
        <f>'مركز الاتصالات'!G50</f>
        <v>0</v>
      </c>
      <c r="H188" s="46">
        <f>'مركز الاتصالات'!H50</f>
        <v>0</v>
      </c>
      <c r="I188" s="46">
        <f>'مركز الاتصالات'!I50</f>
        <v>0</v>
      </c>
      <c r="J188" s="46">
        <f>'مركز الاتصالات'!J50</f>
        <v>0</v>
      </c>
      <c r="K188" s="46">
        <f>'مركز الاتصالات'!K50</f>
        <v>0</v>
      </c>
      <c r="L188" s="46">
        <f>'مركز الاتصالات'!L50</f>
        <v>0</v>
      </c>
      <c r="M188" s="46">
        <f>'مركز الاتصالات'!M50</f>
        <v>0</v>
      </c>
      <c r="N188" s="46">
        <f>'مركز الاتصالات'!N50</f>
        <v>0</v>
      </c>
      <c r="O188" s="46">
        <f>'مركز الاتصالات'!O50</f>
        <v>0</v>
      </c>
      <c r="P188" s="46">
        <f>'مركز الاتصالات'!P50</f>
        <v>0</v>
      </c>
      <c r="Q188" s="46">
        <f>'مركز الاتصالات'!Q50</f>
        <v>0</v>
      </c>
      <c r="R188" s="47">
        <f>'مركز الاتصالات'!R50</f>
        <v>0</v>
      </c>
      <c r="S188" s="47">
        <f>'مركز الاتصالات'!S50</f>
        <v>0</v>
      </c>
      <c r="T188" s="46">
        <f>'مركز الاتصالات'!T50</f>
        <v>0</v>
      </c>
      <c r="U188" s="46">
        <f>'مركز الاتصالات'!U50</f>
        <v>0</v>
      </c>
      <c r="V188" s="46">
        <f>'مركز الاتصالات'!V50</f>
        <v>0</v>
      </c>
      <c r="W188" s="46">
        <f>'مركز الاتصالات'!W50</f>
        <v>0</v>
      </c>
      <c r="X188" s="46">
        <f>'مركز الاتصالات'!X50</f>
        <v>0</v>
      </c>
      <c r="Y188" s="46">
        <f>'مركز الاتصالات'!Y50</f>
        <v>0</v>
      </c>
      <c r="Z188" s="46">
        <f>'مركز الاتصالات'!Z50</f>
        <v>0</v>
      </c>
      <c r="AA188" s="46">
        <f>'مركز الاتصالات'!AA50</f>
        <v>0</v>
      </c>
      <c r="AB188" s="46">
        <f>'مركز الاتصالات'!AB50</f>
        <v>0</v>
      </c>
      <c r="AC188" s="46">
        <f>'مركز الاتصالات'!AC50</f>
        <v>0</v>
      </c>
      <c r="AD188" s="46">
        <f>'مركز الاتصالات'!AD50</f>
        <v>0</v>
      </c>
      <c r="AE188" s="46">
        <f>'مركز الاتصالات'!AE50</f>
        <v>0</v>
      </c>
      <c r="AF188" s="46">
        <f>'مركز الاتصالات'!AF50</f>
        <v>0</v>
      </c>
      <c r="AG188" s="46">
        <f>'مركز الاتصالات'!AG50</f>
        <v>0</v>
      </c>
      <c r="AH188" s="46">
        <f>'مركز الاتصالات'!AH50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+'مركز الاتصالات'!A51</f>
        <v>0</v>
      </c>
      <c r="B192" s="44">
        <f>+'مركز الاتصالات'!B51</f>
        <v>0</v>
      </c>
      <c r="C192" s="45">
        <f>+'مركز الاتصالات'!C51</f>
        <v>0</v>
      </c>
      <c r="D192" s="45">
        <f>+'مركز الاتصالات'!D51</f>
        <v>0</v>
      </c>
      <c r="E192" s="45">
        <f>+'مركز الاتصالات'!E51</f>
        <v>0</v>
      </c>
      <c r="F192" s="46">
        <f>'مركز الاتصالات'!F51</f>
        <v>0</v>
      </c>
      <c r="G192" s="46">
        <f>'مركز الاتصالات'!G51</f>
        <v>0</v>
      </c>
      <c r="H192" s="46">
        <f>'مركز الاتصالات'!H51</f>
        <v>0</v>
      </c>
      <c r="I192" s="46">
        <f>'مركز الاتصالات'!I51</f>
        <v>0</v>
      </c>
      <c r="J192" s="46">
        <f>'مركز الاتصالات'!J51</f>
        <v>0</v>
      </c>
      <c r="K192" s="46">
        <f>'مركز الاتصالات'!K51</f>
        <v>0</v>
      </c>
      <c r="L192" s="46">
        <f>'مركز الاتصالات'!L51</f>
        <v>0</v>
      </c>
      <c r="M192" s="46">
        <f>'مركز الاتصالات'!M51</f>
        <v>0</v>
      </c>
      <c r="N192" s="46">
        <f>'مركز الاتصالات'!N51</f>
        <v>0</v>
      </c>
      <c r="O192" s="46">
        <f>'مركز الاتصالات'!O51</f>
        <v>0</v>
      </c>
      <c r="P192" s="46">
        <f>'مركز الاتصالات'!P51</f>
        <v>0</v>
      </c>
      <c r="Q192" s="46">
        <f>'مركز الاتصالات'!Q51</f>
        <v>0</v>
      </c>
      <c r="R192" s="47">
        <f>'مركز الاتصالات'!R51</f>
        <v>0</v>
      </c>
      <c r="S192" s="47">
        <f>'مركز الاتصالات'!S51</f>
        <v>0</v>
      </c>
      <c r="T192" s="46">
        <f>'مركز الاتصالات'!T51</f>
        <v>0</v>
      </c>
      <c r="U192" s="46">
        <f>'مركز الاتصالات'!U51</f>
        <v>0</v>
      </c>
      <c r="V192" s="46">
        <f>'مركز الاتصالات'!V51</f>
        <v>0</v>
      </c>
      <c r="W192" s="46">
        <f>'مركز الاتصالات'!W51</f>
        <v>0</v>
      </c>
      <c r="X192" s="46">
        <f>'مركز الاتصالات'!X51</f>
        <v>0</v>
      </c>
      <c r="Y192" s="46">
        <f>'مركز الاتصالات'!Y51</f>
        <v>0</v>
      </c>
      <c r="Z192" s="46">
        <f>'مركز الاتصالات'!Z51</f>
        <v>0</v>
      </c>
      <c r="AA192" s="46">
        <f>'مركز الاتصالات'!AA51</f>
        <v>0</v>
      </c>
      <c r="AB192" s="46">
        <f>'مركز الاتصالات'!AB51</f>
        <v>0</v>
      </c>
      <c r="AC192" s="46">
        <f>'مركز الاتصالات'!AC51</f>
        <v>0</v>
      </c>
      <c r="AD192" s="46">
        <f>'مركز الاتصالات'!AD51</f>
        <v>0</v>
      </c>
      <c r="AE192" s="46">
        <f>'مركز الاتصالات'!AE51</f>
        <v>0</v>
      </c>
      <c r="AF192" s="46">
        <f>'مركز الاتصالات'!AF51</f>
        <v>0</v>
      </c>
      <c r="AG192" s="46">
        <f>'مركز الاتصالات'!AG51</f>
        <v>0</v>
      </c>
      <c r="AH192" s="46">
        <f>'مركز الاتصالات'!AH51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+'مركز الاتصالات'!A52</f>
        <v>0</v>
      </c>
      <c r="B196" s="44">
        <f>+'مركز الاتصالات'!B52</f>
        <v>0</v>
      </c>
      <c r="C196" s="45">
        <f>+'مركز الاتصالات'!C52</f>
        <v>0</v>
      </c>
      <c r="D196" s="45">
        <f>+'مركز الاتصالات'!D52</f>
        <v>0</v>
      </c>
      <c r="E196" s="45">
        <f>+'مركز الاتصالات'!E52</f>
        <v>0</v>
      </c>
      <c r="F196" s="46">
        <f>'مركز الاتصالات'!F52</f>
        <v>0</v>
      </c>
      <c r="G196" s="46">
        <f>'مركز الاتصالات'!G52</f>
        <v>0</v>
      </c>
      <c r="H196" s="46">
        <f>'مركز الاتصالات'!H52</f>
        <v>0</v>
      </c>
      <c r="I196" s="46">
        <f>'مركز الاتصالات'!I52</f>
        <v>0</v>
      </c>
      <c r="J196" s="46">
        <f>'مركز الاتصالات'!J52</f>
        <v>0</v>
      </c>
      <c r="K196" s="46">
        <f>'مركز الاتصالات'!K52</f>
        <v>0</v>
      </c>
      <c r="L196" s="46">
        <f>'مركز الاتصالات'!L52</f>
        <v>0</v>
      </c>
      <c r="M196" s="46">
        <f>'مركز الاتصالات'!M52</f>
        <v>0</v>
      </c>
      <c r="N196" s="46">
        <f>'مركز الاتصالات'!N52</f>
        <v>0</v>
      </c>
      <c r="O196" s="46">
        <f>'مركز الاتصالات'!O52</f>
        <v>0</v>
      </c>
      <c r="P196" s="46">
        <f>'مركز الاتصالات'!P52</f>
        <v>0</v>
      </c>
      <c r="Q196" s="46">
        <f>'مركز الاتصالات'!Q52</f>
        <v>0</v>
      </c>
      <c r="R196" s="47">
        <f>'مركز الاتصالات'!R52</f>
        <v>0</v>
      </c>
      <c r="S196" s="47">
        <f>'مركز الاتصالات'!S52</f>
        <v>0</v>
      </c>
      <c r="T196" s="46">
        <f>'مركز الاتصالات'!T52</f>
        <v>0</v>
      </c>
      <c r="U196" s="46">
        <f>'مركز الاتصالات'!U52</f>
        <v>0</v>
      </c>
      <c r="V196" s="46">
        <f>'مركز الاتصالات'!V52</f>
        <v>0</v>
      </c>
      <c r="W196" s="46">
        <f>'مركز الاتصالات'!W52</f>
        <v>0</v>
      </c>
      <c r="X196" s="46">
        <f>'مركز الاتصالات'!X52</f>
        <v>0</v>
      </c>
      <c r="Y196" s="46">
        <f>'مركز الاتصالات'!Y52</f>
        <v>0</v>
      </c>
      <c r="Z196" s="46">
        <f>'مركز الاتصالات'!Z52</f>
        <v>0</v>
      </c>
      <c r="AA196" s="46">
        <f>'مركز الاتصالات'!AA52</f>
        <v>0</v>
      </c>
      <c r="AB196" s="46">
        <f>'مركز الاتصالات'!AB52</f>
        <v>0</v>
      </c>
      <c r="AC196" s="46">
        <f>'مركز الاتصالات'!AC52</f>
        <v>0</v>
      </c>
      <c r="AD196" s="46">
        <f>'مركز الاتصالات'!AD52</f>
        <v>0</v>
      </c>
      <c r="AE196" s="46">
        <f>'مركز الاتصالات'!AE52</f>
        <v>0</v>
      </c>
      <c r="AF196" s="46">
        <f>'مركز الاتصالات'!AF52</f>
        <v>0</v>
      </c>
      <c r="AG196" s="46">
        <f>'مركز الاتصالات'!AG52</f>
        <v>0</v>
      </c>
      <c r="AH196" s="46">
        <f>'مركز الاتصالات'!AH52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+'مركز الاتصالات'!A53</f>
        <v>0</v>
      </c>
      <c r="B200" s="44">
        <f>+'مركز الاتصالات'!B53</f>
        <v>0</v>
      </c>
      <c r="C200" s="45">
        <f>+'مركز الاتصالات'!C53</f>
        <v>0</v>
      </c>
      <c r="D200" s="45">
        <f>+'مركز الاتصالات'!D53</f>
        <v>0</v>
      </c>
      <c r="E200" s="45">
        <f>+'مركز الاتصالات'!E53</f>
        <v>0</v>
      </c>
      <c r="F200" s="46">
        <f>'مركز الاتصالات'!F53</f>
        <v>0</v>
      </c>
      <c r="G200" s="46">
        <f>'مركز الاتصالات'!G53</f>
        <v>0</v>
      </c>
      <c r="H200" s="46">
        <f>'مركز الاتصالات'!H53</f>
        <v>0</v>
      </c>
      <c r="I200" s="46">
        <f>'مركز الاتصالات'!I53</f>
        <v>0</v>
      </c>
      <c r="J200" s="46">
        <f>'مركز الاتصالات'!J53</f>
        <v>0</v>
      </c>
      <c r="K200" s="46">
        <f>'مركز الاتصالات'!K53</f>
        <v>0</v>
      </c>
      <c r="L200" s="46">
        <f>'مركز الاتصالات'!L53</f>
        <v>0</v>
      </c>
      <c r="M200" s="46">
        <f>'مركز الاتصالات'!M53</f>
        <v>0</v>
      </c>
      <c r="N200" s="46">
        <f>'مركز الاتصالات'!N53</f>
        <v>0</v>
      </c>
      <c r="O200" s="46">
        <f>'مركز الاتصالات'!O53</f>
        <v>0</v>
      </c>
      <c r="P200" s="46">
        <f>'مركز الاتصالات'!P53</f>
        <v>0</v>
      </c>
      <c r="Q200" s="46">
        <f>'مركز الاتصالات'!Q53</f>
        <v>0</v>
      </c>
      <c r="R200" s="47">
        <f>'مركز الاتصالات'!R53</f>
        <v>0</v>
      </c>
      <c r="S200" s="47">
        <f>'مركز الاتصالات'!S53</f>
        <v>0</v>
      </c>
      <c r="T200" s="46">
        <f>'مركز الاتصالات'!T53</f>
        <v>0</v>
      </c>
      <c r="U200" s="46">
        <f>'مركز الاتصالات'!U53</f>
        <v>0</v>
      </c>
      <c r="V200" s="46">
        <f>'مركز الاتصالات'!V53</f>
        <v>0</v>
      </c>
      <c r="W200" s="46">
        <f>'مركز الاتصالات'!W53</f>
        <v>0</v>
      </c>
      <c r="X200" s="46">
        <f>'مركز الاتصالات'!X53</f>
        <v>0</v>
      </c>
      <c r="Y200" s="46">
        <f>'مركز الاتصالات'!Y53</f>
        <v>0</v>
      </c>
      <c r="Z200" s="46">
        <f>'مركز الاتصالات'!Z53</f>
        <v>0</v>
      </c>
      <c r="AA200" s="46">
        <f>'مركز الاتصالات'!AA53</f>
        <v>0</v>
      </c>
      <c r="AB200" s="46">
        <f>'مركز الاتصالات'!AB53</f>
        <v>0</v>
      </c>
      <c r="AC200" s="46">
        <f>'مركز الاتصالات'!AC53</f>
        <v>0</v>
      </c>
      <c r="AD200" s="46">
        <f>'مركز الاتصالات'!AD53</f>
        <v>0</v>
      </c>
      <c r="AE200" s="46">
        <f>'مركز الاتصالات'!AE53</f>
        <v>0</v>
      </c>
      <c r="AF200" s="46">
        <f>'مركز الاتصالات'!AF53</f>
        <v>0</v>
      </c>
      <c r="AG200" s="46">
        <f>'مركز الاتصالات'!AG53</f>
        <v>0</v>
      </c>
      <c r="AH200" s="46">
        <f>'مركز الاتصالات'!AH53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+'مركز الاتصالات'!A54</f>
        <v>0</v>
      </c>
      <c r="B204" s="44">
        <f>+'مركز الاتصالات'!B54</f>
        <v>0</v>
      </c>
      <c r="C204" s="45">
        <f>+'مركز الاتصالات'!C54</f>
        <v>0</v>
      </c>
      <c r="D204" s="45">
        <f>+'مركز الاتصالات'!D54</f>
        <v>0</v>
      </c>
      <c r="E204" s="45">
        <f>+'مركز الاتصالات'!E54</f>
        <v>0</v>
      </c>
      <c r="F204" s="46">
        <f>'مركز الاتصالات'!F54</f>
        <v>0</v>
      </c>
      <c r="G204" s="46">
        <f>'مركز الاتصالات'!G54</f>
        <v>0</v>
      </c>
      <c r="H204" s="46">
        <f>'مركز الاتصالات'!H54</f>
        <v>0</v>
      </c>
      <c r="I204" s="46">
        <f>'مركز الاتصالات'!I54</f>
        <v>0</v>
      </c>
      <c r="J204" s="46">
        <f>'مركز الاتصالات'!J54</f>
        <v>0</v>
      </c>
      <c r="K204" s="46">
        <f>'مركز الاتصالات'!K54</f>
        <v>0</v>
      </c>
      <c r="L204" s="46">
        <f>'مركز الاتصالات'!L54</f>
        <v>0</v>
      </c>
      <c r="M204" s="46">
        <f>'مركز الاتصالات'!M54</f>
        <v>0</v>
      </c>
      <c r="N204" s="46">
        <f>'مركز الاتصالات'!N54</f>
        <v>0</v>
      </c>
      <c r="O204" s="46">
        <f>'مركز الاتصالات'!O54</f>
        <v>0</v>
      </c>
      <c r="P204" s="46">
        <f>'مركز الاتصالات'!P54</f>
        <v>0</v>
      </c>
      <c r="Q204" s="46">
        <f>'مركز الاتصالات'!Q54</f>
        <v>0</v>
      </c>
      <c r="R204" s="47">
        <f>'مركز الاتصالات'!R54</f>
        <v>0</v>
      </c>
      <c r="S204" s="47">
        <f>'مركز الاتصالات'!S54</f>
        <v>0</v>
      </c>
      <c r="T204" s="46">
        <f>'مركز الاتصالات'!T54</f>
        <v>0</v>
      </c>
      <c r="U204" s="46">
        <f>'مركز الاتصالات'!U54</f>
        <v>0</v>
      </c>
      <c r="V204" s="46">
        <f>'مركز الاتصالات'!V54</f>
        <v>0</v>
      </c>
      <c r="W204" s="46">
        <f>'مركز الاتصالات'!W54</f>
        <v>0</v>
      </c>
      <c r="X204" s="46">
        <f>'مركز الاتصالات'!X54</f>
        <v>0</v>
      </c>
      <c r="Y204" s="46">
        <f>'مركز الاتصالات'!Y54</f>
        <v>0</v>
      </c>
      <c r="Z204" s="46">
        <f>'مركز الاتصالات'!Z54</f>
        <v>0</v>
      </c>
      <c r="AA204" s="46">
        <f>'مركز الاتصالات'!AA54</f>
        <v>0</v>
      </c>
      <c r="AB204" s="46">
        <f>'مركز الاتصالات'!AB54</f>
        <v>0</v>
      </c>
      <c r="AC204" s="46">
        <f>'مركز الاتصالات'!AC54</f>
        <v>0</v>
      </c>
      <c r="AD204" s="46">
        <f>'مركز الاتصالات'!AD54</f>
        <v>0</v>
      </c>
      <c r="AE204" s="46">
        <f>'مركز الاتصالات'!AE54</f>
        <v>0</v>
      </c>
      <c r="AF204" s="46">
        <f>'مركز الاتصالات'!AF54</f>
        <v>0</v>
      </c>
      <c r="AG204" s="46">
        <f>'مركز الاتصالات'!AG54</f>
        <v>0</v>
      </c>
      <c r="AH204" s="46">
        <f>'مركز الاتصالات'!AH54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+'مركز الاتصالات'!A55</f>
        <v>0</v>
      </c>
      <c r="B208" s="44">
        <f>+'مركز الاتصالات'!B55</f>
        <v>0</v>
      </c>
      <c r="C208" s="45">
        <f>+'مركز الاتصالات'!C55</f>
        <v>0</v>
      </c>
      <c r="D208" s="45">
        <f>+'مركز الاتصالات'!D55</f>
        <v>0</v>
      </c>
      <c r="E208" s="45">
        <f>+'مركز الاتصالات'!E55</f>
        <v>0</v>
      </c>
      <c r="F208" s="46">
        <f>'مركز الاتصالات'!F55</f>
        <v>0</v>
      </c>
      <c r="G208" s="46">
        <f>'مركز الاتصالات'!G55</f>
        <v>0</v>
      </c>
      <c r="H208" s="46">
        <f>'مركز الاتصالات'!H55</f>
        <v>0</v>
      </c>
      <c r="I208" s="46">
        <f>'مركز الاتصالات'!I55</f>
        <v>0</v>
      </c>
      <c r="J208" s="46">
        <f>'مركز الاتصالات'!J55</f>
        <v>0</v>
      </c>
      <c r="K208" s="46">
        <f>'مركز الاتصالات'!K55</f>
        <v>0</v>
      </c>
      <c r="L208" s="46">
        <f>'مركز الاتصالات'!L55</f>
        <v>0</v>
      </c>
      <c r="M208" s="46">
        <f>'مركز الاتصالات'!M55</f>
        <v>0</v>
      </c>
      <c r="N208" s="46">
        <f>'مركز الاتصالات'!N55</f>
        <v>0</v>
      </c>
      <c r="O208" s="46">
        <f>'مركز الاتصالات'!O55</f>
        <v>0</v>
      </c>
      <c r="P208" s="46">
        <f>'مركز الاتصالات'!P55</f>
        <v>0</v>
      </c>
      <c r="Q208" s="46">
        <f>'مركز الاتصالات'!Q55</f>
        <v>0</v>
      </c>
      <c r="R208" s="47">
        <f>'مركز الاتصالات'!R55</f>
        <v>0</v>
      </c>
      <c r="S208" s="47">
        <f>'مركز الاتصالات'!S55</f>
        <v>0</v>
      </c>
      <c r="T208" s="46">
        <f>'مركز الاتصالات'!T55</f>
        <v>0</v>
      </c>
      <c r="U208" s="46">
        <f>'مركز الاتصالات'!U55</f>
        <v>0</v>
      </c>
      <c r="V208" s="46">
        <f>'مركز الاتصالات'!V55</f>
        <v>0</v>
      </c>
      <c r="W208" s="46">
        <f>'مركز الاتصالات'!W55</f>
        <v>0</v>
      </c>
      <c r="X208" s="46">
        <f>'مركز الاتصالات'!X55</f>
        <v>0</v>
      </c>
      <c r="Y208" s="46">
        <f>'مركز الاتصالات'!Y55</f>
        <v>0</v>
      </c>
      <c r="Z208" s="46">
        <f>'مركز الاتصالات'!Z55</f>
        <v>0</v>
      </c>
      <c r="AA208" s="46">
        <f>'مركز الاتصالات'!AA55</f>
        <v>0</v>
      </c>
      <c r="AB208" s="46">
        <f>'مركز الاتصالات'!AB55</f>
        <v>0</v>
      </c>
      <c r="AC208" s="46">
        <f>'مركز الاتصالات'!AC55</f>
        <v>0</v>
      </c>
      <c r="AD208" s="46">
        <f>'مركز الاتصالات'!AD55</f>
        <v>0</v>
      </c>
      <c r="AE208" s="46">
        <f>'مركز الاتصالات'!AE55</f>
        <v>0</v>
      </c>
      <c r="AF208" s="46">
        <f>'مركز الاتصالات'!AF55</f>
        <v>0</v>
      </c>
      <c r="AG208" s="46">
        <f>'مركز الاتصالات'!AG55</f>
        <v>0</v>
      </c>
      <c r="AH208" s="46">
        <f>'مركز الاتصالات'!AH55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+'مركز الاتصالات'!A56</f>
        <v>0</v>
      </c>
      <c r="B212" s="44">
        <f>+'مركز الاتصالات'!B56</f>
        <v>0</v>
      </c>
      <c r="C212" s="45">
        <f>+'مركز الاتصالات'!C56</f>
        <v>0</v>
      </c>
      <c r="D212" s="45">
        <f>+'مركز الاتصالات'!D56</f>
        <v>0</v>
      </c>
      <c r="E212" s="45">
        <f>+'مركز الاتصالات'!E56</f>
        <v>0</v>
      </c>
      <c r="F212" s="46">
        <f>'مركز الاتصالات'!F56</f>
        <v>0</v>
      </c>
      <c r="G212" s="46">
        <f>'مركز الاتصالات'!G56</f>
        <v>0</v>
      </c>
      <c r="H212" s="46">
        <f>'مركز الاتصالات'!H56</f>
        <v>0</v>
      </c>
      <c r="I212" s="46">
        <f>'مركز الاتصالات'!I56</f>
        <v>0</v>
      </c>
      <c r="J212" s="46">
        <f>'مركز الاتصالات'!J56</f>
        <v>0</v>
      </c>
      <c r="K212" s="46">
        <f>'مركز الاتصالات'!K56</f>
        <v>0</v>
      </c>
      <c r="L212" s="46">
        <f>'مركز الاتصالات'!L56</f>
        <v>0</v>
      </c>
      <c r="M212" s="46">
        <f>'مركز الاتصالات'!M56</f>
        <v>0</v>
      </c>
      <c r="N212" s="46">
        <f>'مركز الاتصالات'!N56</f>
        <v>0</v>
      </c>
      <c r="O212" s="46">
        <f>'مركز الاتصالات'!O56</f>
        <v>0</v>
      </c>
      <c r="P212" s="46">
        <f>'مركز الاتصالات'!P56</f>
        <v>0</v>
      </c>
      <c r="Q212" s="46">
        <f>'مركز الاتصالات'!Q56</f>
        <v>0</v>
      </c>
      <c r="R212" s="47">
        <f>'مركز الاتصالات'!R56</f>
        <v>0</v>
      </c>
      <c r="S212" s="47"/>
      <c r="T212" s="46">
        <f>'مركز الاتصالات'!T56</f>
        <v>0</v>
      </c>
      <c r="U212" s="46">
        <f>'مركز الاتصالات'!U56</f>
        <v>0</v>
      </c>
      <c r="V212" s="46">
        <f>'مركز الاتصالات'!V56</f>
        <v>0</v>
      </c>
      <c r="W212" s="46">
        <f>'مركز الاتصالات'!W56</f>
        <v>0</v>
      </c>
      <c r="X212" s="46">
        <f>'مركز الاتصالات'!X56</f>
        <v>0</v>
      </c>
      <c r="Y212" s="46">
        <f>'مركز الاتصالات'!Y56</f>
        <v>0</v>
      </c>
      <c r="Z212" s="46">
        <f>'مركز الاتصالات'!Z56</f>
        <v>0</v>
      </c>
      <c r="AA212" s="46">
        <f>'مركز الاتصالات'!AA56</f>
        <v>0</v>
      </c>
      <c r="AB212" s="46">
        <f>'مركز الاتصالات'!AB56</f>
        <v>0</v>
      </c>
      <c r="AC212" s="46">
        <f>'مركز الاتصالات'!AC56</f>
        <v>0</v>
      </c>
      <c r="AD212" s="46">
        <f>'مركز الاتصالات'!AD56</f>
        <v>0</v>
      </c>
      <c r="AE212" s="46">
        <f>'مركز الاتصالات'!AE56</f>
        <v>0</v>
      </c>
      <c r="AF212" s="46">
        <f>'مركز الاتصالات'!AF56</f>
        <v>0</v>
      </c>
      <c r="AG212" s="46">
        <f>'مركز الاتصالات'!AG56</f>
        <v>0</v>
      </c>
      <c r="AH212" s="46">
        <f>'مركز الاتصالات'!AH56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+'مركز الاتصالات'!A57</f>
        <v>0</v>
      </c>
      <c r="B216" s="44">
        <f>+'مركز الاتصالات'!B57</f>
        <v>0</v>
      </c>
      <c r="C216" s="45">
        <f>+'مركز الاتصالات'!C57</f>
        <v>0</v>
      </c>
      <c r="D216" s="45">
        <f>+'مركز الاتصالات'!D57</f>
        <v>0</v>
      </c>
      <c r="E216" s="45">
        <f>+'مركز الاتصالات'!E57</f>
        <v>0</v>
      </c>
      <c r="F216" s="46">
        <f>'مركز الاتصالات'!F57</f>
        <v>0</v>
      </c>
      <c r="G216" s="46">
        <f>'مركز الاتصالات'!G57</f>
        <v>0</v>
      </c>
      <c r="H216" s="46">
        <f>'مركز الاتصالات'!H57</f>
        <v>0</v>
      </c>
      <c r="I216" s="46">
        <f>'مركز الاتصالات'!I57</f>
        <v>0</v>
      </c>
      <c r="J216" s="46">
        <f>'مركز الاتصالات'!J57</f>
        <v>0</v>
      </c>
      <c r="K216" s="46">
        <f>'مركز الاتصالات'!K57</f>
        <v>0</v>
      </c>
      <c r="L216" s="46">
        <f>'مركز الاتصالات'!L57</f>
        <v>0</v>
      </c>
      <c r="M216" s="46">
        <f>'مركز الاتصالات'!M57</f>
        <v>0</v>
      </c>
      <c r="N216" s="46">
        <f>'مركز الاتصالات'!N57</f>
        <v>0</v>
      </c>
      <c r="O216" s="46">
        <f>'مركز الاتصالات'!O57</f>
        <v>0</v>
      </c>
      <c r="P216" s="46">
        <f>'مركز الاتصالات'!P57</f>
        <v>0</v>
      </c>
      <c r="Q216" s="46">
        <f>'مركز الاتصالات'!Q57</f>
        <v>0</v>
      </c>
      <c r="R216" s="47">
        <f>'مركز الاتصالات'!R57</f>
        <v>0</v>
      </c>
      <c r="S216" s="47">
        <f>'مركز الاتصالات'!S57</f>
        <v>0</v>
      </c>
      <c r="T216" s="46">
        <f>'مركز الاتصالات'!T57</f>
        <v>0</v>
      </c>
      <c r="U216" s="46">
        <f>'مركز الاتصالات'!U57</f>
        <v>0</v>
      </c>
      <c r="V216" s="46">
        <f>'مركز الاتصالات'!V57</f>
        <v>0</v>
      </c>
      <c r="W216" s="46">
        <f>'مركز الاتصالات'!W57</f>
        <v>0</v>
      </c>
      <c r="X216" s="46">
        <f>'مركز الاتصالات'!X57</f>
        <v>0</v>
      </c>
      <c r="Y216" s="46">
        <f>'مركز الاتصالات'!Y57</f>
        <v>0</v>
      </c>
      <c r="Z216" s="46">
        <f>'مركز الاتصالات'!Z57</f>
        <v>0</v>
      </c>
      <c r="AA216" s="46">
        <f>'مركز الاتصالات'!AA57</f>
        <v>0</v>
      </c>
      <c r="AB216" s="46">
        <f>'مركز الاتصالات'!AB57</f>
        <v>0</v>
      </c>
      <c r="AC216" s="46">
        <f>'مركز الاتصالات'!AC57</f>
        <v>0</v>
      </c>
      <c r="AD216" s="46">
        <f>'مركز الاتصالات'!AD57</f>
        <v>0</v>
      </c>
      <c r="AE216" s="46">
        <f>'مركز الاتصالات'!AE57</f>
        <v>0</v>
      </c>
      <c r="AF216" s="46">
        <f>'مركز الاتصالات'!AF57</f>
        <v>0</v>
      </c>
      <c r="AG216" s="46">
        <f>'مركز الاتصالات'!AG57</f>
        <v>0</v>
      </c>
      <c r="AH216" s="46">
        <f>'مركز الاتصالات'!AH57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+'مركز الاتصالات'!A58</f>
        <v>0</v>
      </c>
      <c r="B220" s="44">
        <f>+'مركز الاتصالات'!B58</f>
        <v>0</v>
      </c>
      <c r="C220" s="45">
        <f>+'مركز الاتصالات'!C58</f>
        <v>0</v>
      </c>
      <c r="D220" s="45">
        <f>+'مركز الاتصالات'!D58</f>
        <v>0</v>
      </c>
      <c r="E220" s="45">
        <f>+'مركز الاتصالات'!E58</f>
        <v>0</v>
      </c>
      <c r="F220" s="46">
        <f>'مركز الاتصالات'!F58</f>
        <v>0</v>
      </c>
      <c r="G220" s="46">
        <f>'مركز الاتصالات'!G58</f>
        <v>0</v>
      </c>
      <c r="H220" s="46">
        <f>'مركز الاتصالات'!H58</f>
        <v>0</v>
      </c>
      <c r="I220" s="46">
        <f>'مركز الاتصالات'!I58</f>
        <v>0</v>
      </c>
      <c r="J220" s="46">
        <f>'مركز الاتصالات'!J58</f>
        <v>0</v>
      </c>
      <c r="K220" s="46">
        <f>'مركز الاتصالات'!K58</f>
        <v>0</v>
      </c>
      <c r="L220" s="46">
        <f>'مركز الاتصالات'!L58</f>
        <v>0</v>
      </c>
      <c r="M220" s="46">
        <f>'مركز الاتصالات'!M58</f>
        <v>0</v>
      </c>
      <c r="N220" s="46">
        <f>'مركز الاتصالات'!N58</f>
        <v>0</v>
      </c>
      <c r="O220" s="46">
        <f>'مركز الاتصالات'!O58</f>
        <v>0</v>
      </c>
      <c r="P220" s="46">
        <f>'مركز الاتصالات'!P58</f>
        <v>0</v>
      </c>
      <c r="Q220" s="46">
        <f>'مركز الاتصالات'!Q58</f>
        <v>0</v>
      </c>
      <c r="R220" s="47">
        <f>'مركز الاتصالات'!R58</f>
        <v>0</v>
      </c>
      <c r="S220" s="47">
        <f>'مركز الاتصالات'!S58</f>
        <v>0</v>
      </c>
      <c r="T220" s="46">
        <f>'مركز الاتصالات'!T58</f>
        <v>0</v>
      </c>
      <c r="U220" s="46">
        <f>'مركز الاتصالات'!U58</f>
        <v>0</v>
      </c>
      <c r="V220" s="46">
        <f>'مركز الاتصالات'!V58</f>
        <v>0</v>
      </c>
      <c r="W220" s="46">
        <f>'مركز الاتصالات'!W58</f>
        <v>0</v>
      </c>
      <c r="X220" s="46">
        <f>'مركز الاتصالات'!X58</f>
        <v>0</v>
      </c>
      <c r="Y220" s="46">
        <f>'مركز الاتصالات'!Y58</f>
        <v>0</v>
      </c>
      <c r="Z220" s="46">
        <f>'مركز الاتصالات'!Z58</f>
        <v>0</v>
      </c>
      <c r="AA220" s="46">
        <f>'مركز الاتصالات'!AA58</f>
        <v>0</v>
      </c>
      <c r="AB220" s="46">
        <f>'مركز الاتصالات'!AB58</f>
        <v>0</v>
      </c>
      <c r="AC220" s="46">
        <f>'مركز الاتصالات'!AC58</f>
        <v>0</v>
      </c>
      <c r="AD220" s="46">
        <f>'مركز الاتصالات'!AD58</f>
        <v>0</v>
      </c>
      <c r="AE220" s="46">
        <f>'مركز الاتصالات'!AE58</f>
        <v>0</v>
      </c>
      <c r="AF220" s="46">
        <f>'مركز الاتصالات'!AF58</f>
        <v>0</v>
      </c>
      <c r="AG220" s="46">
        <f>'مركز الاتصالات'!AG58</f>
        <v>0</v>
      </c>
      <c r="AH220" s="46">
        <f>'مركز الاتصالات'!AH58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+'مركز الاتصالات'!A59</f>
        <v>0</v>
      </c>
      <c r="B224" s="44">
        <f>+'مركز الاتصالات'!B59</f>
        <v>0</v>
      </c>
      <c r="C224" s="45">
        <f>+'مركز الاتصالات'!C59</f>
        <v>0</v>
      </c>
      <c r="D224" s="45">
        <f>+'مركز الاتصالات'!D59</f>
        <v>0</v>
      </c>
      <c r="E224" s="45">
        <f>+'مركز الاتصالات'!E59</f>
        <v>0</v>
      </c>
      <c r="F224" s="46">
        <f>'مركز الاتصالات'!F59</f>
        <v>0</v>
      </c>
      <c r="G224" s="46">
        <f>'مركز الاتصالات'!G59</f>
        <v>0</v>
      </c>
      <c r="H224" s="46">
        <f>'مركز الاتصالات'!H59</f>
        <v>0</v>
      </c>
      <c r="I224" s="46">
        <f>'مركز الاتصالات'!I59</f>
        <v>0</v>
      </c>
      <c r="J224" s="46">
        <f>'مركز الاتصالات'!J59</f>
        <v>0</v>
      </c>
      <c r="K224" s="46">
        <f>'مركز الاتصالات'!K59</f>
        <v>0</v>
      </c>
      <c r="L224" s="46">
        <f>'مركز الاتصالات'!L59</f>
        <v>0</v>
      </c>
      <c r="M224" s="46">
        <f>'مركز الاتصالات'!M59</f>
        <v>0</v>
      </c>
      <c r="N224" s="46">
        <f>'مركز الاتصالات'!N59</f>
        <v>0</v>
      </c>
      <c r="O224" s="46">
        <f>'مركز الاتصالات'!O59</f>
        <v>0</v>
      </c>
      <c r="P224" s="46">
        <f>'مركز الاتصالات'!P59</f>
        <v>0</v>
      </c>
      <c r="Q224" s="46">
        <f>'مركز الاتصالات'!Q59</f>
        <v>0</v>
      </c>
      <c r="R224" s="47">
        <f>'مركز الاتصالات'!R59</f>
        <v>0</v>
      </c>
      <c r="S224" s="47"/>
      <c r="T224" s="46">
        <f>'مركز الاتصالات'!T59</f>
        <v>0</v>
      </c>
      <c r="U224" s="46">
        <f>'مركز الاتصالات'!U59</f>
        <v>0</v>
      </c>
      <c r="V224" s="46">
        <f>'مركز الاتصالات'!V59</f>
        <v>0</v>
      </c>
      <c r="W224" s="46">
        <f>'مركز الاتصالات'!W59</f>
        <v>0</v>
      </c>
      <c r="X224" s="46">
        <f>'مركز الاتصالات'!X59</f>
        <v>0</v>
      </c>
      <c r="Y224" s="46">
        <f>'مركز الاتصالات'!Y59</f>
        <v>0</v>
      </c>
      <c r="Z224" s="46">
        <f>'مركز الاتصالات'!Z59</f>
        <v>0</v>
      </c>
      <c r="AA224" s="46">
        <f>'مركز الاتصالات'!AA59</f>
        <v>0</v>
      </c>
      <c r="AB224" s="46">
        <f>'مركز الاتصالات'!AB59</f>
        <v>0</v>
      </c>
      <c r="AC224" s="46">
        <f>'مركز الاتصالات'!AC59</f>
        <v>0</v>
      </c>
      <c r="AD224" s="46">
        <f>'مركز الاتصالات'!AD59</f>
        <v>0</v>
      </c>
      <c r="AE224" s="46">
        <f>'مركز الاتصالات'!AE59</f>
        <v>0</v>
      </c>
      <c r="AF224" s="46">
        <f>'مركز الاتصالات'!AF59</f>
        <v>0</v>
      </c>
      <c r="AG224" s="46">
        <f>'مركز الاتصالات'!AG59</f>
        <v>0</v>
      </c>
      <c r="AH224" s="46">
        <f>'مركز الاتصالات'!AH59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+'مركز الاتصالات'!A60</f>
        <v>0</v>
      </c>
      <c r="B228" s="44">
        <f>+'مركز الاتصالات'!B60</f>
        <v>0</v>
      </c>
      <c r="C228" s="45">
        <f>+'مركز الاتصالات'!C60</f>
        <v>0</v>
      </c>
      <c r="D228" s="45">
        <f>+'مركز الاتصالات'!D60</f>
        <v>0</v>
      </c>
      <c r="E228" s="45">
        <f>+'مركز الاتصالات'!E60</f>
        <v>0</v>
      </c>
      <c r="F228" s="46">
        <f>'مركز الاتصالات'!F60</f>
        <v>0</v>
      </c>
      <c r="G228" s="46">
        <f>'مركز الاتصالات'!G60</f>
        <v>0</v>
      </c>
      <c r="H228" s="46">
        <f>'مركز الاتصالات'!H60</f>
        <v>0</v>
      </c>
      <c r="I228" s="46">
        <f>'مركز الاتصالات'!I60</f>
        <v>0</v>
      </c>
      <c r="J228" s="46">
        <f>'مركز الاتصالات'!J60</f>
        <v>0</v>
      </c>
      <c r="K228" s="46">
        <f>'مركز الاتصالات'!K60</f>
        <v>0</v>
      </c>
      <c r="L228" s="46">
        <f>'مركز الاتصالات'!L60</f>
        <v>0</v>
      </c>
      <c r="M228" s="46">
        <f>'مركز الاتصالات'!M60</f>
        <v>0</v>
      </c>
      <c r="N228" s="46">
        <f>'مركز الاتصالات'!N60</f>
        <v>0</v>
      </c>
      <c r="O228" s="46">
        <f>'مركز الاتصالات'!O60</f>
        <v>0</v>
      </c>
      <c r="P228" s="46">
        <f>'مركز الاتصالات'!P60</f>
        <v>0</v>
      </c>
      <c r="Q228" s="46">
        <f>'مركز الاتصالات'!Q60</f>
        <v>0</v>
      </c>
      <c r="R228" s="47">
        <f>'مركز الاتصالات'!R60</f>
        <v>0</v>
      </c>
      <c r="S228" s="47">
        <f>'مركز الاتصالات'!S60</f>
        <v>0</v>
      </c>
      <c r="T228" s="46">
        <f>'مركز الاتصالات'!T60</f>
        <v>0</v>
      </c>
      <c r="U228" s="46">
        <f>'مركز الاتصالات'!U60</f>
        <v>0</v>
      </c>
      <c r="V228" s="46">
        <f>'مركز الاتصالات'!V60</f>
        <v>0</v>
      </c>
      <c r="W228" s="46">
        <f>'مركز الاتصالات'!W60</f>
        <v>0</v>
      </c>
      <c r="X228" s="46">
        <f>'مركز الاتصالات'!X60</f>
        <v>0</v>
      </c>
      <c r="Y228" s="46">
        <f>'مركز الاتصالات'!Y60</f>
        <v>0</v>
      </c>
      <c r="Z228" s="46">
        <f>'مركز الاتصالات'!Z60</f>
        <v>0</v>
      </c>
      <c r="AA228" s="46">
        <f>'مركز الاتصالات'!AA60</f>
        <v>0</v>
      </c>
      <c r="AB228" s="46">
        <f>'مركز الاتصالات'!AB60</f>
        <v>0</v>
      </c>
      <c r="AC228" s="46">
        <f>'مركز الاتصالات'!AC60</f>
        <v>0</v>
      </c>
      <c r="AD228" s="46">
        <f>'مركز الاتصالات'!AD60</f>
        <v>0</v>
      </c>
      <c r="AE228" s="46">
        <f>'مركز الاتصالات'!AE60</f>
        <v>0</v>
      </c>
      <c r="AF228" s="46">
        <f>'مركز الاتصالات'!AF60</f>
        <v>0</v>
      </c>
      <c r="AG228" s="46">
        <f>'مركز الاتصالات'!AG60</f>
        <v>0</v>
      </c>
      <c r="AH228" s="46">
        <f>'مركز الاتصالات'!AH60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+'مركز الاتصالات'!A61</f>
        <v>0</v>
      </c>
      <c r="B232" s="44">
        <f>+'مركز الاتصالات'!B61</f>
        <v>0</v>
      </c>
      <c r="C232" s="45">
        <f>+'مركز الاتصالات'!C61</f>
        <v>0</v>
      </c>
      <c r="D232" s="45">
        <f>+'مركز الاتصالات'!D61</f>
        <v>0</v>
      </c>
      <c r="E232" s="45">
        <f>+'مركز الاتصالات'!E61</f>
        <v>0</v>
      </c>
      <c r="F232" s="46">
        <f>'مركز الاتصالات'!F61</f>
        <v>0</v>
      </c>
      <c r="G232" s="46">
        <f>'مركز الاتصالات'!G61</f>
        <v>0</v>
      </c>
      <c r="H232" s="46">
        <f>'مركز الاتصالات'!H61</f>
        <v>0</v>
      </c>
      <c r="I232" s="46">
        <f>'مركز الاتصالات'!I61</f>
        <v>0</v>
      </c>
      <c r="J232" s="46">
        <f>'مركز الاتصالات'!J61</f>
        <v>0</v>
      </c>
      <c r="K232" s="46">
        <f>'مركز الاتصالات'!K61</f>
        <v>0</v>
      </c>
      <c r="L232" s="46">
        <f>'مركز الاتصالات'!L61</f>
        <v>0</v>
      </c>
      <c r="M232" s="46">
        <f>'مركز الاتصالات'!M61</f>
        <v>0</v>
      </c>
      <c r="N232" s="46">
        <f>'مركز الاتصالات'!N61</f>
        <v>0</v>
      </c>
      <c r="O232" s="46">
        <f>'مركز الاتصالات'!O61</f>
        <v>0</v>
      </c>
      <c r="P232" s="46">
        <f>'مركز الاتصالات'!P61</f>
        <v>0</v>
      </c>
      <c r="Q232" s="46">
        <f>'مركز الاتصالات'!Q61</f>
        <v>0</v>
      </c>
      <c r="R232" s="47">
        <f>'مركز الاتصالات'!R61</f>
        <v>0</v>
      </c>
      <c r="S232" s="47">
        <f>'مركز الاتصالات'!S61</f>
        <v>0</v>
      </c>
      <c r="T232" s="46">
        <f>'مركز الاتصالات'!T61</f>
        <v>0</v>
      </c>
      <c r="U232" s="46">
        <f>'مركز الاتصالات'!U61</f>
        <v>0</v>
      </c>
      <c r="V232" s="46">
        <f>'مركز الاتصالات'!V61</f>
        <v>0</v>
      </c>
      <c r="W232" s="46">
        <f>'مركز الاتصالات'!W61</f>
        <v>0</v>
      </c>
      <c r="X232" s="46">
        <f>'مركز الاتصالات'!X61</f>
        <v>0</v>
      </c>
      <c r="Y232" s="46">
        <f>'مركز الاتصالات'!Y61</f>
        <v>0</v>
      </c>
      <c r="Z232" s="46">
        <f>'مركز الاتصالات'!Z61</f>
        <v>0</v>
      </c>
      <c r="AA232" s="46">
        <f>'مركز الاتصالات'!AA61</f>
        <v>0</v>
      </c>
      <c r="AB232" s="46">
        <f>'مركز الاتصالات'!AB61</f>
        <v>0</v>
      </c>
      <c r="AC232" s="46">
        <f>'مركز الاتصالات'!AC61</f>
        <v>0</v>
      </c>
      <c r="AD232" s="46">
        <f>'مركز الاتصالات'!AD61</f>
        <v>0</v>
      </c>
      <c r="AE232" s="46">
        <f>'مركز الاتصالات'!AE61</f>
        <v>0</v>
      </c>
      <c r="AF232" s="46">
        <f>'مركز الاتصالات'!AF61</f>
        <v>0</v>
      </c>
      <c r="AG232" s="46">
        <f>'مركز الاتصالات'!AG61</f>
        <v>0</v>
      </c>
      <c r="AH232" s="46">
        <f>'مركز الاتصالات'!AH61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+'مركز الاتصالات'!A62</f>
        <v>0</v>
      </c>
      <c r="B236" s="44">
        <f>+'مركز الاتصالات'!B62</f>
        <v>0</v>
      </c>
      <c r="C236" s="45">
        <f>+'مركز الاتصالات'!C62</f>
        <v>0</v>
      </c>
      <c r="D236" s="45">
        <f>+'مركز الاتصالات'!D62</f>
        <v>0</v>
      </c>
      <c r="E236" s="45">
        <f>+'مركز الاتصالات'!E62</f>
        <v>0</v>
      </c>
      <c r="F236" s="46">
        <f>'مركز الاتصالات'!F62</f>
        <v>0</v>
      </c>
      <c r="G236" s="46">
        <f>'مركز الاتصالات'!G62</f>
        <v>0</v>
      </c>
      <c r="H236" s="46">
        <f>'مركز الاتصالات'!H62</f>
        <v>0</v>
      </c>
      <c r="I236" s="46">
        <f>'مركز الاتصالات'!I62</f>
        <v>0</v>
      </c>
      <c r="J236" s="46">
        <f>'مركز الاتصالات'!J62</f>
        <v>0</v>
      </c>
      <c r="K236" s="46">
        <f>'مركز الاتصالات'!K62</f>
        <v>0</v>
      </c>
      <c r="L236" s="46">
        <f>'مركز الاتصالات'!L62</f>
        <v>0</v>
      </c>
      <c r="M236" s="46">
        <f>'مركز الاتصالات'!M62</f>
        <v>0</v>
      </c>
      <c r="N236" s="46">
        <f>'مركز الاتصالات'!N62</f>
        <v>0</v>
      </c>
      <c r="O236" s="46">
        <f>'مركز الاتصالات'!O62</f>
        <v>0</v>
      </c>
      <c r="P236" s="46">
        <f>'مركز الاتصالات'!P62</f>
        <v>0</v>
      </c>
      <c r="Q236" s="46">
        <f>'مركز الاتصالات'!Q62</f>
        <v>0</v>
      </c>
      <c r="R236" s="47">
        <f>'مركز الاتصالات'!R62</f>
        <v>0</v>
      </c>
      <c r="S236" s="47">
        <f>'مركز الاتصالات'!S62</f>
        <v>0</v>
      </c>
      <c r="T236" s="46">
        <f>'مركز الاتصالات'!T62</f>
        <v>0</v>
      </c>
      <c r="U236" s="46">
        <f>'مركز الاتصالات'!U62</f>
        <v>0</v>
      </c>
      <c r="V236" s="46">
        <f>'مركز الاتصالات'!V62</f>
        <v>0</v>
      </c>
      <c r="W236" s="46">
        <f>'مركز الاتصالات'!W62</f>
        <v>0</v>
      </c>
      <c r="X236" s="46">
        <f>'مركز الاتصالات'!X62</f>
        <v>0</v>
      </c>
      <c r="Y236" s="46">
        <f>'مركز الاتصالات'!Y62</f>
        <v>0</v>
      </c>
      <c r="Z236" s="46">
        <f>'مركز الاتصالات'!Z62</f>
        <v>0</v>
      </c>
      <c r="AA236" s="46">
        <f>'مركز الاتصالات'!AA62</f>
        <v>0</v>
      </c>
      <c r="AB236" s="46">
        <f>'مركز الاتصالات'!AB62</f>
        <v>0</v>
      </c>
      <c r="AC236" s="46">
        <f>'مركز الاتصالات'!AC62</f>
        <v>0</v>
      </c>
      <c r="AD236" s="46">
        <f>'مركز الاتصالات'!AD62</f>
        <v>0</v>
      </c>
      <c r="AE236" s="46">
        <f>'مركز الاتصالات'!AE62</f>
        <v>0</v>
      </c>
      <c r="AF236" s="46">
        <f>'مركز الاتصالات'!AF62</f>
        <v>0</v>
      </c>
      <c r="AG236" s="46">
        <f>'مركز الاتصالات'!AG62</f>
        <v>0</v>
      </c>
      <c r="AH236" s="46">
        <f>'مركز الاتصالات'!AH62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+'مركز الاتصالات'!A63</f>
        <v>0</v>
      </c>
      <c r="B240" s="44">
        <f>+'مركز الاتصالات'!B63</f>
        <v>0</v>
      </c>
      <c r="C240" s="45">
        <f>+'مركز الاتصالات'!C63</f>
        <v>0</v>
      </c>
      <c r="D240" s="45">
        <f>+'مركز الاتصالات'!D63</f>
        <v>0</v>
      </c>
      <c r="E240" s="45">
        <f>+'مركز الاتصالات'!E63</f>
        <v>0</v>
      </c>
      <c r="F240" s="46">
        <f>'مركز الاتصالات'!F63</f>
        <v>0</v>
      </c>
      <c r="G240" s="46">
        <f>'مركز الاتصالات'!G63</f>
        <v>0</v>
      </c>
      <c r="H240" s="46">
        <f>'مركز الاتصالات'!H63</f>
        <v>0</v>
      </c>
      <c r="I240" s="46">
        <f>'مركز الاتصالات'!I63</f>
        <v>0</v>
      </c>
      <c r="J240" s="46">
        <f>'مركز الاتصالات'!J63</f>
        <v>0</v>
      </c>
      <c r="K240" s="46">
        <f>'مركز الاتصالات'!K63</f>
        <v>0</v>
      </c>
      <c r="L240" s="46">
        <f>'مركز الاتصالات'!L63</f>
        <v>0</v>
      </c>
      <c r="M240" s="46">
        <f>'مركز الاتصالات'!M63</f>
        <v>0</v>
      </c>
      <c r="N240" s="46">
        <f>'مركز الاتصالات'!N63</f>
        <v>0</v>
      </c>
      <c r="O240" s="46">
        <f>'مركز الاتصالات'!O63</f>
        <v>0</v>
      </c>
      <c r="P240" s="46">
        <f>'مركز الاتصالات'!P63</f>
        <v>0</v>
      </c>
      <c r="Q240" s="46">
        <f>'مركز الاتصالات'!Q63</f>
        <v>0</v>
      </c>
      <c r="R240" s="47">
        <f>'مركز الاتصالات'!R63</f>
        <v>0</v>
      </c>
      <c r="S240" s="47">
        <f>'مركز الاتصالات'!S63</f>
        <v>0</v>
      </c>
      <c r="T240" s="46">
        <f>'مركز الاتصالات'!T63</f>
        <v>0</v>
      </c>
      <c r="U240" s="46">
        <f>'مركز الاتصالات'!U63</f>
        <v>0</v>
      </c>
      <c r="V240" s="46">
        <f>'مركز الاتصالات'!V63</f>
        <v>0</v>
      </c>
      <c r="W240" s="46">
        <f>'مركز الاتصالات'!W63</f>
        <v>0</v>
      </c>
      <c r="X240" s="46">
        <f>'مركز الاتصالات'!X63</f>
        <v>0</v>
      </c>
      <c r="Y240" s="46">
        <f>'مركز الاتصالات'!Y63</f>
        <v>0</v>
      </c>
      <c r="Z240" s="46">
        <f>'مركز الاتصالات'!Z63</f>
        <v>0</v>
      </c>
      <c r="AA240" s="46">
        <f>'مركز الاتصالات'!AA63</f>
        <v>0</v>
      </c>
      <c r="AB240" s="46">
        <f>'مركز الاتصالات'!AB63</f>
        <v>0</v>
      </c>
      <c r="AC240" s="46">
        <f>'مركز الاتصالات'!AC63</f>
        <v>0</v>
      </c>
      <c r="AD240" s="46">
        <f>'مركز الاتصالات'!AD63</f>
        <v>0</v>
      </c>
      <c r="AE240" s="46">
        <f>'مركز الاتصالات'!AE63</f>
        <v>0</v>
      </c>
      <c r="AF240" s="46">
        <f>'مركز الاتصالات'!AF63</f>
        <v>0</v>
      </c>
      <c r="AG240" s="46">
        <f>'مركز الاتصالات'!AG63</f>
        <v>0</v>
      </c>
      <c r="AH240" s="46">
        <f>'مركز الاتصالات'!AH63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+'مركز الاتصالات'!A64</f>
        <v>0</v>
      </c>
      <c r="B244" s="44">
        <f>+'مركز الاتصالات'!B64</f>
        <v>0</v>
      </c>
      <c r="C244" s="45">
        <f>+'مركز الاتصالات'!C64</f>
        <v>0</v>
      </c>
      <c r="D244" s="45">
        <f>+'مركز الاتصالات'!D64</f>
        <v>0</v>
      </c>
      <c r="E244" s="45">
        <f>+'مركز الاتصالات'!E64</f>
        <v>0</v>
      </c>
      <c r="F244" s="46">
        <f>'مركز الاتصالات'!F64</f>
        <v>0</v>
      </c>
      <c r="G244" s="46">
        <f>'مركز الاتصالات'!G64</f>
        <v>0</v>
      </c>
      <c r="H244" s="46">
        <f>'مركز الاتصالات'!H64</f>
        <v>0</v>
      </c>
      <c r="I244" s="46">
        <f>'مركز الاتصالات'!I64</f>
        <v>0</v>
      </c>
      <c r="J244" s="46">
        <f>'مركز الاتصالات'!J64</f>
        <v>0</v>
      </c>
      <c r="K244" s="46">
        <f>'مركز الاتصالات'!K64</f>
        <v>0</v>
      </c>
      <c r="L244" s="46">
        <f>'مركز الاتصالات'!L64</f>
        <v>0</v>
      </c>
      <c r="M244" s="46">
        <f>'مركز الاتصالات'!M64</f>
        <v>0</v>
      </c>
      <c r="N244" s="46">
        <f>'مركز الاتصالات'!N64</f>
        <v>0</v>
      </c>
      <c r="O244" s="46">
        <f>'مركز الاتصالات'!O64</f>
        <v>0</v>
      </c>
      <c r="P244" s="46">
        <f>'مركز الاتصالات'!P64</f>
        <v>0</v>
      </c>
      <c r="Q244" s="46">
        <f>'مركز الاتصالات'!Q64</f>
        <v>0</v>
      </c>
      <c r="R244" s="47">
        <f>'مركز الاتصالات'!R64</f>
        <v>0</v>
      </c>
      <c r="S244" s="47">
        <f>'مركز الاتصالات'!S64</f>
        <v>0</v>
      </c>
      <c r="T244" s="46">
        <f>'مركز الاتصالات'!T64</f>
        <v>0</v>
      </c>
      <c r="U244" s="46">
        <f>'مركز الاتصالات'!U64</f>
        <v>0</v>
      </c>
      <c r="V244" s="46">
        <f>'مركز الاتصالات'!V64</f>
        <v>0</v>
      </c>
      <c r="W244" s="46">
        <f>'مركز الاتصالات'!W64</f>
        <v>0</v>
      </c>
      <c r="X244" s="46">
        <f>'مركز الاتصالات'!X64</f>
        <v>0</v>
      </c>
      <c r="Y244" s="46">
        <f>'مركز الاتصالات'!Y64</f>
        <v>0</v>
      </c>
      <c r="Z244" s="46">
        <f>'مركز الاتصالات'!Z64</f>
        <v>0</v>
      </c>
      <c r="AA244" s="46">
        <f>'مركز الاتصالات'!AA64</f>
        <v>0</v>
      </c>
      <c r="AB244" s="46">
        <f>'مركز الاتصالات'!AB64</f>
        <v>0</v>
      </c>
      <c r="AC244" s="46">
        <f>'مركز الاتصالات'!AC64</f>
        <v>0</v>
      </c>
      <c r="AD244" s="46">
        <f>'مركز الاتصالات'!AD64</f>
        <v>0</v>
      </c>
      <c r="AE244" s="46">
        <f>'مركز الاتصالات'!AE64</f>
        <v>0</v>
      </c>
      <c r="AF244" s="46">
        <f>'مركز الاتصالات'!AF64</f>
        <v>0</v>
      </c>
      <c r="AG244" s="46">
        <f>'مركز الاتصالات'!AG64</f>
        <v>0</v>
      </c>
      <c r="AH244" s="46">
        <f>'مركز الاتصالات'!AH64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+'مركز الاتصالات'!A65</f>
        <v>0</v>
      </c>
      <c r="B248" s="44">
        <f>+'مركز الاتصالات'!B65</f>
        <v>0</v>
      </c>
      <c r="C248" s="45">
        <f>+'مركز الاتصالات'!C65</f>
        <v>0</v>
      </c>
      <c r="D248" s="45">
        <f>+'مركز الاتصالات'!D65</f>
        <v>0</v>
      </c>
      <c r="E248" s="45">
        <f>+'مركز الاتصالات'!E65</f>
        <v>0</v>
      </c>
      <c r="F248" s="46">
        <f>'مركز الاتصالات'!F65</f>
        <v>0</v>
      </c>
      <c r="G248" s="46">
        <f>'مركز الاتصالات'!G65</f>
        <v>0</v>
      </c>
      <c r="H248" s="46">
        <f>'مركز الاتصالات'!H65</f>
        <v>0</v>
      </c>
      <c r="I248" s="46">
        <f>'مركز الاتصالات'!I65</f>
        <v>0</v>
      </c>
      <c r="J248" s="46">
        <f>'مركز الاتصالات'!J65</f>
        <v>0</v>
      </c>
      <c r="K248" s="46">
        <f>'مركز الاتصالات'!K65</f>
        <v>0</v>
      </c>
      <c r="L248" s="46">
        <f>'مركز الاتصالات'!L65</f>
        <v>0</v>
      </c>
      <c r="M248" s="46">
        <f>'مركز الاتصالات'!M65</f>
        <v>0</v>
      </c>
      <c r="N248" s="46">
        <f>'مركز الاتصالات'!N65</f>
        <v>0</v>
      </c>
      <c r="O248" s="46">
        <f>'مركز الاتصالات'!O65</f>
        <v>0</v>
      </c>
      <c r="P248" s="46">
        <f>'مركز الاتصالات'!P65</f>
        <v>0</v>
      </c>
      <c r="Q248" s="46">
        <f>'مركز الاتصالات'!Q65</f>
        <v>0</v>
      </c>
      <c r="R248" s="47">
        <f>'مركز الاتصالات'!R65</f>
        <v>0</v>
      </c>
      <c r="S248" s="47">
        <f>'مركز الاتصالات'!S65</f>
        <v>0</v>
      </c>
      <c r="T248" s="46">
        <f>'مركز الاتصالات'!T65</f>
        <v>0</v>
      </c>
      <c r="U248" s="46">
        <f>'مركز الاتصالات'!U65</f>
        <v>0</v>
      </c>
      <c r="V248" s="46">
        <f>'مركز الاتصالات'!V65</f>
        <v>0</v>
      </c>
      <c r="W248" s="46">
        <f>'مركز الاتصالات'!W65</f>
        <v>0</v>
      </c>
      <c r="X248" s="46">
        <f>'مركز الاتصالات'!X65</f>
        <v>0</v>
      </c>
      <c r="Y248" s="46">
        <f>'مركز الاتصالات'!Y65</f>
        <v>0</v>
      </c>
      <c r="Z248" s="46">
        <f>'مركز الاتصالات'!Z65</f>
        <v>0</v>
      </c>
      <c r="AA248" s="46">
        <f>'مركز الاتصالات'!AA65</f>
        <v>0</v>
      </c>
      <c r="AB248" s="46">
        <f>'مركز الاتصالات'!AB65</f>
        <v>0</v>
      </c>
      <c r="AC248" s="46">
        <f>'مركز الاتصالات'!AC65</f>
        <v>0</v>
      </c>
      <c r="AD248" s="46">
        <f>'مركز الاتصالات'!AD65</f>
        <v>0</v>
      </c>
      <c r="AE248" s="46">
        <f>'مركز الاتصالات'!AE65</f>
        <v>0</v>
      </c>
      <c r="AF248" s="46">
        <f>'مركز الاتصالات'!AF65</f>
        <v>0</v>
      </c>
      <c r="AG248" s="46">
        <f>'مركز الاتصالات'!AG65</f>
        <v>0</v>
      </c>
      <c r="AH248" s="46">
        <f>'مركز الاتصالات'!AH65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+'مركز الاتصالات'!A66</f>
        <v>0</v>
      </c>
      <c r="B252" s="44">
        <f>+'مركز الاتصالات'!B66</f>
        <v>0</v>
      </c>
      <c r="C252" s="45">
        <f>+'مركز الاتصالات'!C66</f>
        <v>0</v>
      </c>
      <c r="D252" s="45">
        <f>+'مركز الاتصالات'!D66</f>
        <v>0</v>
      </c>
      <c r="E252" s="45">
        <f>+'مركز الاتصالات'!E66</f>
        <v>0</v>
      </c>
      <c r="F252" s="46">
        <f>'مركز الاتصالات'!F66</f>
        <v>0</v>
      </c>
      <c r="G252" s="46">
        <f>'مركز الاتصالات'!G66</f>
        <v>0</v>
      </c>
      <c r="H252" s="46">
        <f>'مركز الاتصالات'!H66</f>
        <v>0</v>
      </c>
      <c r="I252" s="46">
        <f>'مركز الاتصالات'!I66</f>
        <v>0</v>
      </c>
      <c r="J252" s="46">
        <f>'مركز الاتصالات'!J66</f>
        <v>0</v>
      </c>
      <c r="K252" s="46">
        <f>'مركز الاتصالات'!K66</f>
        <v>0</v>
      </c>
      <c r="L252" s="46">
        <f>'مركز الاتصالات'!L66</f>
        <v>0</v>
      </c>
      <c r="M252" s="46">
        <f>'مركز الاتصالات'!M66</f>
        <v>0</v>
      </c>
      <c r="N252" s="46">
        <f>'مركز الاتصالات'!N66</f>
        <v>0</v>
      </c>
      <c r="O252" s="46">
        <f>'مركز الاتصالات'!O66</f>
        <v>0</v>
      </c>
      <c r="P252" s="46">
        <f>'مركز الاتصالات'!P66</f>
        <v>0</v>
      </c>
      <c r="Q252" s="46">
        <f>'مركز الاتصالات'!Q66</f>
        <v>0</v>
      </c>
      <c r="R252" s="47">
        <f>'مركز الاتصالات'!R66</f>
        <v>0</v>
      </c>
      <c r="S252" s="47">
        <f>'مركز الاتصالات'!S66</f>
        <v>0</v>
      </c>
      <c r="T252" s="46">
        <f>'مركز الاتصالات'!T66</f>
        <v>0</v>
      </c>
      <c r="U252" s="46">
        <f>'مركز الاتصالات'!U66</f>
        <v>0</v>
      </c>
      <c r="V252" s="46">
        <f>'مركز الاتصالات'!V66</f>
        <v>0</v>
      </c>
      <c r="W252" s="46">
        <f>'مركز الاتصالات'!W66</f>
        <v>0</v>
      </c>
      <c r="X252" s="46">
        <f>'مركز الاتصالات'!X66</f>
        <v>0</v>
      </c>
      <c r="Y252" s="46">
        <f>'مركز الاتصالات'!Y66</f>
        <v>0</v>
      </c>
      <c r="Z252" s="46">
        <f>'مركز الاتصالات'!Z66</f>
        <v>0</v>
      </c>
      <c r="AA252" s="46">
        <f>'مركز الاتصالات'!AA66</f>
        <v>0</v>
      </c>
      <c r="AB252" s="46">
        <f>'مركز الاتصالات'!AB66</f>
        <v>0</v>
      </c>
      <c r="AC252" s="46">
        <f>'مركز الاتصالات'!AC66</f>
        <v>0</v>
      </c>
      <c r="AD252" s="46">
        <f>'مركز الاتصالات'!AD66</f>
        <v>0</v>
      </c>
      <c r="AE252" s="46">
        <f>'مركز الاتصالات'!AE66</f>
        <v>0</v>
      </c>
      <c r="AF252" s="46">
        <f>'مركز الاتصالات'!AF66</f>
        <v>0</v>
      </c>
      <c r="AG252" s="46">
        <f>'مركز الاتصالات'!AG66</f>
        <v>0</v>
      </c>
      <c r="AH252" s="46">
        <f>'مركز الاتصالات'!AH66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+'مركز الاتصالات'!A67</f>
        <v>0</v>
      </c>
      <c r="B256" s="44">
        <f>+'مركز الاتصالات'!B67</f>
        <v>0</v>
      </c>
      <c r="C256" s="45">
        <f>+'مركز الاتصالات'!C67</f>
        <v>0</v>
      </c>
      <c r="D256" s="45">
        <f>+'مركز الاتصالات'!D67</f>
        <v>0</v>
      </c>
      <c r="E256" s="45">
        <f>+'مركز الاتصالات'!E67</f>
        <v>0</v>
      </c>
      <c r="F256" s="46">
        <f>'مركز الاتصالات'!F67</f>
        <v>0</v>
      </c>
      <c r="G256" s="46">
        <f>'مركز الاتصالات'!G67</f>
        <v>0</v>
      </c>
      <c r="H256" s="46">
        <f>'مركز الاتصالات'!H67</f>
        <v>0</v>
      </c>
      <c r="I256" s="46">
        <f>'مركز الاتصالات'!I67</f>
        <v>0</v>
      </c>
      <c r="J256" s="46">
        <f>'مركز الاتصالات'!J67</f>
        <v>0</v>
      </c>
      <c r="K256" s="46">
        <f>'مركز الاتصالات'!K67</f>
        <v>0</v>
      </c>
      <c r="L256" s="46">
        <f>'مركز الاتصالات'!L67</f>
        <v>0</v>
      </c>
      <c r="M256" s="46">
        <f>'مركز الاتصالات'!M67</f>
        <v>0</v>
      </c>
      <c r="N256" s="46">
        <f>'مركز الاتصالات'!N67</f>
        <v>0</v>
      </c>
      <c r="O256" s="46">
        <f>'مركز الاتصالات'!O67</f>
        <v>0</v>
      </c>
      <c r="P256" s="46">
        <f>'مركز الاتصالات'!P67</f>
        <v>0</v>
      </c>
      <c r="Q256" s="46">
        <f>'مركز الاتصالات'!Q67</f>
        <v>0</v>
      </c>
      <c r="R256" s="47">
        <f>'مركز الاتصالات'!R67</f>
        <v>0</v>
      </c>
      <c r="S256" s="47">
        <f>'مركز الاتصالات'!S67</f>
        <v>0</v>
      </c>
      <c r="T256" s="46">
        <f>'مركز الاتصالات'!T67</f>
        <v>0</v>
      </c>
      <c r="U256" s="46">
        <f>'مركز الاتصالات'!U67</f>
        <v>0</v>
      </c>
      <c r="V256" s="46">
        <f>'مركز الاتصالات'!V67</f>
        <v>0</v>
      </c>
      <c r="W256" s="46">
        <f>'مركز الاتصالات'!W67</f>
        <v>0</v>
      </c>
      <c r="X256" s="46">
        <f>'مركز الاتصالات'!X67</f>
        <v>0</v>
      </c>
      <c r="Y256" s="46">
        <f>'مركز الاتصالات'!Y67</f>
        <v>0</v>
      </c>
      <c r="Z256" s="46">
        <f>'مركز الاتصالات'!Z67</f>
        <v>0</v>
      </c>
      <c r="AA256" s="46">
        <f>'مركز الاتصالات'!AA67</f>
        <v>0</v>
      </c>
      <c r="AB256" s="46">
        <f>'مركز الاتصالات'!AB67</f>
        <v>0</v>
      </c>
      <c r="AC256" s="46">
        <f>'مركز الاتصالات'!AC67</f>
        <v>0</v>
      </c>
      <c r="AD256" s="46">
        <f>'مركز الاتصالات'!AD67</f>
        <v>0</v>
      </c>
      <c r="AE256" s="46">
        <f>'مركز الاتصالات'!AE67</f>
        <v>0</v>
      </c>
      <c r="AF256" s="46">
        <f>'مركز الاتصالات'!AF67</f>
        <v>0</v>
      </c>
      <c r="AG256" s="46">
        <f>'مركز الاتصالات'!AG67</f>
        <v>0</v>
      </c>
      <c r="AH256" s="46">
        <f>'مركز الاتصالات'!AH67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+'مركز الاتصالات'!A68</f>
        <v>0</v>
      </c>
      <c r="B260" s="44">
        <f>+'مركز الاتصالات'!B68</f>
        <v>0</v>
      </c>
      <c r="C260" s="45">
        <f>+'مركز الاتصالات'!C68</f>
        <v>0</v>
      </c>
      <c r="D260" s="45">
        <f>+'مركز الاتصالات'!D68</f>
        <v>0</v>
      </c>
      <c r="E260" s="45">
        <f>+'مركز الاتصالات'!E68</f>
        <v>0</v>
      </c>
      <c r="F260" s="46">
        <f>'مركز الاتصالات'!F68</f>
        <v>0</v>
      </c>
      <c r="G260" s="46">
        <f>'مركز الاتصالات'!G68</f>
        <v>0</v>
      </c>
      <c r="H260" s="46">
        <f>'مركز الاتصالات'!H68</f>
        <v>0</v>
      </c>
      <c r="I260" s="46">
        <f>'مركز الاتصالات'!I68</f>
        <v>0</v>
      </c>
      <c r="J260" s="46">
        <f>'مركز الاتصالات'!J68</f>
        <v>0</v>
      </c>
      <c r="K260" s="46">
        <f>'مركز الاتصالات'!K68</f>
        <v>0</v>
      </c>
      <c r="L260" s="46">
        <f>'مركز الاتصالات'!L68</f>
        <v>0</v>
      </c>
      <c r="M260" s="46">
        <f>'مركز الاتصالات'!M68</f>
        <v>0</v>
      </c>
      <c r="N260" s="46">
        <f>'مركز الاتصالات'!N68</f>
        <v>0</v>
      </c>
      <c r="O260" s="46">
        <f>'مركز الاتصالات'!O68</f>
        <v>0</v>
      </c>
      <c r="P260" s="46">
        <f>'مركز الاتصالات'!P68</f>
        <v>0</v>
      </c>
      <c r="Q260" s="46">
        <f>'مركز الاتصالات'!Q68</f>
        <v>0</v>
      </c>
      <c r="R260" s="47">
        <f>'مركز الاتصالات'!R68</f>
        <v>0</v>
      </c>
      <c r="S260" s="47">
        <f>'مركز الاتصالات'!S68</f>
        <v>0</v>
      </c>
      <c r="T260" s="46">
        <f>'مركز الاتصالات'!T68</f>
        <v>0</v>
      </c>
      <c r="U260" s="46">
        <f>'مركز الاتصالات'!U68</f>
        <v>0</v>
      </c>
      <c r="V260" s="46">
        <f>'مركز الاتصالات'!V68</f>
        <v>0</v>
      </c>
      <c r="W260" s="46">
        <f>'مركز الاتصالات'!W68</f>
        <v>0</v>
      </c>
      <c r="X260" s="46">
        <f>'مركز الاتصالات'!X68</f>
        <v>0</v>
      </c>
      <c r="Y260" s="46">
        <f>'مركز الاتصالات'!Y68</f>
        <v>0</v>
      </c>
      <c r="Z260" s="46">
        <f>'مركز الاتصالات'!Z68</f>
        <v>0</v>
      </c>
      <c r="AA260" s="46">
        <f>'مركز الاتصالات'!AA68</f>
        <v>0</v>
      </c>
      <c r="AB260" s="46">
        <f>'مركز الاتصالات'!AB68</f>
        <v>0</v>
      </c>
      <c r="AC260" s="46">
        <f>'مركز الاتصالات'!AC68</f>
        <v>0</v>
      </c>
      <c r="AD260" s="46">
        <f>'مركز الاتصالات'!AD68</f>
        <v>0</v>
      </c>
      <c r="AE260" s="46">
        <f>'مركز الاتصالات'!AE68</f>
        <v>0</v>
      </c>
      <c r="AF260" s="46">
        <f>'مركز الاتصالات'!AF68</f>
        <v>0</v>
      </c>
      <c r="AG260" s="46">
        <f>'مركز الاتصالات'!AG68</f>
        <v>0</v>
      </c>
      <c r="AH260" s="46">
        <f>'مركز الاتصالات'!AH68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+'مركز الاتصالات'!A69</f>
        <v>0</v>
      </c>
      <c r="B264" s="44">
        <f>+'مركز الاتصالات'!B69</f>
        <v>0</v>
      </c>
      <c r="C264" s="45">
        <f>+'مركز الاتصالات'!C69</f>
        <v>0</v>
      </c>
      <c r="D264" s="45">
        <f>+'مركز الاتصالات'!D69</f>
        <v>0</v>
      </c>
      <c r="E264" s="45">
        <f>+'مركز الاتصالات'!E69</f>
        <v>0</v>
      </c>
      <c r="F264" s="46">
        <f>'مركز الاتصالات'!F69</f>
        <v>0</v>
      </c>
      <c r="G264" s="46">
        <f>'مركز الاتصالات'!G69</f>
        <v>0</v>
      </c>
      <c r="H264" s="46">
        <f>'مركز الاتصالات'!H69</f>
        <v>0</v>
      </c>
      <c r="I264" s="46">
        <f>'مركز الاتصالات'!I69</f>
        <v>0</v>
      </c>
      <c r="J264" s="46">
        <f>'مركز الاتصالات'!J69</f>
        <v>0</v>
      </c>
      <c r="K264" s="46">
        <f>'مركز الاتصالات'!K69</f>
        <v>0</v>
      </c>
      <c r="L264" s="46">
        <f>'مركز الاتصالات'!L69</f>
        <v>0</v>
      </c>
      <c r="M264" s="46">
        <f>'مركز الاتصالات'!M69</f>
        <v>0</v>
      </c>
      <c r="N264" s="46">
        <f>'مركز الاتصالات'!N69</f>
        <v>0</v>
      </c>
      <c r="O264" s="46">
        <f>'مركز الاتصالات'!O69</f>
        <v>0</v>
      </c>
      <c r="P264" s="46">
        <f>'مركز الاتصالات'!P69</f>
        <v>0</v>
      </c>
      <c r="Q264" s="46">
        <f>'مركز الاتصالات'!Q69</f>
        <v>0</v>
      </c>
      <c r="R264" s="47">
        <f>'مركز الاتصالات'!R69</f>
        <v>0</v>
      </c>
      <c r="S264" s="47">
        <f>'مركز الاتصالات'!S69</f>
        <v>0</v>
      </c>
      <c r="T264" s="46">
        <f>'مركز الاتصالات'!T69</f>
        <v>0</v>
      </c>
      <c r="U264" s="46">
        <f>'مركز الاتصالات'!U69</f>
        <v>0</v>
      </c>
      <c r="V264" s="46">
        <f>'مركز الاتصالات'!V69</f>
        <v>0</v>
      </c>
      <c r="W264" s="46">
        <f>'مركز الاتصالات'!W69</f>
        <v>0</v>
      </c>
      <c r="X264" s="46">
        <f>'مركز الاتصالات'!X69</f>
        <v>0</v>
      </c>
      <c r="Y264" s="46">
        <f>'مركز الاتصالات'!Y69</f>
        <v>0</v>
      </c>
      <c r="Z264" s="46">
        <f>'مركز الاتصالات'!Z69</f>
        <v>0</v>
      </c>
      <c r="AA264" s="46">
        <f>'مركز الاتصالات'!AA69</f>
        <v>0</v>
      </c>
      <c r="AB264" s="46">
        <f>'مركز الاتصالات'!AB69</f>
        <v>0</v>
      </c>
      <c r="AC264" s="46">
        <f>'مركز الاتصالات'!AC69</f>
        <v>0</v>
      </c>
      <c r="AD264" s="46">
        <f>'مركز الاتصالات'!AD69</f>
        <v>0</v>
      </c>
      <c r="AE264" s="46">
        <f>'مركز الاتصالات'!AE69</f>
        <v>0</v>
      </c>
      <c r="AF264" s="46">
        <f>'مركز الاتصالات'!AF69</f>
        <v>0</v>
      </c>
      <c r="AG264" s="46">
        <f>'مركز الاتصالات'!AG69</f>
        <v>0</v>
      </c>
      <c r="AH264" s="46">
        <f>'مركز الاتصالات'!AH69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+'مركز الاتصالات'!A70</f>
        <v>0</v>
      </c>
      <c r="B268" s="44">
        <f>+'مركز الاتصالات'!B70</f>
        <v>0</v>
      </c>
      <c r="C268" s="45">
        <f>+'مركز الاتصالات'!C70</f>
        <v>0</v>
      </c>
      <c r="D268" s="45">
        <f>+'مركز الاتصالات'!D70</f>
        <v>0</v>
      </c>
      <c r="E268" s="45">
        <f>+'مركز الاتصالات'!E70</f>
        <v>0</v>
      </c>
      <c r="F268" s="46">
        <f>'مركز الاتصالات'!F70</f>
        <v>0</v>
      </c>
      <c r="G268" s="46">
        <f>'مركز الاتصالات'!G70</f>
        <v>0</v>
      </c>
      <c r="H268" s="46">
        <f>'مركز الاتصالات'!H70</f>
        <v>0</v>
      </c>
      <c r="I268" s="46">
        <f>'مركز الاتصالات'!I70</f>
        <v>0</v>
      </c>
      <c r="J268" s="46">
        <f>'مركز الاتصالات'!J70</f>
        <v>0</v>
      </c>
      <c r="K268" s="46">
        <f>'مركز الاتصالات'!K70</f>
        <v>0</v>
      </c>
      <c r="L268" s="46">
        <f>'مركز الاتصالات'!L70</f>
        <v>0</v>
      </c>
      <c r="M268" s="46">
        <f>'مركز الاتصالات'!M70</f>
        <v>0</v>
      </c>
      <c r="N268" s="46">
        <f>'مركز الاتصالات'!N70</f>
        <v>0</v>
      </c>
      <c r="O268" s="46">
        <f>'مركز الاتصالات'!O70</f>
        <v>0</v>
      </c>
      <c r="P268" s="46">
        <f>'مركز الاتصالات'!P70</f>
        <v>0</v>
      </c>
      <c r="Q268" s="46">
        <f>'مركز الاتصالات'!Q70</f>
        <v>0</v>
      </c>
      <c r="R268" s="47">
        <f>'مركز الاتصالات'!R70</f>
        <v>0</v>
      </c>
      <c r="S268" s="47">
        <f>'مركز الاتصالات'!S70</f>
        <v>0</v>
      </c>
      <c r="T268" s="46">
        <f>'مركز الاتصالات'!T70</f>
        <v>0</v>
      </c>
      <c r="U268" s="46">
        <f>'مركز الاتصالات'!U70</f>
        <v>0</v>
      </c>
      <c r="V268" s="46">
        <f>'مركز الاتصالات'!V70</f>
        <v>0</v>
      </c>
      <c r="W268" s="46">
        <f>'مركز الاتصالات'!W70</f>
        <v>0</v>
      </c>
      <c r="X268" s="46">
        <f>'مركز الاتصالات'!X70</f>
        <v>0</v>
      </c>
      <c r="Y268" s="46">
        <f>'مركز الاتصالات'!Y70</f>
        <v>0</v>
      </c>
      <c r="Z268" s="46">
        <f>'مركز الاتصالات'!Z70</f>
        <v>0</v>
      </c>
      <c r="AA268" s="46">
        <f>'مركز الاتصالات'!AA70</f>
        <v>0</v>
      </c>
      <c r="AB268" s="46">
        <f>'مركز الاتصالات'!AB70</f>
        <v>0</v>
      </c>
      <c r="AC268" s="46">
        <f>'مركز الاتصالات'!AC70</f>
        <v>0</v>
      </c>
      <c r="AD268" s="46">
        <f>'مركز الاتصالات'!AD70</f>
        <v>0</v>
      </c>
      <c r="AE268" s="46">
        <f>'مركز الاتصالات'!AE70</f>
        <v>0</v>
      </c>
      <c r="AF268" s="46">
        <f>'مركز الاتصالات'!AF70</f>
        <v>0</v>
      </c>
      <c r="AG268" s="46">
        <f>'مركز الاتصالات'!AG70</f>
        <v>0</v>
      </c>
      <c r="AH268" s="46">
        <f>'مركز الاتصالات'!AH70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+'مركز الاتصالات'!A71</f>
        <v>0</v>
      </c>
      <c r="B272" s="44">
        <f>+'مركز الاتصالات'!B71</f>
        <v>0</v>
      </c>
      <c r="C272" s="45">
        <f>+'مركز الاتصالات'!C71</f>
        <v>0</v>
      </c>
      <c r="D272" s="45">
        <f>+'مركز الاتصالات'!D71</f>
        <v>0</v>
      </c>
      <c r="E272" s="45">
        <f>+'مركز الاتصالات'!E71</f>
        <v>0</v>
      </c>
      <c r="F272" s="46">
        <f>'مركز الاتصالات'!F71</f>
        <v>0</v>
      </c>
      <c r="G272" s="46">
        <f>'مركز الاتصالات'!G71</f>
        <v>0</v>
      </c>
      <c r="H272" s="46">
        <f>'مركز الاتصالات'!H71</f>
        <v>0</v>
      </c>
      <c r="I272" s="46">
        <f>'مركز الاتصالات'!I71</f>
        <v>0</v>
      </c>
      <c r="J272" s="46">
        <f>'مركز الاتصالات'!J71</f>
        <v>0</v>
      </c>
      <c r="K272" s="46">
        <f>'مركز الاتصالات'!K71</f>
        <v>0</v>
      </c>
      <c r="L272" s="46">
        <f>'مركز الاتصالات'!L71</f>
        <v>0</v>
      </c>
      <c r="M272" s="46">
        <f>'مركز الاتصالات'!M71</f>
        <v>0</v>
      </c>
      <c r="N272" s="46">
        <f>'مركز الاتصالات'!N71</f>
        <v>0</v>
      </c>
      <c r="O272" s="46">
        <f>'مركز الاتصالات'!O71</f>
        <v>0</v>
      </c>
      <c r="P272" s="46">
        <f>'مركز الاتصالات'!P71</f>
        <v>0</v>
      </c>
      <c r="Q272" s="46">
        <f>'مركز الاتصالات'!Q71</f>
        <v>0</v>
      </c>
      <c r="R272" s="47">
        <f>'مركز الاتصالات'!R71</f>
        <v>0</v>
      </c>
      <c r="S272" s="47">
        <f>'مركز الاتصالات'!S71</f>
        <v>0</v>
      </c>
      <c r="T272" s="46">
        <f>'مركز الاتصالات'!T71</f>
        <v>0</v>
      </c>
      <c r="U272" s="46">
        <f>'مركز الاتصالات'!U71</f>
        <v>0</v>
      </c>
      <c r="V272" s="46">
        <f>'مركز الاتصالات'!V71</f>
        <v>0</v>
      </c>
      <c r="W272" s="46">
        <f>'مركز الاتصالات'!W71</f>
        <v>0</v>
      </c>
      <c r="X272" s="46">
        <f>'مركز الاتصالات'!X71</f>
        <v>0</v>
      </c>
      <c r="Y272" s="46">
        <f>'مركز الاتصالات'!Y71</f>
        <v>0</v>
      </c>
      <c r="Z272" s="46">
        <f>'مركز الاتصالات'!Z71</f>
        <v>0</v>
      </c>
      <c r="AA272" s="46">
        <f>'مركز الاتصالات'!AA71</f>
        <v>0</v>
      </c>
      <c r="AB272" s="46">
        <f>'مركز الاتصالات'!AB71</f>
        <v>0</v>
      </c>
      <c r="AC272" s="46">
        <f>'مركز الاتصالات'!AC71</f>
        <v>0</v>
      </c>
      <c r="AD272" s="46">
        <f>'مركز الاتصالات'!AD71</f>
        <v>0</v>
      </c>
      <c r="AE272" s="46">
        <f>'مركز الاتصالات'!AE71</f>
        <v>0</v>
      </c>
      <c r="AF272" s="46">
        <f>'مركز الاتصالات'!AF71</f>
        <v>0</v>
      </c>
      <c r="AG272" s="46">
        <f>'مركز الاتصالات'!AG71</f>
        <v>0</v>
      </c>
      <c r="AH272" s="46">
        <f>'مركز الاتصالات'!AH71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+'مركز الاتصالات'!A72</f>
        <v>0</v>
      </c>
      <c r="B276" s="44">
        <f>+'مركز الاتصالات'!B72</f>
        <v>0</v>
      </c>
      <c r="C276" s="45">
        <f>+'مركز الاتصالات'!C72</f>
        <v>0</v>
      </c>
      <c r="D276" s="45">
        <f>+'مركز الاتصالات'!D72</f>
        <v>0</v>
      </c>
      <c r="E276" s="45">
        <f>+'مركز الاتصالات'!E72</f>
        <v>0</v>
      </c>
      <c r="F276" s="46">
        <f>'مركز الاتصالات'!F72</f>
        <v>0</v>
      </c>
      <c r="G276" s="46">
        <f>'مركز الاتصالات'!G72</f>
        <v>0</v>
      </c>
      <c r="H276" s="46">
        <f>'مركز الاتصالات'!H72</f>
        <v>0</v>
      </c>
      <c r="I276" s="46">
        <f>'مركز الاتصالات'!I72</f>
        <v>0</v>
      </c>
      <c r="J276" s="46">
        <f>'مركز الاتصالات'!J72</f>
        <v>0</v>
      </c>
      <c r="K276" s="46">
        <f>'مركز الاتصالات'!K72</f>
        <v>0</v>
      </c>
      <c r="L276" s="46">
        <f>'مركز الاتصالات'!L72</f>
        <v>0</v>
      </c>
      <c r="M276" s="46">
        <f>'مركز الاتصالات'!M72</f>
        <v>0</v>
      </c>
      <c r="N276" s="46">
        <f>'مركز الاتصالات'!N72</f>
        <v>0</v>
      </c>
      <c r="O276" s="46">
        <f>'مركز الاتصالات'!O72</f>
        <v>0</v>
      </c>
      <c r="P276" s="46">
        <f>'مركز الاتصالات'!P72</f>
        <v>0</v>
      </c>
      <c r="Q276" s="46">
        <f>'مركز الاتصالات'!Q72</f>
        <v>0</v>
      </c>
      <c r="R276" s="47">
        <f>'مركز الاتصالات'!R72</f>
        <v>0</v>
      </c>
      <c r="S276" s="47">
        <f>'مركز الاتصالات'!S72</f>
        <v>0</v>
      </c>
      <c r="T276" s="46">
        <f>'مركز الاتصالات'!T72</f>
        <v>0</v>
      </c>
      <c r="U276" s="46">
        <f>'مركز الاتصالات'!U72</f>
        <v>0</v>
      </c>
      <c r="V276" s="46">
        <f>'مركز الاتصالات'!V72</f>
        <v>0</v>
      </c>
      <c r="W276" s="46">
        <f>'مركز الاتصالات'!W72</f>
        <v>0</v>
      </c>
      <c r="X276" s="46">
        <f>'مركز الاتصالات'!X72</f>
        <v>0</v>
      </c>
      <c r="Y276" s="46">
        <f>'مركز الاتصالات'!Y72</f>
        <v>0</v>
      </c>
      <c r="Z276" s="46">
        <f>'مركز الاتصالات'!Z72</f>
        <v>0</v>
      </c>
      <c r="AA276" s="46">
        <f>'مركز الاتصالات'!AA72</f>
        <v>0</v>
      </c>
      <c r="AB276" s="46">
        <f>'مركز الاتصالات'!AB72</f>
        <v>0</v>
      </c>
      <c r="AC276" s="46">
        <f>'مركز الاتصالات'!AC72</f>
        <v>0</v>
      </c>
      <c r="AD276" s="46">
        <f>'مركز الاتصالات'!AD72</f>
        <v>0</v>
      </c>
      <c r="AE276" s="46">
        <f>'مركز الاتصالات'!AE72</f>
        <v>0</v>
      </c>
      <c r="AF276" s="46">
        <f>'مركز الاتصالات'!AF72</f>
        <v>0</v>
      </c>
      <c r="AG276" s="46">
        <f>'مركز الاتصالات'!AG72</f>
        <v>0</v>
      </c>
      <c r="AH276" s="46">
        <f>'مركز الاتصالات'!AH72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+'مركز الاتصالات'!A73</f>
        <v>0</v>
      </c>
      <c r="B280" s="44">
        <f>+'مركز الاتصالات'!B73</f>
        <v>0</v>
      </c>
      <c r="C280" s="45">
        <f>+'مركز الاتصالات'!C73</f>
        <v>0</v>
      </c>
      <c r="D280" s="45">
        <f>+'مركز الاتصالات'!D73</f>
        <v>0</v>
      </c>
      <c r="E280" s="45">
        <f>+'مركز الاتصالات'!E73</f>
        <v>0</v>
      </c>
      <c r="F280" s="46">
        <f>'مركز الاتصالات'!F73</f>
        <v>0</v>
      </c>
      <c r="G280" s="46">
        <f>'مركز الاتصالات'!G73</f>
        <v>0</v>
      </c>
      <c r="H280" s="46">
        <f>'مركز الاتصالات'!H73</f>
        <v>0</v>
      </c>
      <c r="I280" s="46">
        <f>'مركز الاتصالات'!I73</f>
        <v>0</v>
      </c>
      <c r="J280" s="46">
        <f>'مركز الاتصالات'!J73</f>
        <v>0</v>
      </c>
      <c r="K280" s="46">
        <f>'مركز الاتصالات'!K73</f>
        <v>0</v>
      </c>
      <c r="L280" s="46">
        <f>'مركز الاتصالات'!L73</f>
        <v>0</v>
      </c>
      <c r="M280" s="46">
        <f>'مركز الاتصالات'!M73</f>
        <v>0</v>
      </c>
      <c r="N280" s="46">
        <f>'مركز الاتصالات'!N73</f>
        <v>0</v>
      </c>
      <c r="O280" s="46">
        <f>'مركز الاتصالات'!O73</f>
        <v>0</v>
      </c>
      <c r="P280" s="46">
        <f>'مركز الاتصالات'!P73</f>
        <v>0</v>
      </c>
      <c r="Q280" s="46">
        <f>'مركز الاتصالات'!Q73</f>
        <v>0</v>
      </c>
      <c r="R280" s="47">
        <f>'مركز الاتصالات'!R73</f>
        <v>0</v>
      </c>
      <c r="S280" s="47">
        <f>'مركز الاتصالات'!S73</f>
        <v>0</v>
      </c>
      <c r="T280" s="46">
        <f>'مركز الاتصالات'!T73</f>
        <v>0</v>
      </c>
      <c r="U280" s="46">
        <f>'مركز الاتصالات'!U73</f>
        <v>0</v>
      </c>
      <c r="V280" s="46">
        <f>'مركز الاتصالات'!V73</f>
        <v>0</v>
      </c>
      <c r="W280" s="46">
        <f>'مركز الاتصالات'!W73</f>
        <v>0</v>
      </c>
      <c r="X280" s="46">
        <f>'مركز الاتصالات'!X73</f>
        <v>0</v>
      </c>
      <c r="Y280" s="46">
        <f>'مركز الاتصالات'!Y73</f>
        <v>0</v>
      </c>
      <c r="Z280" s="46">
        <f>'مركز الاتصالات'!Z73</f>
        <v>0</v>
      </c>
      <c r="AA280" s="46">
        <f>'مركز الاتصالات'!AA73</f>
        <v>0</v>
      </c>
      <c r="AB280" s="46">
        <f>'مركز الاتصالات'!AB73</f>
        <v>0</v>
      </c>
      <c r="AC280" s="46">
        <f>'مركز الاتصالات'!AC73</f>
        <v>0</v>
      </c>
      <c r="AD280" s="46">
        <f>'مركز الاتصالات'!AD73</f>
        <v>0</v>
      </c>
      <c r="AE280" s="46">
        <f>'مركز الاتصالات'!AE73</f>
        <v>0</v>
      </c>
      <c r="AF280" s="46">
        <f>'مركز الاتصالات'!AF73</f>
        <v>0</v>
      </c>
      <c r="AG280" s="46">
        <f>'مركز الاتصالات'!AG73</f>
        <v>0</v>
      </c>
      <c r="AH280" s="46">
        <f>'مركز الاتصالات'!AH73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+'مركز الاتصالات'!A74</f>
        <v>0</v>
      </c>
      <c r="B284" s="44">
        <f>+'مركز الاتصالات'!B74</f>
        <v>0</v>
      </c>
      <c r="C284" s="45">
        <f>+'مركز الاتصالات'!C74</f>
        <v>0</v>
      </c>
      <c r="D284" s="45">
        <f>+'مركز الاتصالات'!D74</f>
        <v>0</v>
      </c>
      <c r="E284" s="45">
        <f>+'مركز الاتصالات'!E74</f>
        <v>0</v>
      </c>
      <c r="F284" s="46">
        <f>'مركز الاتصالات'!F74</f>
        <v>0</v>
      </c>
      <c r="G284" s="46">
        <f>'مركز الاتصالات'!G74</f>
        <v>0</v>
      </c>
      <c r="H284" s="46">
        <f>'مركز الاتصالات'!H74</f>
        <v>0</v>
      </c>
      <c r="I284" s="46">
        <f>'مركز الاتصالات'!I74</f>
        <v>0</v>
      </c>
      <c r="J284" s="46">
        <f>'مركز الاتصالات'!J74</f>
        <v>0</v>
      </c>
      <c r="K284" s="46">
        <f>'مركز الاتصالات'!K74</f>
        <v>0</v>
      </c>
      <c r="L284" s="46">
        <f>'مركز الاتصالات'!L74</f>
        <v>0</v>
      </c>
      <c r="M284" s="46">
        <f>'مركز الاتصالات'!M74</f>
        <v>0</v>
      </c>
      <c r="N284" s="46">
        <f>'مركز الاتصالات'!N74</f>
        <v>0</v>
      </c>
      <c r="O284" s="46">
        <f>'مركز الاتصالات'!O74</f>
        <v>0</v>
      </c>
      <c r="P284" s="46">
        <f>'مركز الاتصالات'!P74</f>
        <v>0</v>
      </c>
      <c r="Q284" s="46">
        <f>'مركز الاتصالات'!Q74</f>
        <v>0</v>
      </c>
      <c r="R284" s="47">
        <f>'مركز الاتصالات'!R74</f>
        <v>0</v>
      </c>
      <c r="S284" s="47">
        <f>'مركز الاتصالات'!S74</f>
        <v>0</v>
      </c>
      <c r="T284" s="46">
        <f>'مركز الاتصالات'!T74</f>
        <v>0</v>
      </c>
      <c r="U284" s="46">
        <f>'مركز الاتصالات'!U74</f>
        <v>0</v>
      </c>
      <c r="V284" s="46">
        <f>'مركز الاتصالات'!V74</f>
        <v>0</v>
      </c>
      <c r="W284" s="46">
        <f>'مركز الاتصالات'!W74</f>
        <v>0</v>
      </c>
      <c r="X284" s="46">
        <f>'مركز الاتصالات'!X74</f>
        <v>0</v>
      </c>
      <c r="Y284" s="46">
        <f>'مركز الاتصالات'!Y74</f>
        <v>0</v>
      </c>
      <c r="Z284" s="46">
        <f>'مركز الاتصالات'!Z74</f>
        <v>0</v>
      </c>
      <c r="AA284" s="46">
        <f>'مركز الاتصالات'!AA74</f>
        <v>0</v>
      </c>
      <c r="AB284" s="46">
        <f>'مركز الاتصالات'!AB74</f>
        <v>0</v>
      </c>
      <c r="AC284" s="46">
        <f>'مركز الاتصالات'!AC74</f>
        <v>0</v>
      </c>
      <c r="AD284" s="46">
        <f>'مركز الاتصالات'!AD74</f>
        <v>0</v>
      </c>
      <c r="AE284" s="46">
        <f>'مركز الاتصالات'!AE74</f>
        <v>0</v>
      </c>
      <c r="AF284" s="46">
        <f>'مركز الاتصالات'!AF74</f>
        <v>0</v>
      </c>
      <c r="AG284" s="46">
        <f>'مركز الاتصالات'!AG74</f>
        <v>0</v>
      </c>
      <c r="AH284" s="46">
        <f>'مركز الاتصالات'!AH74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+'مركز الاتصالات'!A75</f>
        <v>0</v>
      </c>
      <c r="B288" s="44">
        <f>+'مركز الاتصالات'!B75</f>
        <v>0</v>
      </c>
      <c r="C288" s="45">
        <f>+'مركز الاتصالات'!C75</f>
        <v>0</v>
      </c>
      <c r="D288" s="45">
        <f>+'مركز الاتصالات'!D75</f>
        <v>0</v>
      </c>
      <c r="E288" s="45">
        <f>+'مركز الاتصالات'!E75</f>
        <v>0</v>
      </c>
      <c r="F288" s="46">
        <f>'مركز الاتصالات'!F75</f>
        <v>0</v>
      </c>
      <c r="G288" s="46">
        <f>'مركز الاتصالات'!G75</f>
        <v>0</v>
      </c>
      <c r="H288" s="46">
        <f>'مركز الاتصالات'!H75</f>
        <v>0</v>
      </c>
      <c r="I288" s="46">
        <f>'مركز الاتصالات'!I75</f>
        <v>0</v>
      </c>
      <c r="J288" s="46">
        <f>'مركز الاتصالات'!J75</f>
        <v>0</v>
      </c>
      <c r="K288" s="46">
        <f>'مركز الاتصالات'!K75</f>
        <v>0</v>
      </c>
      <c r="L288" s="46">
        <f>'مركز الاتصالات'!L75</f>
        <v>0</v>
      </c>
      <c r="M288" s="46">
        <f>'مركز الاتصالات'!M75</f>
        <v>0</v>
      </c>
      <c r="N288" s="46">
        <f>'مركز الاتصالات'!N75</f>
        <v>0</v>
      </c>
      <c r="O288" s="46">
        <f>'مركز الاتصالات'!O75</f>
        <v>0</v>
      </c>
      <c r="P288" s="46">
        <f>'مركز الاتصالات'!P75</f>
        <v>0</v>
      </c>
      <c r="Q288" s="46">
        <f>'مركز الاتصالات'!Q75</f>
        <v>0</v>
      </c>
      <c r="R288" s="47">
        <f>'مركز الاتصالات'!R75</f>
        <v>0</v>
      </c>
      <c r="S288" s="47">
        <f>'مركز الاتصالات'!S75</f>
        <v>0</v>
      </c>
      <c r="T288" s="46">
        <f>'مركز الاتصالات'!T75</f>
        <v>0</v>
      </c>
      <c r="U288" s="46">
        <f>'مركز الاتصالات'!U75</f>
        <v>0</v>
      </c>
      <c r="V288" s="46">
        <f>'مركز الاتصالات'!V75</f>
        <v>0</v>
      </c>
      <c r="W288" s="46">
        <f>'مركز الاتصالات'!W75</f>
        <v>0</v>
      </c>
      <c r="X288" s="46">
        <f>'مركز الاتصالات'!X75</f>
        <v>0</v>
      </c>
      <c r="Y288" s="46">
        <f>'مركز الاتصالات'!Y75</f>
        <v>0</v>
      </c>
      <c r="Z288" s="46">
        <f>'مركز الاتصالات'!Z75</f>
        <v>0</v>
      </c>
      <c r="AA288" s="46">
        <f>'مركز الاتصالات'!AA75</f>
        <v>0</v>
      </c>
      <c r="AB288" s="46">
        <f>'مركز الاتصالات'!AB75</f>
        <v>0</v>
      </c>
      <c r="AC288" s="46">
        <f>'مركز الاتصالات'!AC75</f>
        <v>0</v>
      </c>
      <c r="AD288" s="46">
        <f>'مركز الاتصالات'!AD75</f>
        <v>0</v>
      </c>
      <c r="AE288" s="46">
        <f>'مركز الاتصالات'!AE75</f>
        <v>0</v>
      </c>
      <c r="AF288" s="46">
        <f>'مركز الاتصالات'!AF75</f>
        <v>0</v>
      </c>
      <c r="AG288" s="46">
        <f>'مركز الاتصالات'!AG75</f>
        <v>0</v>
      </c>
      <c r="AH288" s="46">
        <f>'مركز الاتصالات'!AH75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+'مركز الاتصالات'!A76</f>
        <v>0</v>
      </c>
      <c r="B292" s="44">
        <f>+'مركز الاتصالات'!B76</f>
        <v>0</v>
      </c>
      <c r="C292" s="45">
        <f>+'مركز الاتصالات'!C76</f>
        <v>0</v>
      </c>
      <c r="D292" s="45">
        <f>+'مركز الاتصالات'!D76</f>
        <v>0</v>
      </c>
      <c r="E292" s="45">
        <f>+'مركز الاتصالات'!E76</f>
        <v>0</v>
      </c>
      <c r="F292" s="46">
        <f>'مركز الاتصالات'!F76</f>
        <v>0</v>
      </c>
      <c r="G292" s="46">
        <f>'مركز الاتصالات'!G76</f>
        <v>0</v>
      </c>
      <c r="H292" s="46">
        <f>'مركز الاتصالات'!H76</f>
        <v>0</v>
      </c>
      <c r="I292" s="46">
        <f>'مركز الاتصالات'!I76</f>
        <v>0</v>
      </c>
      <c r="J292" s="46">
        <f>'مركز الاتصالات'!J76</f>
        <v>0</v>
      </c>
      <c r="K292" s="46">
        <f>'مركز الاتصالات'!K76</f>
        <v>0</v>
      </c>
      <c r="L292" s="46">
        <f>'مركز الاتصالات'!L76</f>
        <v>0</v>
      </c>
      <c r="M292" s="46">
        <f>'مركز الاتصالات'!M76</f>
        <v>0</v>
      </c>
      <c r="N292" s="46">
        <f>'مركز الاتصالات'!N76</f>
        <v>0</v>
      </c>
      <c r="O292" s="46">
        <f>'مركز الاتصالات'!O76</f>
        <v>0</v>
      </c>
      <c r="P292" s="46">
        <f>'مركز الاتصالات'!P76</f>
        <v>0</v>
      </c>
      <c r="Q292" s="46">
        <f>'مركز الاتصالات'!Q76</f>
        <v>0</v>
      </c>
      <c r="R292" s="47">
        <f>'مركز الاتصالات'!R76</f>
        <v>0</v>
      </c>
      <c r="S292" s="47">
        <f>'مركز الاتصالات'!S76</f>
        <v>0</v>
      </c>
      <c r="T292" s="46">
        <f>'مركز الاتصالات'!T76</f>
        <v>0</v>
      </c>
      <c r="U292" s="46">
        <f>'مركز الاتصالات'!U76</f>
        <v>0</v>
      </c>
      <c r="V292" s="46">
        <f>'مركز الاتصالات'!V76</f>
        <v>0</v>
      </c>
      <c r="W292" s="46">
        <f>'مركز الاتصالات'!W76</f>
        <v>0</v>
      </c>
      <c r="X292" s="46">
        <f>'مركز الاتصالات'!X76</f>
        <v>0</v>
      </c>
      <c r="Y292" s="46">
        <f>'مركز الاتصالات'!Y76</f>
        <v>0</v>
      </c>
      <c r="Z292" s="46">
        <f>'مركز الاتصالات'!Z76</f>
        <v>0</v>
      </c>
      <c r="AA292" s="46">
        <f>'مركز الاتصالات'!AA76</f>
        <v>0</v>
      </c>
      <c r="AB292" s="46">
        <f>'مركز الاتصالات'!AB76</f>
        <v>0</v>
      </c>
      <c r="AC292" s="46">
        <f>'مركز الاتصالات'!AC76</f>
        <v>0</v>
      </c>
      <c r="AD292" s="46">
        <f>'مركز الاتصالات'!AD76</f>
        <v>0</v>
      </c>
      <c r="AE292" s="46">
        <f>'مركز الاتصالات'!AE76</f>
        <v>0</v>
      </c>
      <c r="AF292" s="46">
        <f>'مركز الاتصالات'!AF76</f>
        <v>0</v>
      </c>
      <c r="AG292" s="46">
        <f>'مركز الاتصالات'!AG76</f>
        <v>0</v>
      </c>
      <c r="AH292" s="46">
        <f>'مركز الاتصالات'!AH76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+'مركز الاتصالات'!A77</f>
        <v>0</v>
      </c>
      <c r="B296" s="44">
        <f>+'مركز الاتصالات'!B77</f>
        <v>0</v>
      </c>
      <c r="C296" s="45">
        <f>+'مركز الاتصالات'!C77</f>
        <v>0</v>
      </c>
      <c r="D296" s="45">
        <f>+'مركز الاتصالات'!D77</f>
        <v>0</v>
      </c>
      <c r="E296" s="45">
        <f>+'مركز الاتصالات'!E77</f>
        <v>0</v>
      </c>
      <c r="F296" s="46">
        <f>'مركز الاتصالات'!F77</f>
        <v>0</v>
      </c>
      <c r="G296" s="46">
        <f>'مركز الاتصالات'!G77</f>
        <v>0</v>
      </c>
      <c r="H296" s="46">
        <f>'مركز الاتصالات'!H77</f>
        <v>0</v>
      </c>
      <c r="I296" s="46">
        <f>'مركز الاتصالات'!I77</f>
        <v>0</v>
      </c>
      <c r="J296" s="46">
        <f>'مركز الاتصالات'!J77</f>
        <v>0</v>
      </c>
      <c r="K296" s="46">
        <f>'مركز الاتصالات'!K77</f>
        <v>0</v>
      </c>
      <c r="L296" s="46">
        <f>'مركز الاتصالات'!L77</f>
        <v>0</v>
      </c>
      <c r="M296" s="46">
        <f>'مركز الاتصالات'!M77</f>
        <v>0</v>
      </c>
      <c r="N296" s="46">
        <f>'مركز الاتصالات'!N77</f>
        <v>0</v>
      </c>
      <c r="O296" s="46">
        <f>'مركز الاتصالات'!O77</f>
        <v>0</v>
      </c>
      <c r="P296" s="46">
        <f>'مركز الاتصالات'!P77</f>
        <v>0</v>
      </c>
      <c r="Q296" s="46">
        <f>'مركز الاتصالات'!Q77</f>
        <v>0</v>
      </c>
      <c r="R296" s="47">
        <f>'مركز الاتصالات'!R77</f>
        <v>0</v>
      </c>
      <c r="S296" s="47">
        <f>'مركز الاتصالات'!S77</f>
        <v>0</v>
      </c>
      <c r="T296" s="46">
        <f>'مركز الاتصالات'!T77</f>
        <v>0</v>
      </c>
      <c r="U296" s="46">
        <f>'مركز الاتصالات'!U77</f>
        <v>0</v>
      </c>
      <c r="V296" s="46">
        <f>'مركز الاتصالات'!V77</f>
        <v>0</v>
      </c>
      <c r="W296" s="46">
        <f>'مركز الاتصالات'!W77</f>
        <v>0</v>
      </c>
      <c r="X296" s="46">
        <f>'مركز الاتصالات'!X77</f>
        <v>0</v>
      </c>
      <c r="Y296" s="46">
        <f>'مركز الاتصالات'!Y77</f>
        <v>0</v>
      </c>
      <c r="Z296" s="46">
        <f>'مركز الاتصالات'!Z77</f>
        <v>0</v>
      </c>
      <c r="AA296" s="46">
        <f>'مركز الاتصالات'!AA77</f>
        <v>0</v>
      </c>
      <c r="AB296" s="46">
        <f>'مركز الاتصالات'!AB77</f>
        <v>0</v>
      </c>
      <c r="AC296" s="46">
        <f>'مركز الاتصالات'!AC77</f>
        <v>0</v>
      </c>
      <c r="AD296" s="46">
        <f>'مركز الاتصالات'!AD77</f>
        <v>0</v>
      </c>
      <c r="AE296" s="46">
        <f>'مركز الاتصالات'!AE77</f>
        <v>0</v>
      </c>
      <c r="AF296" s="46">
        <f>'مركز الاتصالات'!AF77</f>
        <v>0</v>
      </c>
      <c r="AG296" s="46">
        <f>'مركز الاتصالات'!AG77</f>
        <v>0</v>
      </c>
      <c r="AH296" s="46">
        <f>'مركز الاتصالات'!AH77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+'مركز الاتصالات'!A78</f>
        <v>0</v>
      </c>
      <c r="B300" s="44">
        <f>+'مركز الاتصالات'!B78</f>
        <v>0</v>
      </c>
      <c r="C300" s="45">
        <f>+'مركز الاتصالات'!C78</f>
        <v>0</v>
      </c>
      <c r="D300" s="45">
        <f>+'مركز الاتصالات'!D78</f>
        <v>0</v>
      </c>
      <c r="E300" s="45">
        <f>+'مركز الاتصالات'!E78</f>
        <v>0</v>
      </c>
      <c r="F300" s="46">
        <f>'مركز الاتصالات'!F78</f>
        <v>0</v>
      </c>
      <c r="G300" s="46">
        <f>'مركز الاتصالات'!G78</f>
        <v>0</v>
      </c>
      <c r="H300" s="46">
        <f>'مركز الاتصالات'!H78</f>
        <v>0</v>
      </c>
      <c r="I300" s="46">
        <f>'مركز الاتصالات'!I78</f>
        <v>0</v>
      </c>
      <c r="J300" s="46">
        <f>'مركز الاتصالات'!J78</f>
        <v>0</v>
      </c>
      <c r="K300" s="46">
        <f>'مركز الاتصالات'!K78</f>
        <v>0</v>
      </c>
      <c r="L300" s="46">
        <f>'مركز الاتصالات'!L78</f>
        <v>0</v>
      </c>
      <c r="M300" s="46">
        <f>'مركز الاتصالات'!M78</f>
        <v>0</v>
      </c>
      <c r="N300" s="46">
        <f>'مركز الاتصالات'!N78</f>
        <v>0</v>
      </c>
      <c r="O300" s="46">
        <f>'مركز الاتصالات'!O78</f>
        <v>0</v>
      </c>
      <c r="P300" s="46">
        <f>'مركز الاتصالات'!P78</f>
        <v>0</v>
      </c>
      <c r="Q300" s="46">
        <f>'مركز الاتصالات'!Q78</f>
        <v>0</v>
      </c>
      <c r="R300" s="47">
        <f>'مركز الاتصالات'!R78</f>
        <v>0</v>
      </c>
      <c r="S300" s="47">
        <f>'مركز الاتصالات'!S78</f>
        <v>0</v>
      </c>
      <c r="T300" s="46">
        <f>'مركز الاتصالات'!T78</f>
        <v>0</v>
      </c>
      <c r="U300" s="46">
        <f>'مركز الاتصالات'!U78</f>
        <v>0</v>
      </c>
      <c r="V300" s="46">
        <f>'مركز الاتصالات'!V78</f>
        <v>0</v>
      </c>
      <c r="W300" s="46">
        <f>'مركز الاتصالات'!W78</f>
        <v>0</v>
      </c>
      <c r="X300" s="46">
        <f>'مركز الاتصالات'!X78</f>
        <v>0</v>
      </c>
      <c r="Y300" s="46">
        <f>'مركز الاتصالات'!Y78</f>
        <v>0</v>
      </c>
      <c r="Z300" s="46">
        <f>'مركز الاتصالات'!Z78</f>
        <v>0</v>
      </c>
      <c r="AA300" s="46">
        <f>'مركز الاتصالات'!AA78</f>
        <v>0</v>
      </c>
      <c r="AB300" s="46">
        <f>'مركز الاتصالات'!AB78</f>
        <v>0</v>
      </c>
      <c r="AC300" s="46">
        <f>'مركز الاتصالات'!AC78</f>
        <v>0</v>
      </c>
      <c r="AD300" s="46">
        <f>'مركز الاتصالات'!AD78</f>
        <v>0</v>
      </c>
      <c r="AE300" s="46">
        <f>'مركز الاتصالات'!AE78</f>
        <v>0</v>
      </c>
      <c r="AF300" s="46">
        <f>'مركز الاتصالات'!AF78</f>
        <v>0</v>
      </c>
      <c r="AG300" s="46">
        <f>'مركز الاتصالات'!AG78</f>
        <v>0</v>
      </c>
      <c r="AH300" s="46">
        <f>'مركز الاتصالات'!AH78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+'مركز الاتصالات'!A79</f>
        <v>0</v>
      </c>
      <c r="B304" s="44">
        <f>+'مركز الاتصالات'!B79</f>
        <v>0</v>
      </c>
      <c r="C304" s="45">
        <f>+'مركز الاتصالات'!C79</f>
        <v>0</v>
      </c>
      <c r="D304" s="45">
        <f>+'مركز الاتصالات'!D79</f>
        <v>0</v>
      </c>
      <c r="E304" s="45">
        <f>+'مركز الاتصالات'!E79</f>
        <v>0</v>
      </c>
      <c r="F304" s="46">
        <f>'مركز الاتصالات'!F79</f>
        <v>0</v>
      </c>
      <c r="G304" s="46">
        <f>'مركز الاتصالات'!G79</f>
        <v>0</v>
      </c>
      <c r="H304" s="46">
        <f>'مركز الاتصالات'!H79</f>
        <v>0</v>
      </c>
      <c r="I304" s="46">
        <f>'مركز الاتصالات'!I79</f>
        <v>0</v>
      </c>
      <c r="J304" s="46">
        <f>'مركز الاتصالات'!J79</f>
        <v>0</v>
      </c>
      <c r="K304" s="46">
        <f>'مركز الاتصالات'!K79</f>
        <v>0</v>
      </c>
      <c r="L304" s="46">
        <f>'مركز الاتصالات'!L79</f>
        <v>0</v>
      </c>
      <c r="M304" s="46">
        <f>'مركز الاتصالات'!M79</f>
        <v>0</v>
      </c>
      <c r="N304" s="46">
        <f>'مركز الاتصالات'!N79</f>
        <v>0</v>
      </c>
      <c r="O304" s="46">
        <f>'مركز الاتصالات'!O79</f>
        <v>0</v>
      </c>
      <c r="P304" s="46">
        <f>'مركز الاتصالات'!P79</f>
        <v>0</v>
      </c>
      <c r="Q304" s="46">
        <f>'مركز الاتصالات'!Q79</f>
        <v>0</v>
      </c>
      <c r="R304" s="47">
        <f>'مركز الاتصالات'!R79</f>
        <v>0</v>
      </c>
      <c r="S304" s="47">
        <f>'مركز الاتصالات'!S79</f>
        <v>0</v>
      </c>
      <c r="T304" s="46">
        <f>'مركز الاتصالات'!T79</f>
        <v>0</v>
      </c>
      <c r="U304" s="46">
        <f>'مركز الاتصالات'!U79</f>
        <v>0</v>
      </c>
      <c r="V304" s="46">
        <f>'مركز الاتصالات'!V79</f>
        <v>0</v>
      </c>
      <c r="W304" s="46">
        <f>'مركز الاتصالات'!W79</f>
        <v>0</v>
      </c>
      <c r="X304" s="46">
        <f>'مركز الاتصالات'!X79</f>
        <v>0</v>
      </c>
      <c r="Y304" s="46">
        <f>'مركز الاتصالات'!Y79</f>
        <v>0</v>
      </c>
      <c r="Z304" s="46">
        <f>'مركز الاتصالات'!Z79</f>
        <v>0</v>
      </c>
      <c r="AA304" s="46">
        <f>'مركز الاتصالات'!AA79</f>
        <v>0</v>
      </c>
      <c r="AB304" s="46">
        <f>'مركز الاتصالات'!AB79</f>
        <v>0</v>
      </c>
      <c r="AC304" s="46">
        <f>'مركز الاتصالات'!AC79</f>
        <v>0</v>
      </c>
      <c r="AD304" s="46">
        <f>'مركز الاتصالات'!AD79</f>
        <v>0</v>
      </c>
      <c r="AE304" s="46">
        <f>'مركز الاتصالات'!AE79</f>
        <v>0</v>
      </c>
      <c r="AF304" s="46">
        <f>'مركز الاتصالات'!AF79</f>
        <v>0</v>
      </c>
      <c r="AG304" s="46">
        <f>'مركز الاتصالات'!AG79</f>
        <v>0</v>
      </c>
      <c r="AH304" s="46">
        <f>'مركز الاتصالات'!AH79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+'مركز الاتصالات'!A80</f>
        <v>0</v>
      </c>
      <c r="B308" s="44">
        <f>+'مركز الاتصالات'!B80</f>
        <v>0</v>
      </c>
      <c r="C308" s="45">
        <f>+'مركز الاتصالات'!C80</f>
        <v>0</v>
      </c>
      <c r="D308" s="45">
        <f>+'مركز الاتصالات'!D80</f>
        <v>0</v>
      </c>
      <c r="E308" s="45">
        <f>+'مركز الاتصالات'!E80</f>
        <v>0</v>
      </c>
      <c r="F308" s="46">
        <f>'مركز الاتصالات'!F80</f>
        <v>0</v>
      </c>
      <c r="G308" s="46">
        <f>'مركز الاتصالات'!G80</f>
        <v>0</v>
      </c>
      <c r="H308" s="46">
        <f>'مركز الاتصالات'!H80</f>
        <v>0</v>
      </c>
      <c r="I308" s="46">
        <f>'مركز الاتصالات'!I80</f>
        <v>0</v>
      </c>
      <c r="J308" s="46">
        <f>'مركز الاتصالات'!J80</f>
        <v>0</v>
      </c>
      <c r="K308" s="46">
        <f>'مركز الاتصالات'!K80</f>
        <v>0</v>
      </c>
      <c r="L308" s="46">
        <f>'مركز الاتصالات'!L80</f>
        <v>0</v>
      </c>
      <c r="M308" s="46">
        <f>'مركز الاتصالات'!M80</f>
        <v>0</v>
      </c>
      <c r="N308" s="46">
        <f>'مركز الاتصالات'!N80</f>
        <v>0</v>
      </c>
      <c r="O308" s="46">
        <f>'مركز الاتصالات'!O80</f>
        <v>0</v>
      </c>
      <c r="P308" s="46">
        <f>'مركز الاتصالات'!P80</f>
        <v>0</v>
      </c>
      <c r="Q308" s="46">
        <f>'مركز الاتصالات'!Q80</f>
        <v>0</v>
      </c>
      <c r="R308" s="47">
        <f>'مركز الاتصالات'!R80</f>
        <v>0</v>
      </c>
      <c r="S308" s="47">
        <f>'مركز الاتصالات'!S80</f>
        <v>0</v>
      </c>
      <c r="T308" s="46">
        <f>'مركز الاتصالات'!T80</f>
        <v>0</v>
      </c>
      <c r="U308" s="46">
        <f>'مركز الاتصالات'!U80</f>
        <v>0</v>
      </c>
      <c r="V308" s="46">
        <f>'مركز الاتصالات'!V80</f>
        <v>0</v>
      </c>
      <c r="W308" s="46">
        <f>'مركز الاتصالات'!W80</f>
        <v>0</v>
      </c>
      <c r="X308" s="46">
        <f>'مركز الاتصالات'!X80</f>
        <v>0</v>
      </c>
      <c r="Y308" s="46">
        <f>'مركز الاتصالات'!Y80</f>
        <v>0</v>
      </c>
      <c r="Z308" s="46">
        <f>'مركز الاتصالات'!Z80</f>
        <v>0</v>
      </c>
      <c r="AA308" s="46">
        <f>'مركز الاتصالات'!AA80</f>
        <v>0</v>
      </c>
      <c r="AB308" s="46">
        <f>'مركز الاتصالات'!AB80</f>
        <v>0</v>
      </c>
      <c r="AC308" s="46">
        <f>'مركز الاتصالات'!AC80</f>
        <v>0</v>
      </c>
      <c r="AD308" s="46">
        <f>'مركز الاتصالات'!AD80</f>
        <v>0</v>
      </c>
      <c r="AE308" s="46">
        <f>'مركز الاتصالات'!AE80</f>
        <v>0</v>
      </c>
      <c r="AF308" s="46">
        <f>'مركز الاتصالات'!AF80</f>
        <v>0</v>
      </c>
      <c r="AG308" s="46">
        <f>'مركز الاتصالات'!AG80</f>
        <v>0</v>
      </c>
      <c r="AH308" s="46">
        <f>'مركز الاتصالات'!AH80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</mergeCells>
  <pageMargins left="0" right="0.5" top="0" bottom="0" header="0" footer="0"/>
  <pageSetup paperSize="9" scale="3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AH309"/>
  <sheetViews>
    <sheetView rightToLeft="1" topLeftCell="A82" zoomScale="77" zoomScaleNormal="77" workbookViewId="0">
      <selection activeCell="G88" sqref="G88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+'الادارة المالية'!A4</f>
        <v>0</v>
      </c>
      <c r="B4" s="44">
        <f>+'الادارة المالية'!B4</f>
        <v>0</v>
      </c>
      <c r="C4" s="45">
        <f>+'الادارة المالية'!C4</f>
        <v>0</v>
      </c>
      <c r="D4" s="45">
        <f>+'الادارة المالية'!D4</f>
        <v>0</v>
      </c>
      <c r="E4" s="45">
        <f>+'الادارة المالية'!E4</f>
        <v>0</v>
      </c>
      <c r="F4" s="46">
        <f>'الادارة المالية'!F4</f>
        <v>0</v>
      </c>
      <c r="G4" s="46">
        <f>'الادارة المالية'!G4</f>
        <v>0</v>
      </c>
      <c r="H4" s="46">
        <f>'الادارة المالية'!H4</f>
        <v>0</v>
      </c>
      <c r="I4" s="46">
        <f>'الادارة المالية'!I4</f>
        <v>0</v>
      </c>
      <c r="J4" s="46">
        <f>'الادارة المالية'!J4</f>
        <v>0</v>
      </c>
      <c r="K4" s="46">
        <f>'الادارة المالية'!K4</f>
        <v>0</v>
      </c>
      <c r="L4" s="46">
        <f>'الادارة المالية'!L4</f>
        <v>0</v>
      </c>
      <c r="M4" s="46">
        <f>'الادارة المالية'!M4</f>
        <v>0</v>
      </c>
      <c r="N4" s="46">
        <f>'الادارة المالية'!N4</f>
        <v>0</v>
      </c>
      <c r="O4" s="46">
        <f>'الادارة المالية'!O4</f>
        <v>0</v>
      </c>
      <c r="P4" s="46">
        <f>'الادارة المالية'!P4</f>
        <v>0</v>
      </c>
      <c r="Q4" s="46">
        <f>'الادارة المالية'!Q4</f>
        <v>0</v>
      </c>
      <c r="R4" s="47">
        <f>'الادارة المالية'!R4</f>
        <v>0</v>
      </c>
      <c r="S4" s="47">
        <f>'الادارة المالية'!S4</f>
        <v>0</v>
      </c>
      <c r="T4" s="46">
        <f>'الادارة المالية'!T4</f>
        <v>0</v>
      </c>
      <c r="U4" s="46">
        <f>'الادارة المالية'!U4</f>
        <v>0</v>
      </c>
      <c r="V4" s="46">
        <f>'الادارة المالية'!V4</f>
        <v>0</v>
      </c>
      <c r="W4" s="46">
        <f>'الادارة المالية'!W4</f>
        <v>0</v>
      </c>
      <c r="X4" s="46">
        <f>'الادارة المالية'!X4</f>
        <v>0</v>
      </c>
      <c r="Y4" s="46">
        <f>'الادارة المالية'!Y4</f>
        <v>0</v>
      </c>
      <c r="Z4" s="46">
        <f>'الادارة المالية'!Z4</f>
        <v>0</v>
      </c>
      <c r="AA4" s="46">
        <f>'الادارة المالية'!AA4</f>
        <v>0</v>
      </c>
      <c r="AB4" s="46">
        <f>'الادارة المالية'!AB4</f>
        <v>0</v>
      </c>
      <c r="AC4" s="46">
        <f>'الادارة المالية'!AC4</f>
        <v>0</v>
      </c>
      <c r="AD4" s="46">
        <f>'الادارة المالية'!AD4</f>
        <v>0</v>
      </c>
      <c r="AE4" s="46">
        <f>'الادارة المالية'!AE4</f>
        <v>0</v>
      </c>
      <c r="AF4" s="46">
        <f>'الادارة المالية'!AF4</f>
        <v>0</v>
      </c>
      <c r="AG4" s="46">
        <f>'الادارة المالية'!AG4</f>
        <v>0</v>
      </c>
      <c r="AH4" s="46">
        <f>'الادارة المالية'!AH4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+'الادارة المالية'!A5</f>
        <v>0</v>
      </c>
      <c r="B8" s="44">
        <f>+'الادارة المالية'!B5</f>
        <v>0</v>
      </c>
      <c r="C8" s="45">
        <f>+'الادارة المالية'!C5</f>
        <v>0</v>
      </c>
      <c r="D8" s="45">
        <f>+'الادارة المالية'!D5</f>
        <v>0</v>
      </c>
      <c r="E8" s="45">
        <f>+'الادارة المالية'!E5</f>
        <v>0</v>
      </c>
      <c r="F8" s="46">
        <f>+'الادارة المالية'!F5</f>
        <v>0</v>
      </c>
      <c r="G8" s="46">
        <f>+'الادارة المالية'!G5</f>
        <v>0</v>
      </c>
      <c r="H8" s="46">
        <f>+'الادارة المالية'!H5</f>
        <v>0</v>
      </c>
      <c r="I8" s="46">
        <f>+'الادارة المالية'!I5</f>
        <v>0</v>
      </c>
      <c r="J8" s="46">
        <f>+'الادارة المالية'!J5</f>
        <v>0</v>
      </c>
      <c r="K8" s="46">
        <f>+'الادارة المالية'!K5</f>
        <v>0</v>
      </c>
      <c r="L8" s="46">
        <f>+'الادارة المالية'!L5</f>
        <v>0</v>
      </c>
      <c r="M8" s="46">
        <f>+'الادارة المالية'!M5</f>
        <v>0</v>
      </c>
      <c r="N8" s="46">
        <f>+'الادارة المالية'!N5</f>
        <v>0</v>
      </c>
      <c r="O8" s="46">
        <f>+'الادارة المالية'!O5</f>
        <v>0</v>
      </c>
      <c r="P8" s="46">
        <f>+'الادارة المالية'!P5</f>
        <v>0</v>
      </c>
      <c r="Q8" s="46">
        <f>+'الادارة المالية'!Q5</f>
        <v>0</v>
      </c>
      <c r="R8" s="47">
        <f>+'الادارة المالية'!R5</f>
        <v>0</v>
      </c>
      <c r="S8" s="47">
        <f>+'الادارة المالية'!S5</f>
        <v>0</v>
      </c>
      <c r="T8" s="46">
        <f>+'الادارة المالية'!T5</f>
        <v>0</v>
      </c>
      <c r="U8" s="46">
        <f>+'الادارة المالية'!U5</f>
        <v>0</v>
      </c>
      <c r="V8" s="46">
        <f>+'الادارة المالية'!V5</f>
        <v>0</v>
      </c>
      <c r="W8" s="46">
        <f>+'الادارة المالية'!W5</f>
        <v>0</v>
      </c>
      <c r="X8" s="46">
        <f>+'الادارة المالية'!X5</f>
        <v>0</v>
      </c>
      <c r="Y8" s="46">
        <f>+'الادارة المالية'!Y5</f>
        <v>0</v>
      </c>
      <c r="Z8" s="46">
        <f>+'الادارة المالية'!Z5</f>
        <v>0</v>
      </c>
      <c r="AA8" s="46">
        <f>+'الادارة المالية'!AA5</f>
        <v>0</v>
      </c>
      <c r="AB8" s="46">
        <f>+'الادارة المالية'!AB5</f>
        <v>0</v>
      </c>
      <c r="AC8" s="46">
        <f>+'الادارة المالية'!AC5</f>
        <v>0</v>
      </c>
      <c r="AD8" s="46">
        <f>+'الادارة المالية'!AD5</f>
        <v>0</v>
      </c>
      <c r="AE8" s="46">
        <f>+'الادارة المالية'!AE5</f>
        <v>0</v>
      </c>
      <c r="AF8" s="46">
        <f>+'الادارة المالية'!AF5</f>
        <v>0</v>
      </c>
      <c r="AG8" s="46">
        <f>+'الادارة المالية'!AG5</f>
        <v>0</v>
      </c>
      <c r="AH8" s="46">
        <f>+'الادارة المالية'!AH5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+'الادارة المالية'!A6</f>
        <v>0</v>
      </c>
      <c r="B12" s="44">
        <f>+'الادارة المالية'!B6</f>
        <v>0</v>
      </c>
      <c r="C12" s="45">
        <f>+'الادارة المالية'!C6</f>
        <v>0</v>
      </c>
      <c r="D12" s="45">
        <f>+'الادارة المالية'!D6</f>
        <v>0</v>
      </c>
      <c r="E12" s="45">
        <f>+'الادارة المالية'!E6</f>
        <v>0</v>
      </c>
      <c r="F12" s="46">
        <f>+'الادارة المالية'!F6</f>
        <v>0</v>
      </c>
      <c r="G12" s="46">
        <f>+'الادارة المالية'!G6</f>
        <v>0</v>
      </c>
      <c r="H12" s="46">
        <f>+'الادارة المالية'!H6</f>
        <v>0</v>
      </c>
      <c r="I12" s="46">
        <f>+'الادارة المالية'!I6</f>
        <v>0</v>
      </c>
      <c r="J12" s="46">
        <f>+'الادارة المالية'!J6</f>
        <v>0</v>
      </c>
      <c r="K12" s="46">
        <f>+'الادارة المالية'!K6</f>
        <v>0</v>
      </c>
      <c r="L12" s="46">
        <f>+'الادارة المالية'!L6</f>
        <v>0</v>
      </c>
      <c r="M12" s="46">
        <f>+'الادارة المالية'!M6</f>
        <v>0</v>
      </c>
      <c r="N12" s="46">
        <f>+'الادارة المالية'!N6</f>
        <v>0</v>
      </c>
      <c r="O12" s="46">
        <f>+'الادارة المالية'!O6</f>
        <v>0</v>
      </c>
      <c r="P12" s="46">
        <f>+'الادارة المالية'!P6</f>
        <v>0</v>
      </c>
      <c r="Q12" s="46">
        <f>+'الادارة المالية'!Q6</f>
        <v>0</v>
      </c>
      <c r="R12" s="47">
        <f>+'الادارة المالية'!R6</f>
        <v>0</v>
      </c>
      <c r="S12" s="47">
        <f>+'الادارة المالية'!S6</f>
        <v>0</v>
      </c>
      <c r="T12" s="46">
        <f>+'الادارة المالية'!T6</f>
        <v>0</v>
      </c>
      <c r="U12" s="46">
        <f>+'الادارة المالية'!U6</f>
        <v>0</v>
      </c>
      <c r="V12" s="46">
        <f>+'الادارة المالية'!V6</f>
        <v>0</v>
      </c>
      <c r="W12" s="46">
        <f>+'الادارة المالية'!W6</f>
        <v>0</v>
      </c>
      <c r="X12" s="46">
        <f>+'الادارة المالية'!X6</f>
        <v>0</v>
      </c>
      <c r="Y12" s="46">
        <f>+'الادارة المالية'!Y6</f>
        <v>0</v>
      </c>
      <c r="Z12" s="46">
        <f>+'الادارة المالية'!Z6</f>
        <v>0</v>
      </c>
      <c r="AA12" s="46">
        <f>+'الادارة المالية'!AA6</f>
        <v>0</v>
      </c>
      <c r="AB12" s="46">
        <f>+'الادارة المالية'!AB6</f>
        <v>0</v>
      </c>
      <c r="AC12" s="46">
        <f>+'الادارة المالية'!AC6</f>
        <v>0</v>
      </c>
      <c r="AD12" s="46">
        <f>+'الادارة المالية'!AD6</f>
        <v>0</v>
      </c>
      <c r="AE12" s="46">
        <f>+'الادارة المالية'!AE6</f>
        <v>0</v>
      </c>
      <c r="AF12" s="46">
        <f>+'الادارة المالية'!AF6</f>
        <v>0</v>
      </c>
      <c r="AG12" s="46">
        <f>+'الادارة المالية'!AG6</f>
        <v>0</v>
      </c>
      <c r="AH12" s="46">
        <f>+'الادارة المالية'!AH6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+'الادارة المالية'!A7</f>
        <v>0</v>
      </c>
      <c r="B16" s="44">
        <f>+'الادارة المالية'!B7</f>
        <v>0</v>
      </c>
      <c r="C16" s="45">
        <f>+'الادارة المالية'!C7</f>
        <v>0</v>
      </c>
      <c r="D16" s="45">
        <f>+'الادارة المالية'!D7</f>
        <v>0</v>
      </c>
      <c r="E16" s="45">
        <f>+'الادارة المالية'!E7</f>
        <v>0</v>
      </c>
      <c r="F16" s="46">
        <f>+'الادارة المالية'!F7</f>
        <v>0</v>
      </c>
      <c r="G16" s="46">
        <f>+'الادارة المالية'!G7</f>
        <v>0</v>
      </c>
      <c r="H16" s="46">
        <f>+'الادارة المالية'!H7</f>
        <v>0</v>
      </c>
      <c r="I16" s="46">
        <f>+'الادارة المالية'!I7</f>
        <v>0</v>
      </c>
      <c r="J16" s="46">
        <f>+'الادارة المالية'!J7</f>
        <v>0</v>
      </c>
      <c r="K16" s="46">
        <f>+'الادارة المالية'!K7</f>
        <v>0</v>
      </c>
      <c r="L16" s="46">
        <f>+'الادارة المالية'!L7</f>
        <v>0</v>
      </c>
      <c r="M16" s="46">
        <f>+'الادارة المالية'!M7</f>
        <v>0</v>
      </c>
      <c r="N16" s="46">
        <f>+'الادارة المالية'!N7</f>
        <v>0</v>
      </c>
      <c r="O16" s="46">
        <f>+'الادارة المالية'!O7</f>
        <v>0</v>
      </c>
      <c r="P16" s="46">
        <f>+'الادارة المالية'!P7</f>
        <v>0</v>
      </c>
      <c r="Q16" s="46">
        <f>+'الادارة المالية'!Q7</f>
        <v>0</v>
      </c>
      <c r="R16" s="47">
        <f>+'الادارة المالية'!R7</f>
        <v>0</v>
      </c>
      <c r="S16" s="47">
        <f>+'الادارة المالية'!S7</f>
        <v>0</v>
      </c>
      <c r="T16" s="46">
        <f>+'الادارة المالية'!T7</f>
        <v>0</v>
      </c>
      <c r="U16" s="46">
        <f>+'الادارة المالية'!U7</f>
        <v>0</v>
      </c>
      <c r="V16" s="46">
        <f>+'الادارة المالية'!V7</f>
        <v>0</v>
      </c>
      <c r="W16" s="46">
        <f>+'الادارة المالية'!W7</f>
        <v>0</v>
      </c>
      <c r="X16" s="46">
        <f>+'الادارة المالية'!X7</f>
        <v>0</v>
      </c>
      <c r="Y16" s="46">
        <f>+'الادارة المالية'!Y7</f>
        <v>0</v>
      </c>
      <c r="Z16" s="46">
        <f>+'الادارة المالية'!Z7</f>
        <v>0</v>
      </c>
      <c r="AA16" s="46">
        <f>+'الادارة المالية'!AA7</f>
        <v>0</v>
      </c>
      <c r="AB16" s="46">
        <f>+'الادارة المالية'!AB7</f>
        <v>0</v>
      </c>
      <c r="AC16" s="46">
        <f>+'الادارة المالية'!AC7</f>
        <v>0</v>
      </c>
      <c r="AD16" s="46">
        <f>+'الادارة المالية'!AD7</f>
        <v>0</v>
      </c>
      <c r="AE16" s="46">
        <f>+'الادارة المالية'!AE7</f>
        <v>0</v>
      </c>
      <c r="AF16" s="46">
        <f>+'الادارة المالية'!AF7</f>
        <v>0</v>
      </c>
      <c r="AG16" s="46">
        <f>+'الادارة المالية'!AG7</f>
        <v>0</v>
      </c>
      <c r="AH16" s="46">
        <f>+'الادارة المالية'!AH7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+'الادارة المالية'!A8</f>
        <v>0</v>
      </c>
      <c r="B20" s="44">
        <f>+'الادارة المالية'!B8</f>
        <v>0</v>
      </c>
      <c r="C20" s="45">
        <f>+'الادارة المالية'!C8</f>
        <v>0</v>
      </c>
      <c r="D20" s="45">
        <f>+'الادارة المالية'!D8</f>
        <v>0</v>
      </c>
      <c r="E20" s="45">
        <f>+'الادارة المالية'!E8</f>
        <v>0</v>
      </c>
      <c r="F20" s="46">
        <f>+'الادارة المالية'!F8</f>
        <v>0</v>
      </c>
      <c r="G20" s="46">
        <f>+'الادارة المالية'!G8</f>
        <v>0</v>
      </c>
      <c r="H20" s="46">
        <f>+'الادارة المالية'!H8</f>
        <v>0</v>
      </c>
      <c r="I20" s="46">
        <f>+'الادارة المالية'!I8</f>
        <v>0</v>
      </c>
      <c r="J20" s="46">
        <f>+'الادارة المالية'!J8</f>
        <v>0</v>
      </c>
      <c r="K20" s="46">
        <f>+'الادارة المالية'!K8</f>
        <v>0</v>
      </c>
      <c r="L20" s="46">
        <f>+'الادارة المالية'!L8</f>
        <v>0</v>
      </c>
      <c r="M20" s="46">
        <f>+'الادارة المالية'!M8</f>
        <v>0</v>
      </c>
      <c r="N20" s="46">
        <f>+'الادارة المالية'!N8</f>
        <v>0</v>
      </c>
      <c r="O20" s="46">
        <f>+'الادارة المالية'!O8</f>
        <v>0</v>
      </c>
      <c r="P20" s="46">
        <f>+'الادارة المالية'!P8</f>
        <v>0</v>
      </c>
      <c r="Q20" s="46">
        <f>+'الادارة المالية'!Q8</f>
        <v>0</v>
      </c>
      <c r="R20" s="47">
        <f>+'الادارة المالية'!R8</f>
        <v>0</v>
      </c>
      <c r="S20" s="47">
        <f>+'الادارة المالية'!S8</f>
        <v>0</v>
      </c>
      <c r="T20" s="46">
        <f>+'الادارة المالية'!T8</f>
        <v>0</v>
      </c>
      <c r="U20" s="46">
        <f>+'الادارة المالية'!U8</f>
        <v>0</v>
      </c>
      <c r="V20" s="46">
        <f>+'الادارة المالية'!V8</f>
        <v>0</v>
      </c>
      <c r="W20" s="46">
        <f>+'الادارة المالية'!W8</f>
        <v>0</v>
      </c>
      <c r="X20" s="46">
        <f>+'الادارة المالية'!X8</f>
        <v>0</v>
      </c>
      <c r="Y20" s="46">
        <f>+'الادارة المالية'!Y8</f>
        <v>0</v>
      </c>
      <c r="Z20" s="46">
        <f>+'الادارة المالية'!Z8</f>
        <v>0</v>
      </c>
      <c r="AA20" s="46">
        <f>+'الادارة المالية'!AA8</f>
        <v>0</v>
      </c>
      <c r="AB20" s="46">
        <f>+'الادارة المالية'!AB8</f>
        <v>0</v>
      </c>
      <c r="AC20" s="46">
        <f>+'الادارة المالية'!AC8</f>
        <v>0</v>
      </c>
      <c r="AD20" s="46">
        <f>+'الادارة المالية'!AD8</f>
        <v>0</v>
      </c>
      <c r="AE20" s="46">
        <f>+'الادارة المالية'!AE8</f>
        <v>0</v>
      </c>
      <c r="AF20" s="46">
        <f>+'الادارة المالية'!AF8</f>
        <v>0</v>
      </c>
      <c r="AG20" s="46">
        <f>+'الادارة المالية'!AG8</f>
        <v>0</v>
      </c>
      <c r="AH20" s="46">
        <f>+'الادارة المالية'!AH8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+'الادارة المالية'!A9</f>
        <v>0</v>
      </c>
      <c r="B24" s="44">
        <f>+'الادارة المالية'!B9</f>
        <v>0</v>
      </c>
      <c r="C24" s="45">
        <f>+'الادارة المالية'!C9</f>
        <v>0</v>
      </c>
      <c r="D24" s="45">
        <f>+'الادارة المالية'!D9</f>
        <v>0</v>
      </c>
      <c r="E24" s="45">
        <f>+'الادارة المالية'!E9</f>
        <v>0</v>
      </c>
      <c r="F24" s="46">
        <f>+'الادارة المالية'!F9</f>
        <v>0</v>
      </c>
      <c r="G24" s="46">
        <f>+'الادارة المالية'!G9</f>
        <v>0</v>
      </c>
      <c r="H24" s="46">
        <f>+'الادارة المالية'!H9</f>
        <v>0</v>
      </c>
      <c r="I24" s="46">
        <f>+'الادارة المالية'!I9</f>
        <v>0</v>
      </c>
      <c r="J24" s="46">
        <f>+'الادارة المالية'!J9</f>
        <v>0</v>
      </c>
      <c r="K24" s="46">
        <f>+'الادارة المالية'!K9</f>
        <v>0</v>
      </c>
      <c r="L24" s="46">
        <f>+'الادارة المالية'!L9</f>
        <v>0</v>
      </c>
      <c r="M24" s="46">
        <f>+'الادارة المالية'!M9</f>
        <v>0</v>
      </c>
      <c r="N24" s="46">
        <f>+'الادارة المالية'!N9</f>
        <v>0</v>
      </c>
      <c r="O24" s="46">
        <f>+'الادارة المالية'!O9</f>
        <v>0</v>
      </c>
      <c r="P24" s="46">
        <f>+'الادارة المالية'!P9</f>
        <v>0</v>
      </c>
      <c r="Q24" s="46">
        <f>+'الادارة المالية'!Q9</f>
        <v>0</v>
      </c>
      <c r="R24" s="47">
        <f>+'الادارة المالية'!R9</f>
        <v>0</v>
      </c>
      <c r="S24" s="47">
        <f>+'الادارة المالية'!S9</f>
        <v>0</v>
      </c>
      <c r="T24" s="46">
        <f>+'الادارة المالية'!T9</f>
        <v>0</v>
      </c>
      <c r="U24" s="46">
        <f>+'الادارة المالية'!U9</f>
        <v>0</v>
      </c>
      <c r="V24" s="46">
        <f>+'الادارة المالية'!V9</f>
        <v>0</v>
      </c>
      <c r="W24" s="46">
        <f>+'الادارة المالية'!W9</f>
        <v>0</v>
      </c>
      <c r="X24" s="46">
        <f>+'الادارة المالية'!X9</f>
        <v>0</v>
      </c>
      <c r="Y24" s="46">
        <f>+'الادارة المالية'!Y9</f>
        <v>0</v>
      </c>
      <c r="Z24" s="46">
        <f>+'الادارة المالية'!Z9</f>
        <v>0</v>
      </c>
      <c r="AA24" s="46">
        <f>+'الادارة المالية'!AA9</f>
        <v>0</v>
      </c>
      <c r="AB24" s="46">
        <f>+'الادارة المالية'!AB9</f>
        <v>0</v>
      </c>
      <c r="AC24" s="46">
        <f>+'الادارة المالية'!AC9</f>
        <v>0</v>
      </c>
      <c r="AD24" s="46">
        <f>+'الادارة المالية'!AD9</f>
        <v>0</v>
      </c>
      <c r="AE24" s="46">
        <f>+'الادارة المالية'!AE9</f>
        <v>0</v>
      </c>
      <c r="AF24" s="46">
        <f>+'الادارة المالية'!AF9</f>
        <v>0</v>
      </c>
      <c r="AG24" s="46">
        <f>+'الادارة المالية'!AG9</f>
        <v>0</v>
      </c>
      <c r="AH24" s="46">
        <f>+'الادارة المالية'!AH9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+'الادارة المالية'!A10</f>
        <v>0</v>
      </c>
      <c r="B28" s="44">
        <f>+'الادارة المالية'!B10</f>
        <v>0</v>
      </c>
      <c r="C28" s="45">
        <f>+'الادارة المالية'!C10</f>
        <v>0</v>
      </c>
      <c r="D28" s="45">
        <f>+'الادارة المالية'!D10</f>
        <v>0</v>
      </c>
      <c r="E28" s="45">
        <f>+'الادارة المالية'!E10</f>
        <v>0</v>
      </c>
      <c r="F28" s="46">
        <f>+'الادارة المالية'!F10</f>
        <v>0</v>
      </c>
      <c r="G28" s="46">
        <f>+'الادارة المالية'!G10</f>
        <v>0</v>
      </c>
      <c r="H28" s="46">
        <f>+'الادارة المالية'!H10</f>
        <v>0</v>
      </c>
      <c r="I28" s="46">
        <f>+'الادارة المالية'!I10</f>
        <v>0</v>
      </c>
      <c r="J28" s="46">
        <f>+'الادارة المالية'!J10</f>
        <v>0</v>
      </c>
      <c r="K28" s="46">
        <f>+'الادارة المالية'!K10</f>
        <v>0</v>
      </c>
      <c r="L28" s="46">
        <f>+'الادارة المالية'!L10</f>
        <v>0</v>
      </c>
      <c r="M28" s="46">
        <f>+'الادارة المالية'!M10</f>
        <v>0</v>
      </c>
      <c r="N28" s="46">
        <f>+'الادارة المالية'!N10</f>
        <v>0</v>
      </c>
      <c r="O28" s="46">
        <f>+'الادارة المالية'!O10</f>
        <v>0</v>
      </c>
      <c r="P28" s="46">
        <f>+'الادارة المالية'!P10</f>
        <v>0</v>
      </c>
      <c r="Q28" s="46">
        <f>+'الادارة المالية'!Q10</f>
        <v>0</v>
      </c>
      <c r="R28" s="47">
        <f>+'الادارة المالية'!R10</f>
        <v>0</v>
      </c>
      <c r="S28" s="47">
        <f>+'الادارة المالية'!S10</f>
        <v>0</v>
      </c>
      <c r="T28" s="46">
        <f>+'الادارة المالية'!T10</f>
        <v>0</v>
      </c>
      <c r="U28" s="46">
        <f>+'الادارة المالية'!U10</f>
        <v>0</v>
      </c>
      <c r="V28" s="46">
        <f>+'الادارة المالية'!V10</f>
        <v>0</v>
      </c>
      <c r="W28" s="46">
        <f>+'الادارة المالية'!W10</f>
        <v>0</v>
      </c>
      <c r="X28" s="46">
        <f>+'الادارة المالية'!X10</f>
        <v>0</v>
      </c>
      <c r="Y28" s="46">
        <f>+'الادارة المالية'!Y10</f>
        <v>0</v>
      </c>
      <c r="Z28" s="46">
        <f>+'الادارة المالية'!Z10</f>
        <v>0</v>
      </c>
      <c r="AA28" s="46">
        <f>+'الادارة المالية'!AA10</f>
        <v>0</v>
      </c>
      <c r="AB28" s="46">
        <f>+'الادارة المالية'!AB10</f>
        <v>0</v>
      </c>
      <c r="AC28" s="46">
        <f>+'الادارة المالية'!AC10</f>
        <v>0</v>
      </c>
      <c r="AD28" s="46">
        <f>+'الادارة المالية'!AD10</f>
        <v>0</v>
      </c>
      <c r="AE28" s="46">
        <f>+'الادارة المالية'!AE10</f>
        <v>0</v>
      </c>
      <c r="AF28" s="46">
        <f>+'الادارة المالية'!AF10</f>
        <v>0</v>
      </c>
      <c r="AG28" s="46">
        <f>+'الادارة المالية'!AG10</f>
        <v>0</v>
      </c>
      <c r="AH28" s="46">
        <f>+'الادارة المالية'!AH10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+'الادارة المالية'!A11</f>
        <v>0</v>
      </c>
      <c r="B32" s="44">
        <f>+'الادارة المالية'!B11</f>
        <v>0</v>
      </c>
      <c r="C32" s="45">
        <f>+'الادارة المالية'!C11</f>
        <v>0</v>
      </c>
      <c r="D32" s="45">
        <f>+'الادارة المالية'!D11</f>
        <v>0</v>
      </c>
      <c r="E32" s="45">
        <f>+'الادارة المالية'!E11</f>
        <v>0</v>
      </c>
      <c r="F32" s="46">
        <f>+'الادارة المالية'!F11</f>
        <v>0</v>
      </c>
      <c r="G32" s="46">
        <f>+'الادارة المالية'!G11</f>
        <v>0</v>
      </c>
      <c r="H32" s="46">
        <f>+'الادارة المالية'!H11</f>
        <v>0</v>
      </c>
      <c r="I32" s="46">
        <f>+'الادارة المالية'!I11</f>
        <v>0</v>
      </c>
      <c r="J32" s="46">
        <f>+'الادارة المالية'!J11</f>
        <v>0</v>
      </c>
      <c r="K32" s="46">
        <f>+'الادارة المالية'!K11</f>
        <v>0</v>
      </c>
      <c r="L32" s="46">
        <f>+'الادارة المالية'!L11</f>
        <v>0</v>
      </c>
      <c r="M32" s="46">
        <f>+'الادارة المالية'!M11</f>
        <v>0</v>
      </c>
      <c r="N32" s="46">
        <f>+'الادارة المالية'!N11</f>
        <v>0</v>
      </c>
      <c r="O32" s="46">
        <f>+'الادارة المالية'!O11</f>
        <v>0</v>
      </c>
      <c r="P32" s="46">
        <f>+'الادارة المالية'!P11</f>
        <v>0</v>
      </c>
      <c r="Q32" s="46">
        <f>+'الادارة المالية'!Q11</f>
        <v>0</v>
      </c>
      <c r="R32" s="47">
        <f>+'الادارة المالية'!R11</f>
        <v>0</v>
      </c>
      <c r="S32" s="47">
        <f>+'الادارة المالية'!S11</f>
        <v>0</v>
      </c>
      <c r="T32" s="46">
        <f>+'الادارة المالية'!T11</f>
        <v>0</v>
      </c>
      <c r="U32" s="46">
        <f>+'الادارة المالية'!U11</f>
        <v>0</v>
      </c>
      <c r="V32" s="46">
        <f>+'الادارة المالية'!V11</f>
        <v>0</v>
      </c>
      <c r="W32" s="46">
        <f>+'الادارة المالية'!W11</f>
        <v>0</v>
      </c>
      <c r="X32" s="46">
        <f>+'الادارة المالية'!X11</f>
        <v>0</v>
      </c>
      <c r="Y32" s="46">
        <f>+'الادارة المالية'!Y11</f>
        <v>0</v>
      </c>
      <c r="Z32" s="46">
        <f>+'الادارة المالية'!Z11</f>
        <v>0</v>
      </c>
      <c r="AA32" s="46">
        <f>+'الادارة المالية'!AA11</f>
        <v>0</v>
      </c>
      <c r="AB32" s="46">
        <f>+'الادارة المالية'!AB11</f>
        <v>0</v>
      </c>
      <c r="AC32" s="46">
        <f>+'الادارة المالية'!AC11</f>
        <v>0</v>
      </c>
      <c r="AD32" s="46">
        <f>+'الادارة المالية'!AD11</f>
        <v>0</v>
      </c>
      <c r="AE32" s="46">
        <f>+'الادارة المالية'!AE11</f>
        <v>0</v>
      </c>
      <c r="AF32" s="46">
        <f>+'الادارة المالية'!AF11</f>
        <v>0</v>
      </c>
      <c r="AG32" s="46">
        <f>+'الادارة المالية'!AG11</f>
        <v>0</v>
      </c>
      <c r="AH32" s="46">
        <f>+'الادارة المالية'!AH11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+'الادارة المالية'!A12</f>
        <v>0</v>
      </c>
      <c r="B36" s="44">
        <f>+'الادارة المالية'!B12</f>
        <v>0</v>
      </c>
      <c r="C36" s="45">
        <f>+'الادارة المالية'!C12</f>
        <v>0</v>
      </c>
      <c r="D36" s="45">
        <f>+'الادارة المالية'!D12</f>
        <v>0</v>
      </c>
      <c r="E36" s="45">
        <f>+'الادارة المالية'!E12</f>
        <v>0</v>
      </c>
      <c r="F36" s="46">
        <f>+'الادارة المالية'!F12</f>
        <v>0</v>
      </c>
      <c r="G36" s="46">
        <f>+'الادارة المالية'!G12</f>
        <v>0</v>
      </c>
      <c r="H36" s="46">
        <f>+'الادارة المالية'!H12</f>
        <v>0</v>
      </c>
      <c r="I36" s="46">
        <f>+'الادارة المالية'!I12</f>
        <v>0</v>
      </c>
      <c r="J36" s="46">
        <f>+'الادارة المالية'!J12</f>
        <v>0</v>
      </c>
      <c r="K36" s="46">
        <f>+'الادارة المالية'!K12</f>
        <v>0</v>
      </c>
      <c r="L36" s="46">
        <f>+'الادارة المالية'!L12</f>
        <v>0</v>
      </c>
      <c r="M36" s="46">
        <f>+'الادارة المالية'!M12</f>
        <v>0</v>
      </c>
      <c r="N36" s="46">
        <f>+'الادارة المالية'!N12</f>
        <v>0</v>
      </c>
      <c r="O36" s="46">
        <f>+'الادارة المالية'!O12</f>
        <v>0</v>
      </c>
      <c r="P36" s="46">
        <f>+'الادارة المالية'!P12</f>
        <v>0</v>
      </c>
      <c r="Q36" s="46">
        <f>+'الادارة المالية'!Q12</f>
        <v>0</v>
      </c>
      <c r="R36" s="47">
        <f>+'الادارة المالية'!R12</f>
        <v>0</v>
      </c>
      <c r="S36" s="47">
        <f>+'الادارة المالية'!S12</f>
        <v>0</v>
      </c>
      <c r="T36" s="46">
        <f>+'الادارة المالية'!T12</f>
        <v>0</v>
      </c>
      <c r="U36" s="46">
        <f>+'الادارة المالية'!U12</f>
        <v>0</v>
      </c>
      <c r="V36" s="46">
        <f>+'الادارة المالية'!V12</f>
        <v>0</v>
      </c>
      <c r="W36" s="46">
        <f>+'الادارة المالية'!W12</f>
        <v>0</v>
      </c>
      <c r="X36" s="46">
        <f>+'الادارة المالية'!X12</f>
        <v>0</v>
      </c>
      <c r="Y36" s="46">
        <f>+'الادارة المالية'!Y12</f>
        <v>0</v>
      </c>
      <c r="Z36" s="46">
        <f>+'الادارة المالية'!Z12</f>
        <v>0</v>
      </c>
      <c r="AA36" s="46">
        <f>+'الادارة المالية'!AA12</f>
        <v>0</v>
      </c>
      <c r="AB36" s="46">
        <f>+'الادارة المالية'!AB12</f>
        <v>0</v>
      </c>
      <c r="AC36" s="46">
        <f>+'الادارة المالية'!AC12</f>
        <v>0</v>
      </c>
      <c r="AD36" s="46">
        <f>+'الادارة المالية'!AD12</f>
        <v>0</v>
      </c>
      <c r="AE36" s="46">
        <f>+'الادارة المالية'!AE12</f>
        <v>0</v>
      </c>
      <c r="AF36" s="46">
        <f>+'الادارة المالية'!AF12</f>
        <v>0</v>
      </c>
      <c r="AG36" s="46">
        <f>+'الادارة المالية'!AG12</f>
        <v>0</v>
      </c>
      <c r="AH36" s="46">
        <f>+'الادارة المالية'!AH12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+'الادارة المالية'!A13</f>
        <v>0</v>
      </c>
      <c r="B40" s="44">
        <f>+'الادارة المالية'!B13</f>
        <v>0</v>
      </c>
      <c r="C40" s="45">
        <f>+'الادارة المالية'!C13</f>
        <v>0</v>
      </c>
      <c r="D40" s="45">
        <f>+'الادارة المالية'!D13</f>
        <v>0</v>
      </c>
      <c r="E40" s="45">
        <f>+'الادارة المالية'!E13</f>
        <v>0</v>
      </c>
      <c r="F40" s="46">
        <f>+'الادارة المالية'!F13</f>
        <v>0</v>
      </c>
      <c r="G40" s="46">
        <f>+'الادارة المالية'!G13</f>
        <v>0</v>
      </c>
      <c r="H40" s="46">
        <f>+'الادارة المالية'!H13</f>
        <v>0</v>
      </c>
      <c r="I40" s="46">
        <f>+'الادارة المالية'!I13</f>
        <v>0</v>
      </c>
      <c r="J40" s="46">
        <f>+'الادارة المالية'!J13</f>
        <v>0</v>
      </c>
      <c r="K40" s="46">
        <f>+'الادارة المالية'!K13</f>
        <v>0</v>
      </c>
      <c r="L40" s="46">
        <f>+'الادارة المالية'!L13</f>
        <v>0</v>
      </c>
      <c r="M40" s="46">
        <f>+'الادارة المالية'!M13</f>
        <v>0</v>
      </c>
      <c r="N40" s="46">
        <f>+'الادارة المالية'!N13</f>
        <v>0</v>
      </c>
      <c r="O40" s="46">
        <f>+'الادارة المالية'!O13</f>
        <v>0</v>
      </c>
      <c r="P40" s="46">
        <f>+'الادارة المالية'!P13</f>
        <v>0</v>
      </c>
      <c r="Q40" s="46">
        <f>+'الادارة المالية'!Q13</f>
        <v>0</v>
      </c>
      <c r="R40" s="47">
        <f>+'الادارة المالية'!R13</f>
        <v>0</v>
      </c>
      <c r="S40" s="47">
        <f>+'الادارة المالية'!S13</f>
        <v>0</v>
      </c>
      <c r="T40" s="46">
        <f>+'الادارة المالية'!T13</f>
        <v>0</v>
      </c>
      <c r="U40" s="46">
        <f>+'الادارة المالية'!U13</f>
        <v>0</v>
      </c>
      <c r="V40" s="46">
        <f>+'الادارة المالية'!V13</f>
        <v>0</v>
      </c>
      <c r="W40" s="46">
        <f>+'الادارة المالية'!W13</f>
        <v>0</v>
      </c>
      <c r="X40" s="46">
        <f>+'الادارة المالية'!X13</f>
        <v>0</v>
      </c>
      <c r="Y40" s="46">
        <f>+'الادارة المالية'!Y13</f>
        <v>0</v>
      </c>
      <c r="Z40" s="46">
        <f>+'الادارة المالية'!Z13</f>
        <v>0</v>
      </c>
      <c r="AA40" s="46">
        <f>+'الادارة المالية'!AA13</f>
        <v>0</v>
      </c>
      <c r="AB40" s="46">
        <f>+'الادارة المالية'!AB13</f>
        <v>0</v>
      </c>
      <c r="AC40" s="46">
        <f>+'الادارة المالية'!AC13</f>
        <v>0</v>
      </c>
      <c r="AD40" s="46">
        <f>+'الادارة المالية'!AD13</f>
        <v>0</v>
      </c>
      <c r="AE40" s="46">
        <f>+'الادارة المالية'!AE13</f>
        <v>0</v>
      </c>
      <c r="AF40" s="46">
        <f>+'الادارة المالية'!AF13</f>
        <v>0</v>
      </c>
      <c r="AG40" s="46">
        <f>+'الادارة المالية'!AG13</f>
        <v>0</v>
      </c>
      <c r="AH40" s="46">
        <f>+'الادارة المالية'!AH13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+'الادارة المالية'!A14</f>
        <v>0</v>
      </c>
      <c r="B44" s="44">
        <f>+'الادارة المالية'!B14</f>
        <v>0</v>
      </c>
      <c r="C44" s="45">
        <f>+'الادارة المالية'!C14</f>
        <v>0</v>
      </c>
      <c r="D44" s="45">
        <f>+'الادارة المالية'!D14</f>
        <v>0</v>
      </c>
      <c r="E44" s="45">
        <f>+'الادارة المالية'!E14</f>
        <v>0</v>
      </c>
      <c r="F44" s="46">
        <f>+'الادارة المالية'!F14</f>
        <v>0</v>
      </c>
      <c r="G44" s="46">
        <f>+'الادارة المالية'!G14</f>
        <v>0</v>
      </c>
      <c r="H44" s="46">
        <f>+'الادارة المالية'!H14</f>
        <v>0</v>
      </c>
      <c r="I44" s="46">
        <f>+'الادارة المالية'!I14</f>
        <v>0</v>
      </c>
      <c r="J44" s="46">
        <f>+'الادارة المالية'!J14</f>
        <v>0</v>
      </c>
      <c r="K44" s="46">
        <f>+'الادارة المالية'!K14</f>
        <v>0</v>
      </c>
      <c r="L44" s="46">
        <f>+'الادارة المالية'!L14</f>
        <v>0</v>
      </c>
      <c r="M44" s="46">
        <f>+'الادارة المالية'!M14</f>
        <v>0</v>
      </c>
      <c r="N44" s="46">
        <f>+'الادارة المالية'!N14</f>
        <v>0</v>
      </c>
      <c r="O44" s="46">
        <f>+'الادارة المالية'!O14</f>
        <v>0</v>
      </c>
      <c r="P44" s="46">
        <f>+'الادارة المالية'!P14</f>
        <v>0</v>
      </c>
      <c r="Q44" s="46">
        <f>+'الادارة المالية'!Q14</f>
        <v>0</v>
      </c>
      <c r="R44" s="47">
        <f>+'الادارة المالية'!R14</f>
        <v>0</v>
      </c>
      <c r="S44" s="47">
        <f>+'الادارة المالية'!S14</f>
        <v>0</v>
      </c>
      <c r="T44" s="46">
        <f>+'الادارة المالية'!T14</f>
        <v>0</v>
      </c>
      <c r="U44" s="46">
        <f>+'الادارة المالية'!U14</f>
        <v>0</v>
      </c>
      <c r="V44" s="46">
        <f>+'الادارة المالية'!V14</f>
        <v>0</v>
      </c>
      <c r="W44" s="46">
        <f>+'الادارة المالية'!W14</f>
        <v>0</v>
      </c>
      <c r="X44" s="46">
        <f>+'الادارة المالية'!X14</f>
        <v>0</v>
      </c>
      <c r="Y44" s="46">
        <f>+'الادارة المالية'!Y14</f>
        <v>0</v>
      </c>
      <c r="Z44" s="46">
        <f>+'الادارة المالية'!Z14</f>
        <v>0</v>
      </c>
      <c r="AA44" s="46">
        <f>+'الادارة المالية'!AA14</f>
        <v>0</v>
      </c>
      <c r="AB44" s="46">
        <f>+'الادارة المالية'!AB14</f>
        <v>0</v>
      </c>
      <c r="AC44" s="46">
        <f>+'الادارة المالية'!AC14</f>
        <v>0</v>
      </c>
      <c r="AD44" s="46">
        <f>+'الادارة المالية'!AD14</f>
        <v>0</v>
      </c>
      <c r="AE44" s="46">
        <f>+'الادارة المالية'!AE14</f>
        <v>0</v>
      </c>
      <c r="AF44" s="46">
        <f>+'الادارة المالية'!AF14</f>
        <v>0</v>
      </c>
      <c r="AG44" s="46">
        <f>+'الادارة المالية'!AG14</f>
        <v>0</v>
      </c>
      <c r="AH44" s="46">
        <f>+'الادارة المالية'!AH14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+'الادارة المالية'!A15</f>
        <v>0</v>
      </c>
      <c r="B48" s="44">
        <f>+'الادارة المالية'!B15</f>
        <v>0</v>
      </c>
      <c r="C48" s="45">
        <f>+'الادارة المالية'!C15</f>
        <v>0</v>
      </c>
      <c r="D48" s="45">
        <f>+'الادارة المالية'!D15</f>
        <v>0</v>
      </c>
      <c r="E48" s="45">
        <f>+'الادارة المالية'!E15</f>
        <v>0</v>
      </c>
      <c r="F48" s="46">
        <f>+'الادارة المالية'!F15</f>
        <v>0</v>
      </c>
      <c r="G48" s="46">
        <f>+'الادارة المالية'!G15</f>
        <v>0</v>
      </c>
      <c r="H48" s="46">
        <f>+'الادارة المالية'!H15</f>
        <v>0</v>
      </c>
      <c r="I48" s="46">
        <f>+'الادارة المالية'!I15</f>
        <v>0</v>
      </c>
      <c r="J48" s="46">
        <f>+'الادارة المالية'!J15</f>
        <v>0</v>
      </c>
      <c r="K48" s="46">
        <f>+'الادارة المالية'!K15</f>
        <v>0</v>
      </c>
      <c r="L48" s="46">
        <f>+'الادارة المالية'!L15</f>
        <v>0</v>
      </c>
      <c r="M48" s="46">
        <f>+'الادارة المالية'!M15</f>
        <v>0</v>
      </c>
      <c r="N48" s="46">
        <f>+'الادارة المالية'!N15</f>
        <v>0</v>
      </c>
      <c r="O48" s="46">
        <f>+'الادارة المالية'!O15</f>
        <v>0</v>
      </c>
      <c r="P48" s="46">
        <f>+'الادارة المالية'!P15</f>
        <v>0</v>
      </c>
      <c r="Q48" s="46">
        <f>+'الادارة المالية'!Q15</f>
        <v>0</v>
      </c>
      <c r="R48" s="47">
        <f>+'الادارة المالية'!R15</f>
        <v>0</v>
      </c>
      <c r="S48" s="47">
        <f>+'الادارة المالية'!S15</f>
        <v>0</v>
      </c>
      <c r="T48" s="46">
        <f>+'الادارة المالية'!T15</f>
        <v>0</v>
      </c>
      <c r="U48" s="46">
        <f>+'الادارة المالية'!U15</f>
        <v>0</v>
      </c>
      <c r="V48" s="46">
        <f>+'الادارة المالية'!V15</f>
        <v>0</v>
      </c>
      <c r="W48" s="46">
        <f>+'الادارة المالية'!W15</f>
        <v>0</v>
      </c>
      <c r="X48" s="46">
        <f>+'الادارة المالية'!X15</f>
        <v>0</v>
      </c>
      <c r="Y48" s="46">
        <f>+'الادارة المالية'!Y15</f>
        <v>0</v>
      </c>
      <c r="Z48" s="46">
        <f>+'الادارة المالية'!Z15</f>
        <v>0</v>
      </c>
      <c r="AA48" s="46">
        <f>+'الادارة المالية'!AA15</f>
        <v>0</v>
      </c>
      <c r="AB48" s="46">
        <f>+'الادارة المالية'!AB15</f>
        <v>0</v>
      </c>
      <c r="AC48" s="46">
        <f>+'الادارة المالية'!AC15</f>
        <v>0</v>
      </c>
      <c r="AD48" s="46">
        <f>+'الادارة المالية'!AD15</f>
        <v>0</v>
      </c>
      <c r="AE48" s="46">
        <f>+'الادارة المالية'!AE15</f>
        <v>0</v>
      </c>
      <c r="AF48" s="46">
        <f>+'الادارة المالية'!AF15</f>
        <v>0</v>
      </c>
      <c r="AG48" s="46">
        <f>+'الادارة المالية'!AG15</f>
        <v>0</v>
      </c>
      <c r="AH48" s="46">
        <f>+'الادارة المالية'!AH15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+'الادارة المالية'!A16</f>
        <v>0</v>
      </c>
      <c r="B52" s="44">
        <f>+'الادارة المالية'!B16</f>
        <v>0</v>
      </c>
      <c r="C52" s="45">
        <f>+'الادارة المالية'!C16</f>
        <v>0</v>
      </c>
      <c r="D52" s="45">
        <f>+'الادارة المالية'!D16</f>
        <v>0</v>
      </c>
      <c r="E52" s="45">
        <f>+'الادارة المالية'!E16</f>
        <v>0</v>
      </c>
      <c r="F52" s="46">
        <f>+'الادارة المالية'!F16</f>
        <v>0</v>
      </c>
      <c r="G52" s="46">
        <f>+'الادارة المالية'!G16</f>
        <v>0</v>
      </c>
      <c r="H52" s="46">
        <f>+'الادارة المالية'!H16</f>
        <v>0</v>
      </c>
      <c r="I52" s="46">
        <f>+'الادارة المالية'!I16</f>
        <v>0</v>
      </c>
      <c r="J52" s="46">
        <f>+'الادارة المالية'!J16</f>
        <v>0</v>
      </c>
      <c r="K52" s="46">
        <f>+'الادارة المالية'!K16</f>
        <v>0</v>
      </c>
      <c r="L52" s="46">
        <f>+'الادارة المالية'!L16</f>
        <v>0</v>
      </c>
      <c r="M52" s="46">
        <f>+'الادارة المالية'!M16</f>
        <v>0</v>
      </c>
      <c r="N52" s="46">
        <f>+'الادارة المالية'!N16</f>
        <v>0</v>
      </c>
      <c r="O52" s="46">
        <f>+'الادارة المالية'!O16</f>
        <v>0</v>
      </c>
      <c r="P52" s="46">
        <f>+'الادارة المالية'!P16</f>
        <v>0</v>
      </c>
      <c r="Q52" s="46">
        <f>+'الادارة المالية'!Q16</f>
        <v>0</v>
      </c>
      <c r="R52" s="47">
        <f>+'الادارة المالية'!R16</f>
        <v>0</v>
      </c>
      <c r="S52" s="47">
        <f>+'الادارة المالية'!S16</f>
        <v>0</v>
      </c>
      <c r="T52" s="46">
        <f>+'الادارة المالية'!T16</f>
        <v>0</v>
      </c>
      <c r="U52" s="46">
        <f>+'الادارة المالية'!U16</f>
        <v>0</v>
      </c>
      <c r="V52" s="46">
        <f>+'الادارة المالية'!V16</f>
        <v>0</v>
      </c>
      <c r="W52" s="46">
        <f>+'الادارة المالية'!W16</f>
        <v>0</v>
      </c>
      <c r="X52" s="46">
        <f>+'الادارة المالية'!X16</f>
        <v>0</v>
      </c>
      <c r="Y52" s="46">
        <f>+'الادارة المالية'!Y16</f>
        <v>0</v>
      </c>
      <c r="Z52" s="46">
        <f>+'الادارة المالية'!Z16</f>
        <v>0</v>
      </c>
      <c r="AA52" s="46">
        <f>+'الادارة المالية'!AA16</f>
        <v>0</v>
      </c>
      <c r="AB52" s="46">
        <f>+'الادارة المالية'!AB16</f>
        <v>0</v>
      </c>
      <c r="AC52" s="46">
        <f>+'الادارة المالية'!AC16</f>
        <v>0</v>
      </c>
      <c r="AD52" s="46">
        <f>+'الادارة المالية'!AD16</f>
        <v>0</v>
      </c>
      <c r="AE52" s="46">
        <f>+'الادارة المالية'!AE16</f>
        <v>0</v>
      </c>
      <c r="AF52" s="46">
        <f>+'الادارة المالية'!AF16</f>
        <v>0</v>
      </c>
      <c r="AG52" s="46">
        <f>+'الادارة المالية'!AG16</f>
        <v>0</v>
      </c>
      <c r="AH52" s="46">
        <f>+'الادارة المالية'!AH16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+'الادارة المالية'!A17</f>
        <v>0</v>
      </c>
      <c r="B56" s="44">
        <f>+'الادارة المالية'!B17</f>
        <v>0</v>
      </c>
      <c r="C56" s="45">
        <f>+'الادارة المالية'!C17</f>
        <v>0</v>
      </c>
      <c r="D56" s="45">
        <f>+'الادارة المالية'!D17</f>
        <v>0</v>
      </c>
      <c r="E56" s="45">
        <f>+'الادارة المالية'!E17</f>
        <v>0</v>
      </c>
      <c r="F56" s="46">
        <f>+'الادارة المالية'!F17</f>
        <v>0</v>
      </c>
      <c r="G56" s="46">
        <f>+'الادارة المالية'!G17</f>
        <v>0</v>
      </c>
      <c r="H56" s="46">
        <f>+'الادارة المالية'!H17</f>
        <v>0</v>
      </c>
      <c r="I56" s="46">
        <f>+'الادارة المالية'!I17</f>
        <v>0</v>
      </c>
      <c r="J56" s="46">
        <f>+'الادارة المالية'!J17</f>
        <v>0</v>
      </c>
      <c r="K56" s="46">
        <f>+'الادارة المالية'!K17</f>
        <v>0</v>
      </c>
      <c r="L56" s="46">
        <f>+'الادارة المالية'!L17</f>
        <v>0</v>
      </c>
      <c r="M56" s="46">
        <f>+'الادارة المالية'!M17</f>
        <v>0</v>
      </c>
      <c r="N56" s="46">
        <f>+'الادارة المالية'!N17</f>
        <v>0</v>
      </c>
      <c r="O56" s="46">
        <f>+'الادارة المالية'!O17</f>
        <v>0</v>
      </c>
      <c r="P56" s="46">
        <f>+'الادارة المالية'!P17</f>
        <v>0</v>
      </c>
      <c r="Q56" s="46">
        <f>+'الادارة المالية'!Q17</f>
        <v>0</v>
      </c>
      <c r="R56" s="47">
        <f>+'الادارة المالية'!R17</f>
        <v>0</v>
      </c>
      <c r="S56" s="47">
        <f>+'الادارة المالية'!S17</f>
        <v>0</v>
      </c>
      <c r="T56" s="46">
        <f>+'الادارة المالية'!T17</f>
        <v>0</v>
      </c>
      <c r="U56" s="46">
        <f>+'الادارة المالية'!U17</f>
        <v>0</v>
      </c>
      <c r="V56" s="46">
        <f>+'الادارة المالية'!V17</f>
        <v>0</v>
      </c>
      <c r="W56" s="46">
        <f>+'الادارة المالية'!W17</f>
        <v>0</v>
      </c>
      <c r="X56" s="46">
        <f>+'الادارة المالية'!X17</f>
        <v>0</v>
      </c>
      <c r="Y56" s="46">
        <f>+'الادارة المالية'!Y17</f>
        <v>0</v>
      </c>
      <c r="Z56" s="46">
        <f>+'الادارة المالية'!Z17</f>
        <v>0</v>
      </c>
      <c r="AA56" s="46">
        <f>+'الادارة المالية'!AA17</f>
        <v>0</v>
      </c>
      <c r="AB56" s="46">
        <f>+'الادارة المالية'!AB17</f>
        <v>0</v>
      </c>
      <c r="AC56" s="46">
        <f>+'الادارة المالية'!AC17</f>
        <v>0</v>
      </c>
      <c r="AD56" s="46">
        <f>+'الادارة المالية'!AD17</f>
        <v>0</v>
      </c>
      <c r="AE56" s="46">
        <f>+'الادارة المالية'!AE17</f>
        <v>0</v>
      </c>
      <c r="AF56" s="46">
        <f>+'الادارة المالية'!AF17</f>
        <v>0</v>
      </c>
      <c r="AG56" s="46">
        <f>+'الادارة المالية'!AG17</f>
        <v>0</v>
      </c>
      <c r="AH56" s="46">
        <f>+'الادارة المالية'!AH17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+'الادارة المالية'!A18</f>
        <v>0</v>
      </c>
      <c r="B60" s="44">
        <f>+'الادارة المالية'!B18</f>
        <v>0</v>
      </c>
      <c r="C60" s="45">
        <f>+'الادارة المالية'!C18</f>
        <v>0</v>
      </c>
      <c r="D60" s="45">
        <f>+'الادارة المالية'!D18</f>
        <v>0</v>
      </c>
      <c r="E60" s="45">
        <f>+'الادارة المالية'!E18</f>
        <v>0</v>
      </c>
      <c r="F60" s="46">
        <f>+'الادارة المالية'!F18</f>
        <v>0</v>
      </c>
      <c r="G60" s="46">
        <f>+'الادارة المالية'!G18</f>
        <v>0</v>
      </c>
      <c r="H60" s="46">
        <f>+'الادارة المالية'!H18</f>
        <v>0</v>
      </c>
      <c r="I60" s="46">
        <f>+'الادارة المالية'!I18</f>
        <v>0</v>
      </c>
      <c r="J60" s="46">
        <f>+'الادارة المالية'!J18</f>
        <v>0</v>
      </c>
      <c r="K60" s="46">
        <f>+'الادارة المالية'!K18</f>
        <v>0</v>
      </c>
      <c r="L60" s="46">
        <f>+'الادارة المالية'!L18</f>
        <v>0</v>
      </c>
      <c r="M60" s="46">
        <f>+'الادارة المالية'!M18</f>
        <v>0</v>
      </c>
      <c r="N60" s="46">
        <f>+'الادارة المالية'!N18</f>
        <v>0</v>
      </c>
      <c r="O60" s="46">
        <f>+'الادارة المالية'!O18</f>
        <v>0</v>
      </c>
      <c r="P60" s="46">
        <f>+'الادارة المالية'!P18</f>
        <v>0</v>
      </c>
      <c r="Q60" s="46">
        <f>+'الادارة المالية'!Q18</f>
        <v>0</v>
      </c>
      <c r="R60" s="47">
        <f>+'الادارة المالية'!R18</f>
        <v>0</v>
      </c>
      <c r="S60" s="47">
        <f>+'الادارة المالية'!S18</f>
        <v>0</v>
      </c>
      <c r="T60" s="46">
        <f>+'الادارة المالية'!T18</f>
        <v>0</v>
      </c>
      <c r="U60" s="46">
        <f>+'الادارة المالية'!U18</f>
        <v>0</v>
      </c>
      <c r="V60" s="46">
        <f>+'الادارة المالية'!V18</f>
        <v>0</v>
      </c>
      <c r="W60" s="46">
        <f>+'الادارة المالية'!W18</f>
        <v>0</v>
      </c>
      <c r="X60" s="46">
        <f>+'الادارة المالية'!X18</f>
        <v>0</v>
      </c>
      <c r="Y60" s="46">
        <f>+'الادارة المالية'!Y18</f>
        <v>0</v>
      </c>
      <c r="Z60" s="46">
        <f>+'الادارة المالية'!Z18</f>
        <v>0</v>
      </c>
      <c r="AA60" s="46">
        <f>+'الادارة المالية'!AA18</f>
        <v>0</v>
      </c>
      <c r="AB60" s="46">
        <f>+'الادارة المالية'!AB18</f>
        <v>0</v>
      </c>
      <c r="AC60" s="46">
        <f>+'الادارة المالية'!AC18</f>
        <v>0</v>
      </c>
      <c r="AD60" s="46">
        <f>+'الادارة المالية'!AD18</f>
        <v>0</v>
      </c>
      <c r="AE60" s="46">
        <f>+'الادارة المالية'!AE18</f>
        <v>0</v>
      </c>
      <c r="AF60" s="46">
        <f>+'الادارة المالية'!AF18</f>
        <v>0</v>
      </c>
      <c r="AG60" s="46">
        <f>+'الادارة المالية'!AG18</f>
        <v>0</v>
      </c>
      <c r="AH60" s="46">
        <f>+'الادارة المالية'!AH18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+'الادارة المالية'!A19</f>
        <v>0</v>
      </c>
      <c r="B64" s="44">
        <f>+'الادارة المالية'!B19</f>
        <v>0</v>
      </c>
      <c r="C64" s="45">
        <f>+'الادارة المالية'!C19</f>
        <v>0</v>
      </c>
      <c r="D64" s="45">
        <f>+'الادارة المالية'!D19</f>
        <v>0</v>
      </c>
      <c r="E64" s="45">
        <f>+'الادارة المالية'!E19</f>
        <v>0</v>
      </c>
      <c r="F64" s="46">
        <f>+'الادارة المالية'!F19</f>
        <v>0</v>
      </c>
      <c r="G64" s="46">
        <f>+'الادارة المالية'!G19</f>
        <v>0</v>
      </c>
      <c r="H64" s="46">
        <f>+'الادارة المالية'!H19</f>
        <v>0</v>
      </c>
      <c r="I64" s="46">
        <f>+'الادارة المالية'!I19</f>
        <v>0</v>
      </c>
      <c r="J64" s="46">
        <f>+'الادارة المالية'!J19</f>
        <v>0</v>
      </c>
      <c r="K64" s="46">
        <f>+'الادارة المالية'!K19</f>
        <v>0</v>
      </c>
      <c r="L64" s="46">
        <f>+'الادارة المالية'!L19</f>
        <v>0</v>
      </c>
      <c r="M64" s="46">
        <f>+'الادارة المالية'!M19</f>
        <v>0</v>
      </c>
      <c r="N64" s="46">
        <f>+'الادارة المالية'!N19</f>
        <v>0</v>
      </c>
      <c r="O64" s="46">
        <f>+'الادارة المالية'!O19</f>
        <v>0</v>
      </c>
      <c r="P64" s="46">
        <f>+'الادارة المالية'!P19</f>
        <v>0</v>
      </c>
      <c r="Q64" s="46">
        <f>+'الادارة المالية'!Q19</f>
        <v>0</v>
      </c>
      <c r="R64" s="47">
        <f>+'الادارة المالية'!R19</f>
        <v>0</v>
      </c>
      <c r="S64" s="47">
        <f>+'الادارة المالية'!S19</f>
        <v>0</v>
      </c>
      <c r="T64" s="46">
        <f>+'الادارة المالية'!T19</f>
        <v>0</v>
      </c>
      <c r="U64" s="46">
        <f>+'الادارة المالية'!U19</f>
        <v>0</v>
      </c>
      <c r="V64" s="46">
        <f>+'الادارة المالية'!V19</f>
        <v>0</v>
      </c>
      <c r="W64" s="46">
        <f>+'الادارة المالية'!W19</f>
        <v>0</v>
      </c>
      <c r="X64" s="46">
        <f>+'الادارة المالية'!X19</f>
        <v>0</v>
      </c>
      <c r="Y64" s="46">
        <f>+'الادارة المالية'!Y19</f>
        <v>0</v>
      </c>
      <c r="Z64" s="46">
        <f>+'الادارة المالية'!Z19</f>
        <v>0</v>
      </c>
      <c r="AA64" s="46">
        <f>+'الادارة المالية'!AA19</f>
        <v>0</v>
      </c>
      <c r="AB64" s="46">
        <f>+'الادارة المالية'!AB19</f>
        <v>0</v>
      </c>
      <c r="AC64" s="46">
        <f>+'الادارة المالية'!AC19</f>
        <v>0</v>
      </c>
      <c r="AD64" s="46">
        <f>+'الادارة المالية'!AD19</f>
        <v>0</v>
      </c>
      <c r="AE64" s="46">
        <f>+'الادارة المالية'!AE19</f>
        <v>0</v>
      </c>
      <c r="AF64" s="46">
        <f>+'الادارة المالية'!AF19</f>
        <v>0</v>
      </c>
      <c r="AG64" s="46">
        <f>+'الادارة المالية'!AG19</f>
        <v>0</v>
      </c>
      <c r="AH64" s="46">
        <f>+'الادارة المالية'!AH19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+'الادارة المالية'!A20</f>
        <v>0</v>
      </c>
      <c r="B68" s="44">
        <f>+'الادارة المالية'!B20</f>
        <v>0</v>
      </c>
      <c r="C68" s="45">
        <f>+'الادارة المالية'!C20</f>
        <v>0</v>
      </c>
      <c r="D68" s="45">
        <f>+'الادارة المالية'!D20</f>
        <v>0</v>
      </c>
      <c r="E68" s="45">
        <f>+'الادارة المالية'!E20</f>
        <v>0</v>
      </c>
      <c r="F68" s="46">
        <f>+'الادارة المالية'!F20</f>
        <v>0</v>
      </c>
      <c r="G68" s="46">
        <f>+'الادارة المالية'!G20</f>
        <v>0</v>
      </c>
      <c r="H68" s="46">
        <f>+'الادارة المالية'!H20</f>
        <v>0</v>
      </c>
      <c r="I68" s="46">
        <f>+'الادارة المالية'!I20</f>
        <v>0</v>
      </c>
      <c r="J68" s="46">
        <f>+'الادارة المالية'!J20</f>
        <v>0</v>
      </c>
      <c r="K68" s="46">
        <f>+'الادارة المالية'!K20</f>
        <v>0</v>
      </c>
      <c r="L68" s="46">
        <f>+'الادارة المالية'!L20</f>
        <v>0</v>
      </c>
      <c r="M68" s="46">
        <f>+'الادارة المالية'!M20</f>
        <v>0</v>
      </c>
      <c r="N68" s="46">
        <f>+'الادارة المالية'!N20</f>
        <v>0</v>
      </c>
      <c r="O68" s="46">
        <f>+'الادارة المالية'!O20</f>
        <v>0</v>
      </c>
      <c r="P68" s="46">
        <f>+'الادارة المالية'!P20</f>
        <v>0</v>
      </c>
      <c r="Q68" s="46">
        <f>+'الادارة المالية'!Q20</f>
        <v>0</v>
      </c>
      <c r="R68" s="47">
        <f>+'الادارة المالية'!R20</f>
        <v>0</v>
      </c>
      <c r="S68" s="47">
        <f>+'الادارة المالية'!S20</f>
        <v>0</v>
      </c>
      <c r="T68" s="46">
        <f>+'الادارة المالية'!T20</f>
        <v>0</v>
      </c>
      <c r="U68" s="46">
        <f>+'الادارة المالية'!U20</f>
        <v>0</v>
      </c>
      <c r="V68" s="46">
        <f>+'الادارة المالية'!V20</f>
        <v>0</v>
      </c>
      <c r="W68" s="46">
        <f>+'الادارة المالية'!W20</f>
        <v>0</v>
      </c>
      <c r="X68" s="46">
        <f>+'الادارة المالية'!X20</f>
        <v>0</v>
      </c>
      <c r="Y68" s="46">
        <f>+'الادارة المالية'!Y20</f>
        <v>0</v>
      </c>
      <c r="Z68" s="46">
        <f>+'الادارة المالية'!Z20</f>
        <v>0</v>
      </c>
      <c r="AA68" s="46">
        <f>+'الادارة المالية'!AA20</f>
        <v>0</v>
      </c>
      <c r="AB68" s="46">
        <f>+'الادارة المالية'!AB20</f>
        <v>0</v>
      </c>
      <c r="AC68" s="46">
        <f>+'الادارة المالية'!AC20</f>
        <v>0</v>
      </c>
      <c r="AD68" s="46">
        <f>+'الادارة المالية'!AD20</f>
        <v>0</v>
      </c>
      <c r="AE68" s="46">
        <f>+'الادارة المالية'!AE20</f>
        <v>0</v>
      </c>
      <c r="AF68" s="46">
        <f>+'الادارة المالية'!AF20</f>
        <v>0</v>
      </c>
      <c r="AG68" s="46">
        <f>+'الادارة المالية'!AG20</f>
        <v>0</v>
      </c>
      <c r="AH68" s="46">
        <f>+'الادارة المالية'!AH20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+'الادارة المالية'!A21</f>
        <v>0</v>
      </c>
      <c r="B72" s="44">
        <f>+'الادارة المالية'!B21</f>
        <v>0</v>
      </c>
      <c r="C72" s="45">
        <f>+'الادارة المالية'!C21</f>
        <v>0</v>
      </c>
      <c r="D72" s="45">
        <f>+'الادارة المالية'!D21</f>
        <v>0</v>
      </c>
      <c r="E72" s="45">
        <f>+'الادارة المالية'!E21</f>
        <v>0</v>
      </c>
      <c r="F72" s="46">
        <f>+'الادارة المالية'!F21</f>
        <v>0</v>
      </c>
      <c r="G72" s="46">
        <f>+'الادارة المالية'!G21</f>
        <v>0</v>
      </c>
      <c r="H72" s="46">
        <f>+'الادارة المالية'!H21</f>
        <v>0</v>
      </c>
      <c r="I72" s="46">
        <f>+'الادارة المالية'!I21</f>
        <v>0</v>
      </c>
      <c r="J72" s="46">
        <f>+'الادارة المالية'!J21</f>
        <v>0</v>
      </c>
      <c r="K72" s="46">
        <f>+'الادارة المالية'!K21</f>
        <v>0</v>
      </c>
      <c r="L72" s="46">
        <f>+'الادارة المالية'!L21</f>
        <v>0</v>
      </c>
      <c r="M72" s="46">
        <f>+'الادارة المالية'!M21</f>
        <v>0</v>
      </c>
      <c r="N72" s="46">
        <f>+'الادارة المالية'!N21</f>
        <v>0</v>
      </c>
      <c r="O72" s="46">
        <f>+'الادارة المالية'!O21</f>
        <v>0</v>
      </c>
      <c r="P72" s="46">
        <f>+'الادارة المالية'!P21</f>
        <v>0</v>
      </c>
      <c r="Q72" s="46">
        <f>+'الادارة المالية'!Q21</f>
        <v>0</v>
      </c>
      <c r="R72" s="47">
        <f>+'الادارة المالية'!R21</f>
        <v>0</v>
      </c>
      <c r="S72" s="47">
        <f>+'الادارة المالية'!S21</f>
        <v>0</v>
      </c>
      <c r="T72" s="46">
        <f>+'الادارة المالية'!T21</f>
        <v>0</v>
      </c>
      <c r="U72" s="46">
        <f>+'الادارة المالية'!U21</f>
        <v>0</v>
      </c>
      <c r="V72" s="46">
        <f>+'الادارة المالية'!V21</f>
        <v>0</v>
      </c>
      <c r="W72" s="46">
        <f>+'الادارة المالية'!W21</f>
        <v>0</v>
      </c>
      <c r="X72" s="46">
        <f>+'الادارة المالية'!X21</f>
        <v>0</v>
      </c>
      <c r="Y72" s="46">
        <f>+'الادارة المالية'!Y21</f>
        <v>0</v>
      </c>
      <c r="Z72" s="46">
        <f>+'الادارة المالية'!Z21</f>
        <v>0</v>
      </c>
      <c r="AA72" s="46">
        <f>+'الادارة المالية'!AA21</f>
        <v>0</v>
      </c>
      <c r="AB72" s="46">
        <f>+'الادارة المالية'!AB21</f>
        <v>0</v>
      </c>
      <c r="AC72" s="46">
        <f>+'الادارة المالية'!AC21</f>
        <v>0</v>
      </c>
      <c r="AD72" s="46">
        <f>+'الادارة المالية'!AD21</f>
        <v>0</v>
      </c>
      <c r="AE72" s="46">
        <f>+'الادارة المالية'!AE21</f>
        <v>0</v>
      </c>
      <c r="AF72" s="46">
        <f>+'الادارة المالية'!AF21</f>
        <v>0</v>
      </c>
      <c r="AG72" s="46">
        <f>+'الادارة المالية'!AG21</f>
        <v>0</v>
      </c>
      <c r="AH72" s="46">
        <f>+'الادارة المالية'!AH21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+'الادارة المالية'!A22</f>
        <v>0</v>
      </c>
      <c r="B76" s="44">
        <f>+'الادارة المالية'!B22</f>
        <v>0</v>
      </c>
      <c r="C76" s="45">
        <f>+'الادارة المالية'!C22</f>
        <v>0</v>
      </c>
      <c r="D76" s="45">
        <f>+'الادارة المالية'!D22</f>
        <v>0</v>
      </c>
      <c r="E76" s="45">
        <f>+'الادارة المالية'!E22</f>
        <v>0</v>
      </c>
      <c r="F76" s="46">
        <f>+'الادارة المالية'!F22</f>
        <v>0</v>
      </c>
      <c r="G76" s="46">
        <f>+'الادارة المالية'!G22</f>
        <v>0</v>
      </c>
      <c r="H76" s="46">
        <f>+'الادارة المالية'!H22</f>
        <v>0</v>
      </c>
      <c r="I76" s="46">
        <f>+'الادارة المالية'!I22</f>
        <v>0</v>
      </c>
      <c r="J76" s="46">
        <f>+'الادارة المالية'!J22</f>
        <v>0</v>
      </c>
      <c r="K76" s="46">
        <f>+'الادارة المالية'!K22</f>
        <v>0</v>
      </c>
      <c r="L76" s="46">
        <f>+'الادارة المالية'!L22</f>
        <v>0</v>
      </c>
      <c r="M76" s="46">
        <f>+'الادارة المالية'!M22</f>
        <v>0</v>
      </c>
      <c r="N76" s="46">
        <f>+'الادارة المالية'!N22</f>
        <v>0</v>
      </c>
      <c r="O76" s="46">
        <f>+'الادارة المالية'!O22</f>
        <v>0</v>
      </c>
      <c r="P76" s="46">
        <f>+'الادارة المالية'!P22</f>
        <v>0</v>
      </c>
      <c r="Q76" s="46">
        <f>+'الادارة المالية'!Q22</f>
        <v>0</v>
      </c>
      <c r="R76" s="47">
        <f>+'الادارة المالية'!R22</f>
        <v>0</v>
      </c>
      <c r="S76" s="47">
        <f>+'الادارة المالية'!S22</f>
        <v>0</v>
      </c>
      <c r="T76" s="46">
        <f>+'الادارة المالية'!T22</f>
        <v>0</v>
      </c>
      <c r="U76" s="46">
        <f>+'الادارة المالية'!U22</f>
        <v>0</v>
      </c>
      <c r="V76" s="46">
        <f>+'الادارة المالية'!V22</f>
        <v>0</v>
      </c>
      <c r="W76" s="46">
        <f>+'الادارة المالية'!W22</f>
        <v>0</v>
      </c>
      <c r="X76" s="46">
        <f>+'الادارة المالية'!X22</f>
        <v>0</v>
      </c>
      <c r="Y76" s="46">
        <f>+'الادارة المالية'!Y22</f>
        <v>0</v>
      </c>
      <c r="Z76" s="46">
        <f>+'الادارة المالية'!Z22</f>
        <v>0</v>
      </c>
      <c r="AA76" s="46">
        <f>+'الادارة المالية'!AA22</f>
        <v>0</v>
      </c>
      <c r="AB76" s="46">
        <f>+'الادارة المالية'!AB22</f>
        <v>0</v>
      </c>
      <c r="AC76" s="46">
        <f>+'الادارة المالية'!AC22</f>
        <v>0</v>
      </c>
      <c r="AD76" s="46">
        <f>+'الادارة المالية'!AD22</f>
        <v>0</v>
      </c>
      <c r="AE76" s="46">
        <f>+'الادارة المالية'!AE22</f>
        <v>0</v>
      </c>
      <c r="AF76" s="46">
        <f>+'الادارة المالية'!AF22</f>
        <v>0</v>
      </c>
      <c r="AG76" s="46">
        <f>+'الادارة المالية'!AG22</f>
        <v>0</v>
      </c>
      <c r="AH76" s="46">
        <f>+'الادارة المالية'!AH22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+'الادارة المالية'!A23</f>
        <v>0</v>
      </c>
      <c r="B80" s="44">
        <f>+'الادارة المالية'!B23</f>
        <v>0</v>
      </c>
      <c r="C80" s="45">
        <f>+'الادارة المالية'!C23</f>
        <v>0</v>
      </c>
      <c r="D80" s="45">
        <f>+'الادارة المالية'!D23</f>
        <v>0</v>
      </c>
      <c r="E80" s="45">
        <f>+'الادارة المالية'!E23</f>
        <v>0</v>
      </c>
      <c r="F80" s="46">
        <f>+'الادارة المالية'!F23</f>
        <v>0</v>
      </c>
      <c r="G80" s="46">
        <f>+'الادارة المالية'!G23</f>
        <v>0</v>
      </c>
      <c r="H80" s="46">
        <f>+'الادارة المالية'!H23</f>
        <v>0</v>
      </c>
      <c r="I80" s="46">
        <f>+'الادارة المالية'!I23</f>
        <v>0</v>
      </c>
      <c r="J80" s="46">
        <f>+'الادارة المالية'!J23</f>
        <v>0</v>
      </c>
      <c r="K80" s="46">
        <f>+'الادارة المالية'!K23</f>
        <v>0</v>
      </c>
      <c r="L80" s="46">
        <f>+'الادارة المالية'!L23</f>
        <v>0</v>
      </c>
      <c r="M80" s="46">
        <f>+'الادارة المالية'!M23</f>
        <v>0</v>
      </c>
      <c r="N80" s="46">
        <f>+'الادارة المالية'!N23</f>
        <v>0</v>
      </c>
      <c r="O80" s="46">
        <f>+'الادارة المالية'!O23</f>
        <v>0</v>
      </c>
      <c r="P80" s="46">
        <f>+'الادارة المالية'!P23</f>
        <v>0</v>
      </c>
      <c r="Q80" s="46">
        <f>+'الادارة المالية'!Q23</f>
        <v>0</v>
      </c>
      <c r="R80" s="47">
        <f>+'الادارة المالية'!R23</f>
        <v>0</v>
      </c>
      <c r="S80" s="47">
        <f>+'الادارة المالية'!S23</f>
        <v>0</v>
      </c>
      <c r="T80" s="46">
        <f>+'الادارة المالية'!T23</f>
        <v>0</v>
      </c>
      <c r="U80" s="46">
        <f>+'الادارة المالية'!U23</f>
        <v>0</v>
      </c>
      <c r="V80" s="46">
        <f>+'الادارة المالية'!V23</f>
        <v>0</v>
      </c>
      <c r="W80" s="46">
        <f>+'الادارة المالية'!W23</f>
        <v>0</v>
      </c>
      <c r="X80" s="46">
        <f>+'الادارة المالية'!X23</f>
        <v>0</v>
      </c>
      <c r="Y80" s="46">
        <f>+'الادارة المالية'!Y23</f>
        <v>0</v>
      </c>
      <c r="Z80" s="46">
        <f>+'الادارة المالية'!Z23</f>
        <v>0</v>
      </c>
      <c r="AA80" s="46">
        <f>+'الادارة المالية'!AA23</f>
        <v>0</v>
      </c>
      <c r="AB80" s="46">
        <f>+'الادارة المالية'!AB23</f>
        <v>0</v>
      </c>
      <c r="AC80" s="46">
        <f>+'الادارة المالية'!AC23</f>
        <v>0</v>
      </c>
      <c r="AD80" s="46">
        <f>+'الادارة المالية'!AD23</f>
        <v>0</v>
      </c>
      <c r="AE80" s="46">
        <f>+'الادارة المالية'!AE23</f>
        <v>0</v>
      </c>
      <c r="AF80" s="46">
        <f>+'الادارة المالية'!AF23</f>
        <v>0</v>
      </c>
      <c r="AG80" s="46">
        <f>+'الادارة المالية'!AG23</f>
        <v>0</v>
      </c>
      <c r="AH80" s="46">
        <f>+'الادارة المالية'!AH23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f>+'الادارة المالية'!A24</f>
        <v>0</v>
      </c>
      <c r="B84" s="44">
        <f>+'الادارة المالية'!B24</f>
        <v>0</v>
      </c>
      <c r="C84" s="45">
        <f>+'الادارة المالية'!C24</f>
        <v>0</v>
      </c>
      <c r="D84" s="45">
        <f>+'الادارة المالية'!D24</f>
        <v>0</v>
      </c>
      <c r="E84" s="45">
        <f>+'الادارة المالية'!E24</f>
        <v>0</v>
      </c>
      <c r="F84" s="46">
        <f>+'الادارة المالية'!F24</f>
        <v>0</v>
      </c>
      <c r="G84" s="46">
        <f>+'الادارة المالية'!G24</f>
        <v>0</v>
      </c>
      <c r="H84" s="46">
        <f>+'الادارة المالية'!H24</f>
        <v>0</v>
      </c>
      <c r="I84" s="46">
        <f>+'الادارة المالية'!I24</f>
        <v>0</v>
      </c>
      <c r="J84" s="46">
        <f>+'الادارة المالية'!J24</f>
        <v>0</v>
      </c>
      <c r="K84" s="46">
        <f>+'الادارة المالية'!K24</f>
        <v>0</v>
      </c>
      <c r="L84" s="46">
        <f>+'الادارة المالية'!L24</f>
        <v>0</v>
      </c>
      <c r="M84" s="46">
        <f>+'الادارة المالية'!M24</f>
        <v>0</v>
      </c>
      <c r="N84" s="46">
        <f>+'الادارة المالية'!N24</f>
        <v>0</v>
      </c>
      <c r="O84" s="46">
        <f>+'الادارة المالية'!O24</f>
        <v>0</v>
      </c>
      <c r="P84" s="46">
        <f>+'الادارة المالية'!P24</f>
        <v>0</v>
      </c>
      <c r="Q84" s="46">
        <f>+'الادارة المالية'!Q24</f>
        <v>0</v>
      </c>
      <c r="R84" s="47">
        <f>+'الادارة المالية'!R24</f>
        <v>0</v>
      </c>
      <c r="S84" s="47">
        <f>+'الادارة المالية'!S24</f>
        <v>0</v>
      </c>
      <c r="T84" s="46">
        <f>+'الادارة المالية'!T24</f>
        <v>0</v>
      </c>
      <c r="U84" s="46">
        <f>+'الادارة المالية'!U24</f>
        <v>0</v>
      </c>
      <c r="V84" s="46">
        <f>+'الادارة المالية'!V24</f>
        <v>0</v>
      </c>
      <c r="W84" s="46">
        <f>+'الادارة المالية'!W24</f>
        <v>0</v>
      </c>
      <c r="X84" s="46">
        <f>+'الادارة المالية'!X24</f>
        <v>0</v>
      </c>
      <c r="Y84" s="46">
        <f>+'الادارة المالية'!Y24</f>
        <v>0</v>
      </c>
      <c r="Z84" s="46">
        <f>+'الادارة المالية'!Z24</f>
        <v>0</v>
      </c>
      <c r="AA84" s="46">
        <f>+'الادارة المالية'!AA24</f>
        <v>0</v>
      </c>
      <c r="AB84" s="46">
        <f>+'الادارة المالية'!AB24</f>
        <v>0</v>
      </c>
      <c r="AC84" s="46">
        <f>+'الادارة المالية'!AC24</f>
        <v>0</v>
      </c>
      <c r="AD84" s="46">
        <f>+'الادارة المالية'!AD24</f>
        <v>0</v>
      </c>
      <c r="AE84" s="46">
        <f>+'الادارة المالية'!AE24</f>
        <v>0</v>
      </c>
      <c r="AF84" s="46">
        <f>+'الادارة المالية'!AF24</f>
        <v>0</v>
      </c>
      <c r="AG84" s="46">
        <f>+'الادارة المالية'!AG24</f>
        <v>0</v>
      </c>
      <c r="AH84" s="46">
        <f>+'الادارة المالية'!AH24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+'الادارة المالية'!A25</f>
        <v>0</v>
      </c>
      <c r="B88" s="44">
        <f>+'الادارة المالية'!B25</f>
        <v>0</v>
      </c>
      <c r="C88" s="45">
        <f>+'الادارة المالية'!C25</f>
        <v>0</v>
      </c>
      <c r="D88" s="45">
        <f>+'الادارة المالية'!D25</f>
        <v>0</v>
      </c>
      <c r="E88" s="45">
        <f>+'الادارة المالية'!E25</f>
        <v>0</v>
      </c>
      <c r="F88" s="46">
        <f>+'الادارة المالية'!F25</f>
        <v>0</v>
      </c>
      <c r="G88" s="46">
        <f>+'الادارة المالية'!G25</f>
        <v>0</v>
      </c>
      <c r="H88" s="46">
        <f>+'الادارة المالية'!H25</f>
        <v>0</v>
      </c>
      <c r="I88" s="46">
        <f>+'الادارة المالية'!I25</f>
        <v>0</v>
      </c>
      <c r="J88" s="46">
        <f>+'الادارة المالية'!J25</f>
        <v>0</v>
      </c>
      <c r="K88" s="46">
        <f>+'الادارة المالية'!K25</f>
        <v>0</v>
      </c>
      <c r="L88" s="46">
        <f>+'الادارة المالية'!L25</f>
        <v>0</v>
      </c>
      <c r="M88" s="46">
        <f>+'الادارة المالية'!M25</f>
        <v>0</v>
      </c>
      <c r="N88" s="46">
        <f>+'الادارة المالية'!N25</f>
        <v>0</v>
      </c>
      <c r="O88" s="46">
        <f>+'الادارة المالية'!O25</f>
        <v>0</v>
      </c>
      <c r="P88" s="46">
        <f>+'الادارة المالية'!P25</f>
        <v>0</v>
      </c>
      <c r="Q88" s="46">
        <f>+'الادارة المالية'!Q25</f>
        <v>0</v>
      </c>
      <c r="R88" s="47">
        <f>+'الادارة المالية'!R25</f>
        <v>0</v>
      </c>
      <c r="S88" s="47">
        <f>+'الادارة المالية'!S25</f>
        <v>0</v>
      </c>
      <c r="T88" s="46">
        <f>+'الادارة المالية'!T25</f>
        <v>0</v>
      </c>
      <c r="U88" s="46">
        <f>+'الادارة المالية'!U25</f>
        <v>0</v>
      </c>
      <c r="V88" s="46">
        <f>+'الادارة المالية'!V25</f>
        <v>0</v>
      </c>
      <c r="W88" s="46">
        <f>+'الادارة المالية'!W25</f>
        <v>0</v>
      </c>
      <c r="X88" s="46">
        <f>+'الادارة المالية'!X25</f>
        <v>0</v>
      </c>
      <c r="Y88" s="46">
        <f>+'الادارة المالية'!Y25</f>
        <v>0</v>
      </c>
      <c r="Z88" s="46">
        <f>+'الادارة المالية'!Z25</f>
        <v>0</v>
      </c>
      <c r="AA88" s="46">
        <f>+'الادارة المالية'!AA25</f>
        <v>0</v>
      </c>
      <c r="AB88" s="46">
        <f>+'الادارة المالية'!AB25</f>
        <v>0</v>
      </c>
      <c r="AC88" s="46">
        <f>+'الادارة المالية'!AC25</f>
        <v>0</v>
      </c>
      <c r="AD88" s="46">
        <f>+'الادارة المالية'!AD25</f>
        <v>0</v>
      </c>
      <c r="AE88" s="46">
        <f>+'الادارة المالية'!AE25</f>
        <v>0</v>
      </c>
      <c r="AF88" s="46">
        <f>+'الادارة المالية'!AF25</f>
        <v>0</v>
      </c>
      <c r="AG88" s="46">
        <f>+'الادارة المالية'!AG25</f>
        <v>0</v>
      </c>
      <c r="AH88" s="46">
        <f>+'الادارة المالية'!AH25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+'الادارة المالية'!A26</f>
        <v>0</v>
      </c>
      <c r="B92" s="44">
        <f>+'الادارة المالية'!B26</f>
        <v>0</v>
      </c>
      <c r="C92" s="45">
        <f>+'الادارة المالية'!C26</f>
        <v>0</v>
      </c>
      <c r="D92" s="45">
        <f>+'الادارة المالية'!D26</f>
        <v>0</v>
      </c>
      <c r="E92" s="45">
        <f>+'الادارة المالية'!E26</f>
        <v>0</v>
      </c>
      <c r="F92" s="46">
        <f>+'الادارة المالية'!F26</f>
        <v>0</v>
      </c>
      <c r="G92" s="46">
        <f>+'الادارة المالية'!G26</f>
        <v>0</v>
      </c>
      <c r="H92" s="46">
        <f>+'الادارة المالية'!H26</f>
        <v>0</v>
      </c>
      <c r="I92" s="46">
        <f>+'الادارة المالية'!I26</f>
        <v>0</v>
      </c>
      <c r="J92" s="46">
        <f>+'الادارة المالية'!J26</f>
        <v>0</v>
      </c>
      <c r="K92" s="46">
        <f>+'الادارة المالية'!K26</f>
        <v>0</v>
      </c>
      <c r="L92" s="46">
        <f>+'الادارة المالية'!L26</f>
        <v>0</v>
      </c>
      <c r="M92" s="46">
        <f>+'الادارة المالية'!M26</f>
        <v>0</v>
      </c>
      <c r="N92" s="46">
        <f>+'الادارة المالية'!N26</f>
        <v>0</v>
      </c>
      <c r="O92" s="46">
        <f>+'الادارة المالية'!O26</f>
        <v>0</v>
      </c>
      <c r="P92" s="46">
        <f>+'الادارة المالية'!P26</f>
        <v>0</v>
      </c>
      <c r="Q92" s="46">
        <f>+'الادارة المالية'!Q26</f>
        <v>0</v>
      </c>
      <c r="R92" s="47">
        <f>+'الادارة المالية'!R26</f>
        <v>0</v>
      </c>
      <c r="S92" s="47">
        <f>+'الادارة المالية'!S26</f>
        <v>0</v>
      </c>
      <c r="T92" s="46">
        <f>+'الادارة المالية'!T26</f>
        <v>0</v>
      </c>
      <c r="U92" s="46">
        <f>+'الادارة المالية'!U26</f>
        <v>0</v>
      </c>
      <c r="V92" s="46">
        <f>+'الادارة المالية'!V26</f>
        <v>0</v>
      </c>
      <c r="W92" s="46">
        <f>+'الادارة المالية'!W26</f>
        <v>0</v>
      </c>
      <c r="X92" s="46">
        <f>+'الادارة المالية'!X26</f>
        <v>0</v>
      </c>
      <c r="Y92" s="46">
        <f>+'الادارة المالية'!Y26</f>
        <v>0</v>
      </c>
      <c r="Z92" s="46">
        <f>+'الادارة المالية'!Z26</f>
        <v>0</v>
      </c>
      <c r="AA92" s="46">
        <f>+'الادارة المالية'!AA26</f>
        <v>0</v>
      </c>
      <c r="AB92" s="46">
        <f>+'الادارة المالية'!AB26</f>
        <v>0</v>
      </c>
      <c r="AC92" s="46">
        <f>+'الادارة المالية'!AC26</f>
        <v>0</v>
      </c>
      <c r="AD92" s="46">
        <f>+'الادارة المالية'!AD26</f>
        <v>0</v>
      </c>
      <c r="AE92" s="46">
        <f>+'الادارة المالية'!AE26</f>
        <v>0</v>
      </c>
      <c r="AF92" s="46">
        <f>+'الادارة المالية'!AF26</f>
        <v>0</v>
      </c>
      <c r="AG92" s="46">
        <f>+'الادارة المالية'!AG26</f>
        <v>0</v>
      </c>
      <c r="AH92" s="46">
        <f>+'الادارة المالية'!AH26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+'الادارة المالية'!A27</f>
        <v>0</v>
      </c>
      <c r="B96" s="44">
        <f>+'الادارة المالية'!B27</f>
        <v>0</v>
      </c>
      <c r="C96" s="45">
        <f>+'الادارة المالية'!C27</f>
        <v>0</v>
      </c>
      <c r="D96" s="45">
        <f>+'الادارة المالية'!D27</f>
        <v>0</v>
      </c>
      <c r="E96" s="45">
        <f>+'الادارة المالية'!E27</f>
        <v>0</v>
      </c>
      <c r="F96" s="46">
        <f>+'الادارة المالية'!F27</f>
        <v>0</v>
      </c>
      <c r="G96" s="46">
        <f>+'الادارة المالية'!G27</f>
        <v>0</v>
      </c>
      <c r="H96" s="46">
        <f>+'الادارة المالية'!H27</f>
        <v>0</v>
      </c>
      <c r="I96" s="46">
        <f>+'الادارة المالية'!I27</f>
        <v>0</v>
      </c>
      <c r="J96" s="46">
        <f>+'الادارة المالية'!J27</f>
        <v>0</v>
      </c>
      <c r="K96" s="46">
        <f>+'الادارة المالية'!K27</f>
        <v>0</v>
      </c>
      <c r="L96" s="46">
        <f>+'الادارة المالية'!L27</f>
        <v>0</v>
      </c>
      <c r="M96" s="46">
        <f>+'الادارة المالية'!M27</f>
        <v>0</v>
      </c>
      <c r="N96" s="46">
        <f>+'الادارة المالية'!N27</f>
        <v>0</v>
      </c>
      <c r="O96" s="46">
        <f>+'الادارة المالية'!O27</f>
        <v>0</v>
      </c>
      <c r="P96" s="46">
        <f>+'الادارة المالية'!P27</f>
        <v>0</v>
      </c>
      <c r="Q96" s="46">
        <f>+'الادارة المالية'!Q27</f>
        <v>0</v>
      </c>
      <c r="R96" s="47">
        <f>+'الادارة المالية'!R27</f>
        <v>0</v>
      </c>
      <c r="S96" s="47">
        <f>+'الادارة المالية'!S27</f>
        <v>0</v>
      </c>
      <c r="T96" s="46">
        <f>+'الادارة المالية'!T27</f>
        <v>0</v>
      </c>
      <c r="U96" s="46">
        <f>+'الادارة المالية'!U27</f>
        <v>0</v>
      </c>
      <c r="V96" s="46">
        <f>+'الادارة المالية'!V27</f>
        <v>0</v>
      </c>
      <c r="W96" s="46">
        <f>+'الادارة المالية'!W27</f>
        <v>0</v>
      </c>
      <c r="X96" s="46">
        <f>+'الادارة المالية'!X27</f>
        <v>0</v>
      </c>
      <c r="Y96" s="46">
        <f>+'الادارة المالية'!Y27</f>
        <v>0</v>
      </c>
      <c r="Z96" s="46">
        <f>+'الادارة المالية'!Z27</f>
        <v>0</v>
      </c>
      <c r="AA96" s="46">
        <f>+'الادارة المالية'!AA27</f>
        <v>0</v>
      </c>
      <c r="AB96" s="46">
        <f>+'الادارة المالية'!AB27</f>
        <v>0</v>
      </c>
      <c r="AC96" s="46">
        <f>+'الادارة المالية'!AC27</f>
        <v>0</v>
      </c>
      <c r="AD96" s="46">
        <f>+'الادارة المالية'!AD27</f>
        <v>0</v>
      </c>
      <c r="AE96" s="46">
        <f>+'الادارة المالية'!AE27</f>
        <v>0</v>
      </c>
      <c r="AF96" s="46">
        <f>+'الادارة المالية'!AF27</f>
        <v>0</v>
      </c>
      <c r="AG96" s="46">
        <f>+'الادارة المالية'!AG27</f>
        <v>0</v>
      </c>
      <c r="AH96" s="46">
        <f>+'الادارة المالية'!AH27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+'الادارة المالية'!A28</f>
        <v>0</v>
      </c>
      <c r="B100" s="44">
        <f>+'الادارة المالية'!B28</f>
        <v>0</v>
      </c>
      <c r="C100" s="45">
        <f>+'الادارة المالية'!C28</f>
        <v>0</v>
      </c>
      <c r="D100" s="45">
        <f>+'الادارة المالية'!D28</f>
        <v>0</v>
      </c>
      <c r="E100" s="45">
        <f>+'الادارة المالية'!E28</f>
        <v>0</v>
      </c>
      <c r="F100" s="46">
        <f>+'الادارة المالية'!F28</f>
        <v>0</v>
      </c>
      <c r="G100" s="46">
        <f>+'الادارة المالية'!G28</f>
        <v>0</v>
      </c>
      <c r="H100" s="46">
        <f>+'الادارة المالية'!H28</f>
        <v>0</v>
      </c>
      <c r="I100" s="46">
        <f>+'الادارة المالية'!I28</f>
        <v>0</v>
      </c>
      <c r="J100" s="46">
        <f>+'الادارة المالية'!J28</f>
        <v>0</v>
      </c>
      <c r="K100" s="46">
        <f>+'الادارة المالية'!K28</f>
        <v>0</v>
      </c>
      <c r="L100" s="46">
        <f>+'الادارة المالية'!L28</f>
        <v>0</v>
      </c>
      <c r="M100" s="46">
        <f>+'الادارة المالية'!M28</f>
        <v>0</v>
      </c>
      <c r="N100" s="46">
        <f>+'الادارة المالية'!N28</f>
        <v>0</v>
      </c>
      <c r="O100" s="46">
        <f>+'الادارة المالية'!O28</f>
        <v>0</v>
      </c>
      <c r="P100" s="46">
        <f>+'الادارة المالية'!P28</f>
        <v>0</v>
      </c>
      <c r="Q100" s="46">
        <f>+'الادارة المالية'!Q28</f>
        <v>0</v>
      </c>
      <c r="R100" s="47">
        <f>+'الادارة المالية'!R28</f>
        <v>0</v>
      </c>
      <c r="S100" s="47">
        <f>+'الادارة المالية'!S28</f>
        <v>0</v>
      </c>
      <c r="T100" s="46">
        <f>+'الادارة المالية'!T28</f>
        <v>0</v>
      </c>
      <c r="U100" s="46">
        <f>+'الادارة المالية'!U28</f>
        <v>0</v>
      </c>
      <c r="V100" s="46">
        <f>+'الادارة المالية'!V28</f>
        <v>0</v>
      </c>
      <c r="W100" s="46">
        <f>+'الادارة المالية'!W28</f>
        <v>0</v>
      </c>
      <c r="X100" s="46">
        <f>+'الادارة المالية'!X28</f>
        <v>0</v>
      </c>
      <c r="Y100" s="46">
        <f>+'الادارة المالية'!Y28</f>
        <v>0</v>
      </c>
      <c r="Z100" s="46">
        <f>+'الادارة المالية'!Z28</f>
        <v>0</v>
      </c>
      <c r="AA100" s="46">
        <f>+'الادارة المالية'!AA28</f>
        <v>0</v>
      </c>
      <c r="AB100" s="46">
        <f>+'الادارة المالية'!AB28</f>
        <v>0</v>
      </c>
      <c r="AC100" s="46">
        <f>+'الادارة المالية'!AC28</f>
        <v>0</v>
      </c>
      <c r="AD100" s="46">
        <f>+'الادارة المالية'!AD28</f>
        <v>0</v>
      </c>
      <c r="AE100" s="46">
        <f>+'الادارة المالية'!AE28</f>
        <v>0</v>
      </c>
      <c r="AF100" s="46">
        <f>+'الادارة المالية'!AF28</f>
        <v>0</v>
      </c>
      <c r="AG100" s="46">
        <f>+'الادارة المالية'!AG28</f>
        <v>0</v>
      </c>
      <c r="AH100" s="46">
        <f>+'الادارة المالية'!AH28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+'الادارة المالية'!A29</f>
        <v>0</v>
      </c>
      <c r="B104" s="44">
        <f>+'الادارة المالية'!B29</f>
        <v>0</v>
      </c>
      <c r="C104" s="45">
        <f>+'الادارة المالية'!C29</f>
        <v>0</v>
      </c>
      <c r="D104" s="45">
        <f>+'الادارة المالية'!D29</f>
        <v>0</v>
      </c>
      <c r="E104" s="45">
        <f>+'الادارة المالية'!E29</f>
        <v>0</v>
      </c>
      <c r="F104" s="46">
        <f>+'الادارة المالية'!F29</f>
        <v>0</v>
      </c>
      <c r="G104" s="46">
        <f>+'الادارة المالية'!G29</f>
        <v>0</v>
      </c>
      <c r="H104" s="46">
        <f>+'الادارة المالية'!H29</f>
        <v>0</v>
      </c>
      <c r="I104" s="46">
        <f>+'الادارة المالية'!I29</f>
        <v>0</v>
      </c>
      <c r="J104" s="46">
        <f>+'الادارة المالية'!J29</f>
        <v>0</v>
      </c>
      <c r="K104" s="46">
        <f>+'الادارة المالية'!K29</f>
        <v>0</v>
      </c>
      <c r="L104" s="46">
        <f>+'الادارة المالية'!L29</f>
        <v>0</v>
      </c>
      <c r="M104" s="46">
        <f>+'الادارة المالية'!M29</f>
        <v>0</v>
      </c>
      <c r="N104" s="46">
        <f>+'الادارة المالية'!N29</f>
        <v>0</v>
      </c>
      <c r="O104" s="46">
        <f>+'الادارة المالية'!O29</f>
        <v>0</v>
      </c>
      <c r="P104" s="46">
        <f>+'الادارة المالية'!P29</f>
        <v>0</v>
      </c>
      <c r="Q104" s="46">
        <f>+'الادارة المالية'!Q29</f>
        <v>0</v>
      </c>
      <c r="R104" s="47">
        <f>+'الادارة المالية'!R29</f>
        <v>0</v>
      </c>
      <c r="S104" s="47">
        <f>+'الادارة المالية'!S29</f>
        <v>0</v>
      </c>
      <c r="T104" s="46">
        <f>+'الادارة المالية'!T29</f>
        <v>0</v>
      </c>
      <c r="U104" s="46">
        <f>+'الادارة المالية'!U29</f>
        <v>0</v>
      </c>
      <c r="V104" s="46">
        <f>+'الادارة المالية'!V29</f>
        <v>0</v>
      </c>
      <c r="W104" s="46">
        <f>+'الادارة المالية'!W29</f>
        <v>0</v>
      </c>
      <c r="X104" s="46">
        <f>+'الادارة المالية'!X29</f>
        <v>0</v>
      </c>
      <c r="Y104" s="46">
        <f>+'الادارة المالية'!Y29</f>
        <v>0</v>
      </c>
      <c r="Z104" s="46">
        <f>+'الادارة المالية'!Z29</f>
        <v>0</v>
      </c>
      <c r="AA104" s="46">
        <f>+'الادارة المالية'!AA29</f>
        <v>0</v>
      </c>
      <c r="AB104" s="46">
        <f>+'الادارة المالية'!AB29</f>
        <v>0</v>
      </c>
      <c r="AC104" s="46">
        <f>+'الادارة المالية'!AC29</f>
        <v>0</v>
      </c>
      <c r="AD104" s="46">
        <f>+'الادارة المالية'!AD29</f>
        <v>0</v>
      </c>
      <c r="AE104" s="46">
        <f>+'الادارة المالية'!AE29</f>
        <v>0</v>
      </c>
      <c r="AF104" s="46">
        <f>+'الادارة المالية'!AF29</f>
        <v>0</v>
      </c>
      <c r="AG104" s="46">
        <f>+'الادارة المالية'!AG29</f>
        <v>0</v>
      </c>
      <c r="AH104" s="46">
        <f>+'الادارة المالية'!AH29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+'الادارة المالية'!A30</f>
        <v>0</v>
      </c>
      <c r="B108" s="44">
        <f>+'الادارة المالية'!B30</f>
        <v>0</v>
      </c>
      <c r="C108" s="45">
        <f>+'الادارة المالية'!C30</f>
        <v>0</v>
      </c>
      <c r="D108" s="45">
        <f>+'الادارة المالية'!D30</f>
        <v>0</v>
      </c>
      <c r="E108" s="45">
        <f>+'الادارة المالية'!E30</f>
        <v>0</v>
      </c>
      <c r="F108" s="46">
        <f>+'الادارة المالية'!F30</f>
        <v>0</v>
      </c>
      <c r="G108" s="46">
        <f>+'الادارة المالية'!G30</f>
        <v>0</v>
      </c>
      <c r="H108" s="46">
        <f>+'الادارة المالية'!H30</f>
        <v>0</v>
      </c>
      <c r="I108" s="46">
        <f>+'الادارة المالية'!I30</f>
        <v>0</v>
      </c>
      <c r="J108" s="46">
        <f>+'الادارة المالية'!J30</f>
        <v>0</v>
      </c>
      <c r="K108" s="46">
        <f>+'الادارة المالية'!K30</f>
        <v>0</v>
      </c>
      <c r="L108" s="46">
        <f>+'الادارة المالية'!L30</f>
        <v>0</v>
      </c>
      <c r="M108" s="46">
        <f>+'الادارة المالية'!M30</f>
        <v>0</v>
      </c>
      <c r="N108" s="46">
        <f>+'الادارة المالية'!N30</f>
        <v>0</v>
      </c>
      <c r="O108" s="46">
        <f>+'الادارة المالية'!O30</f>
        <v>0</v>
      </c>
      <c r="P108" s="46">
        <f>+'الادارة المالية'!P30</f>
        <v>0</v>
      </c>
      <c r="Q108" s="46">
        <f>+'الادارة المالية'!Q30</f>
        <v>0</v>
      </c>
      <c r="R108" s="47">
        <f>+'الادارة المالية'!R30</f>
        <v>0</v>
      </c>
      <c r="S108" s="47">
        <f>+'الادارة المالية'!S30</f>
        <v>0</v>
      </c>
      <c r="T108" s="46">
        <f>+'الادارة المالية'!T30</f>
        <v>0</v>
      </c>
      <c r="U108" s="46">
        <f>+'الادارة المالية'!U30</f>
        <v>0</v>
      </c>
      <c r="V108" s="46">
        <f>+'الادارة المالية'!V30</f>
        <v>0</v>
      </c>
      <c r="W108" s="46">
        <f>+'الادارة المالية'!W30</f>
        <v>0</v>
      </c>
      <c r="X108" s="46">
        <f>+'الادارة المالية'!X30</f>
        <v>0</v>
      </c>
      <c r="Y108" s="46">
        <f>+'الادارة المالية'!Y30</f>
        <v>0</v>
      </c>
      <c r="Z108" s="46">
        <f>+'الادارة المالية'!Z30</f>
        <v>0</v>
      </c>
      <c r="AA108" s="46">
        <f>+'الادارة المالية'!AA30</f>
        <v>0</v>
      </c>
      <c r="AB108" s="46">
        <f>+'الادارة المالية'!AB30</f>
        <v>0</v>
      </c>
      <c r="AC108" s="46">
        <f>+'الادارة المالية'!AC30</f>
        <v>0</v>
      </c>
      <c r="AD108" s="46">
        <f>+'الادارة المالية'!AD30</f>
        <v>0</v>
      </c>
      <c r="AE108" s="46">
        <f>+'الادارة المالية'!AE30</f>
        <v>0</v>
      </c>
      <c r="AF108" s="46">
        <f>+'الادارة المالية'!AF30</f>
        <v>0</v>
      </c>
      <c r="AG108" s="46">
        <f>+'الادارة المالية'!AG30</f>
        <v>0</v>
      </c>
      <c r="AH108" s="46">
        <f>+'الادارة المالية'!AH30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+'الادارة المالية'!A31</f>
        <v>0</v>
      </c>
      <c r="B112" s="44">
        <f>+'الادارة المالية'!B31</f>
        <v>0</v>
      </c>
      <c r="C112" s="45">
        <f>+'الادارة المالية'!C31</f>
        <v>0</v>
      </c>
      <c r="D112" s="45">
        <f>+'الادارة المالية'!D31</f>
        <v>0</v>
      </c>
      <c r="E112" s="45">
        <f>+'الادارة المالية'!E31</f>
        <v>0</v>
      </c>
      <c r="F112" s="46">
        <f>+'الادارة المالية'!F31</f>
        <v>0</v>
      </c>
      <c r="G112" s="46">
        <f>+'الادارة المالية'!G31</f>
        <v>0</v>
      </c>
      <c r="H112" s="46">
        <f>+'الادارة المالية'!H31</f>
        <v>0</v>
      </c>
      <c r="I112" s="46">
        <f>+'الادارة المالية'!I31</f>
        <v>0</v>
      </c>
      <c r="J112" s="46">
        <f>+'الادارة المالية'!J31</f>
        <v>0</v>
      </c>
      <c r="K112" s="46">
        <f>+'الادارة المالية'!K31</f>
        <v>0</v>
      </c>
      <c r="L112" s="46">
        <f>+'الادارة المالية'!L31</f>
        <v>0</v>
      </c>
      <c r="M112" s="46">
        <f>+'الادارة المالية'!M31</f>
        <v>0</v>
      </c>
      <c r="N112" s="46">
        <f>+'الادارة المالية'!N31</f>
        <v>0</v>
      </c>
      <c r="O112" s="46">
        <f>+'الادارة المالية'!O31</f>
        <v>0</v>
      </c>
      <c r="P112" s="46">
        <f>+'الادارة المالية'!P31</f>
        <v>0</v>
      </c>
      <c r="Q112" s="46">
        <f>+'الادارة المالية'!Q31</f>
        <v>0</v>
      </c>
      <c r="R112" s="47">
        <f>+'الادارة المالية'!R31</f>
        <v>0</v>
      </c>
      <c r="S112" s="47">
        <f>+'الادارة المالية'!S31</f>
        <v>0</v>
      </c>
      <c r="T112" s="46">
        <f>+'الادارة المالية'!T31</f>
        <v>0</v>
      </c>
      <c r="U112" s="46">
        <f>+'الادارة المالية'!U31</f>
        <v>0</v>
      </c>
      <c r="V112" s="46">
        <f>+'الادارة المالية'!V31</f>
        <v>0</v>
      </c>
      <c r="W112" s="46">
        <f>+'الادارة المالية'!W31</f>
        <v>0</v>
      </c>
      <c r="X112" s="46">
        <f>+'الادارة المالية'!X31</f>
        <v>0</v>
      </c>
      <c r="Y112" s="46">
        <f>+'الادارة المالية'!Y31</f>
        <v>0</v>
      </c>
      <c r="Z112" s="46">
        <f>+'الادارة المالية'!Z31</f>
        <v>0</v>
      </c>
      <c r="AA112" s="46">
        <f>+'الادارة المالية'!AA31</f>
        <v>0</v>
      </c>
      <c r="AB112" s="46">
        <f>+'الادارة المالية'!AB31</f>
        <v>0</v>
      </c>
      <c r="AC112" s="46">
        <f>+'الادارة المالية'!AC31</f>
        <v>0</v>
      </c>
      <c r="AD112" s="46">
        <f>+'الادارة المالية'!AD31</f>
        <v>0</v>
      </c>
      <c r="AE112" s="46">
        <f>+'الادارة المالية'!AE31</f>
        <v>0</v>
      </c>
      <c r="AF112" s="46">
        <f>+'الادارة المالية'!AF31</f>
        <v>0</v>
      </c>
      <c r="AG112" s="46">
        <f>+'الادارة المالية'!AG31</f>
        <v>0</v>
      </c>
      <c r="AH112" s="46">
        <f>+'الادارة المالية'!AH31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+'الادارة المالية'!A32</f>
        <v>0</v>
      </c>
      <c r="B116" s="44">
        <f>+'الادارة المالية'!B32</f>
        <v>0</v>
      </c>
      <c r="C116" s="45">
        <f>+'الادارة المالية'!C32</f>
        <v>0</v>
      </c>
      <c r="D116" s="45">
        <f>+'الادارة المالية'!D32</f>
        <v>0</v>
      </c>
      <c r="E116" s="45">
        <f>+'الادارة المالية'!E32</f>
        <v>0</v>
      </c>
      <c r="F116" s="46">
        <f>+'الادارة المالية'!F32</f>
        <v>0</v>
      </c>
      <c r="G116" s="46">
        <f>+'الادارة المالية'!G32</f>
        <v>0</v>
      </c>
      <c r="H116" s="46">
        <f>+'الادارة المالية'!H32</f>
        <v>0</v>
      </c>
      <c r="I116" s="46">
        <f>+'الادارة المالية'!I32</f>
        <v>0</v>
      </c>
      <c r="J116" s="46">
        <f>+'الادارة المالية'!J32</f>
        <v>0</v>
      </c>
      <c r="K116" s="46">
        <f>+'الادارة المالية'!K32</f>
        <v>0</v>
      </c>
      <c r="L116" s="46">
        <f>+'الادارة المالية'!L32</f>
        <v>0</v>
      </c>
      <c r="M116" s="46">
        <f>+'الادارة المالية'!M32</f>
        <v>0</v>
      </c>
      <c r="N116" s="46">
        <f>+'الادارة المالية'!N32</f>
        <v>0</v>
      </c>
      <c r="O116" s="46">
        <f>+'الادارة المالية'!O32</f>
        <v>0</v>
      </c>
      <c r="P116" s="46">
        <f>+'الادارة المالية'!P32</f>
        <v>0</v>
      </c>
      <c r="Q116" s="46">
        <f>+'الادارة المالية'!Q32</f>
        <v>0</v>
      </c>
      <c r="R116" s="47">
        <f>+'الادارة المالية'!R32</f>
        <v>0</v>
      </c>
      <c r="S116" s="47">
        <f>+'الادارة المالية'!S32</f>
        <v>0</v>
      </c>
      <c r="T116" s="46">
        <f>+'الادارة المالية'!T32</f>
        <v>0</v>
      </c>
      <c r="U116" s="46">
        <f>+'الادارة المالية'!U32</f>
        <v>0</v>
      </c>
      <c r="V116" s="46">
        <f>+'الادارة المالية'!V32</f>
        <v>0</v>
      </c>
      <c r="W116" s="46">
        <f>+'الادارة المالية'!W32</f>
        <v>0</v>
      </c>
      <c r="X116" s="46">
        <f>+'الادارة المالية'!X32</f>
        <v>0</v>
      </c>
      <c r="Y116" s="46">
        <f>+'الادارة المالية'!Y32</f>
        <v>0</v>
      </c>
      <c r="Z116" s="46">
        <f>+'الادارة المالية'!Z32</f>
        <v>0</v>
      </c>
      <c r="AA116" s="46">
        <f>+'الادارة المالية'!AA32</f>
        <v>0</v>
      </c>
      <c r="AB116" s="46">
        <f>+'الادارة المالية'!AB32</f>
        <v>0</v>
      </c>
      <c r="AC116" s="46">
        <f>+'الادارة المالية'!AC32</f>
        <v>0</v>
      </c>
      <c r="AD116" s="46">
        <f>+'الادارة المالية'!AD32</f>
        <v>0</v>
      </c>
      <c r="AE116" s="46">
        <f>+'الادارة المالية'!AE32</f>
        <v>0</v>
      </c>
      <c r="AF116" s="46">
        <f>+'الادارة المالية'!AF32</f>
        <v>0</v>
      </c>
      <c r="AG116" s="46">
        <f>+'الادارة المالية'!AG32</f>
        <v>0</v>
      </c>
      <c r="AH116" s="46">
        <f>+'الادارة المالية'!AH32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+'الادارة المالية'!A33</f>
        <v>0</v>
      </c>
      <c r="B120" s="44">
        <f>+'الادارة المالية'!B33</f>
        <v>0</v>
      </c>
      <c r="C120" s="45">
        <f>+'الادارة المالية'!C33</f>
        <v>0</v>
      </c>
      <c r="D120" s="45">
        <f>+'الادارة المالية'!D33</f>
        <v>0</v>
      </c>
      <c r="E120" s="45">
        <f>+'الادارة المالية'!E33</f>
        <v>0</v>
      </c>
      <c r="F120" s="46">
        <f>+'الادارة المالية'!F33</f>
        <v>0</v>
      </c>
      <c r="G120" s="46">
        <f>+'الادارة المالية'!G33</f>
        <v>0</v>
      </c>
      <c r="H120" s="46">
        <f>+'الادارة المالية'!H33</f>
        <v>0</v>
      </c>
      <c r="I120" s="46">
        <f>+'الادارة المالية'!I33</f>
        <v>0</v>
      </c>
      <c r="J120" s="46">
        <f>+'الادارة المالية'!J33</f>
        <v>0</v>
      </c>
      <c r="K120" s="46">
        <f>+'الادارة المالية'!K33</f>
        <v>0</v>
      </c>
      <c r="L120" s="46">
        <f>+'الادارة المالية'!L33</f>
        <v>0</v>
      </c>
      <c r="M120" s="46">
        <f>+'الادارة المالية'!M33</f>
        <v>0</v>
      </c>
      <c r="N120" s="46">
        <f>+'الادارة المالية'!N33</f>
        <v>0</v>
      </c>
      <c r="O120" s="46">
        <f>+'الادارة المالية'!O33</f>
        <v>0</v>
      </c>
      <c r="P120" s="46">
        <f>+'الادارة المالية'!P33</f>
        <v>0</v>
      </c>
      <c r="Q120" s="46">
        <f>+'الادارة المالية'!Q33</f>
        <v>0</v>
      </c>
      <c r="R120" s="47">
        <f>+'الادارة المالية'!R33</f>
        <v>0</v>
      </c>
      <c r="S120" s="47">
        <f>+'الادارة المالية'!S33</f>
        <v>0</v>
      </c>
      <c r="T120" s="46">
        <f>+'الادارة المالية'!T33</f>
        <v>0</v>
      </c>
      <c r="U120" s="46">
        <f>+'الادارة المالية'!U33</f>
        <v>0</v>
      </c>
      <c r="V120" s="46">
        <f>+'الادارة المالية'!V33</f>
        <v>0</v>
      </c>
      <c r="W120" s="46">
        <f>+'الادارة المالية'!W33</f>
        <v>0</v>
      </c>
      <c r="X120" s="46">
        <f>+'الادارة المالية'!X33</f>
        <v>0</v>
      </c>
      <c r="Y120" s="46">
        <f>+'الادارة المالية'!Y33</f>
        <v>0</v>
      </c>
      <c r="Z120" s="46">
        <f>+'الادارة المالية'!Z33</f>
        <v>0</v>
      </c>
      <c r="AA120" s="46">
        <f>+'الادارة المالية'!AA33</f>
        <v>0</v>
      </c>
      <c r="AB120" s="46">
        <f>+'الادارة المالية'!AB33</f>
        <v>0</v>
      </c>
      <c r="AC120" s="46">
        <f>+'الادارة المالية'!AC33</f>
        <v>0</v>
      </c>
      <c r="AD120" s="46">
        <f>+'الادارة المالية'!AD33</f>
        <v>0</v>
      </c>
      <c r="AE120" s="46">
        <f>+'الادارة المالية'!AE33</f>
        <v>0</v>
      </c>
      <c r="AF120" s="46">
        <f>+'الادارة المالية'!AF33</f>
        <v>0</v>
      </c>
      <c r="AG120" s="46">
        <f>+'الادارة المالية'!AG33</f>
        <v>0</v>
      </c>
      <c r="AH120" s="46">
        <f>+'الادارة المالية'!AH33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+'الادارة المالية'!A34</f>
        <v>0</v>
      </c>
      <c r="B124" s="44">
        <f>+'الادارة المالية'!B34</f>
        <v>0</v>
      </c>
      <c r="C124" s="45">
        <f>+'الادارة المالية'!C34</f>
        <v>0</v>
      </c>
      <c r="D124" s="45">
        <f>+'الادارة المالية'!D34</f>
        <v>0</v>
      </c>
      <c r="E124" s="45">
        <f>+'الادارة المالية'!E34</f>
        <v>0</v>
      </c>
      <c r="F124" s="46">
        <f>+'الادارة المالية'!F34</f>
        <v>0</v>
      </c>
      <c r="G124" s="46">
        <f>+'الادارة المالية'!G34</f>
        <v>0</v>
      </c>
      <c r="H124" s="46">
        <f>+'الادارة المالية'!H34</f>
        <v>0</v>
      </c>
      <c r="I124" s="46">
        <f>+'الادارة المالية'!I34</f>
        <v>0</v>
      </c>
      <c r="J124" s="46">
        <f>+'الادارة المالية'!J34</f>
        <v>0</v>
      </c>
      <c r="K124" s="46">
        <f>+'الادارة المالية'!K34</f>
        <v>0</v>
      </c>
      <c r="L124" s="46">
        <f>+'الادارة المالية'!L34</f>
        <v>0</v>
      </c>
      <c r="M124" s="46">
        <f>+'الادارة المالية'!M34</f>
        <v>0</v>
      </c>
      <c r="N124" s="46">
        <f>+'الادارة المالية'!N34</f>
        <v>0</v>
      </c>
      <c r="O124" s="46">
        <f>+'الادارة المالية'!O34</f>
        <v>0</v>
      </c>
      <c r="P124" s="46">
        <f>+'الادارة المالية'!P34</f>
        <v>0</v>
      </c>
      <c r="Q124" s="46">
        <f>+'الادارة المالية'!Q34</f>
        <v>0</v>
      </c>
      <c r="R124" s="47">
        <f>+'الادارة المالية'!R34</f>
        <v>0</v>
      </c>
      <c r="S124" s="47">
        <f>+'الادارة المالية'!S34</f>
        <v>0</v>
      </c>
      <c r="T124" s="46">
        <f>+'الادارة المالية'!T34</f>
        <v>0</v>
      </c>
      <c r="U124" s="46">
        <f>+'الادارة المالية'!U34</f>
        <v>0</v>
      </c>
      <c r="V124" s="46">
        <f>+'الادارة المالية'!V34</f>
        <v>0</v>
      </c>
      <c r="W124" s="46">
        <f>+'الادارة المالية'!W34</f>
        <v>0</v>
      </c>
      <c r="X124" s="46">
        <f>+'الادارة المالية'!X34</f>
        <v>0</v>
      </c>
      <c r="Y124" s="46">
        <f>+'الادارة المالية'!Y34</f>
        <v>0</v>
      </c>
      <c r="Z124" s="46">
        <f>+'الادارة المالية'!Z34</f>
        <v>0</v>
      </c>
      <c r="AA124" s="46">
        <f>+'الادارة المالية'!AA34</f>
        <v>0</v>
      </c>
      <c r="AB124" s="46">
        <f>+'الادارة المالية'!AB34</f>
        <v>0</v>
      </c>
      <c r="AC124" s="46">
        <f>+'الادارة المالية'!AC34</f>
        <v>0</v>
      </c>
      <c r="AD124" s="46">
        <f>+'الادارة المالية'!AD34</f>
        <v>0</v>
      </c>
      <c r="AE124" s="46">
        <f>+'الادارة المالية'!AE34</f>
        <v>0</v>
      </c>
      <c r="AF124" s="46">
        <f>+'الادارة المالية'!AF34</f>
        <v>0</v>
      </c>
      <c r="AG124" s="46">
        <f>+'الادارة المالية'!AG34</f>
        <v>0</v>
      </c>
      <c r="AH124" s="46">
        <f>+'الادارة المالية'!AH34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+'الادارة المالية'!A35</f>
        <v>0</v>
      </c>
      <c r="B128" s="44">
        <f>+'الادارة المالية'!B35</f>
        <v>0</v>
      </c>
      <c r="C128" s="45">
        <f>+'الادارة المالية'!C35</f>
        <v>0</v>
      </c>
      <c r="D128" s="45">
        <f>+'الادارة المالية'!D35</f>
        <v>0</v>
      </c>
      <c r="E128" s="45">
        <f>+'الادارة المالية'!E35</f>
        <v>0</v>
      </c>
      <c r="F128" s="46">
        <f>+'الادارة المالية'!F35</f>
        <v>0</v>
      </c>
      <c r="G128" s="46">
        <f>+'الادارة المالية'!G35</f>
        <v>0</v>
      </c>
      <c r="H128" s="46">
        <f>+'الادارة المالية'!H35</f>
        <v>0</v>
      </c>
      <c r="I128" s="46">
        <f>+'الادارة المالية'!I35</f>
        <v>0</v>
      </c>
      <c r="J128" s="46">
        <f>+'الادارة المالية'!J35</f>
        <v>0</v>
      </c>
      <c r="K128" s="46">
        <f>+'الادارة المالية'!K35</f>
        <v>0</v>
      </c>
      <c r="L128" s="46">
        <f>+'الادارة المالية'!L35</f>
        <v>0</v>
      </c>
      <c r="M128" s="46">
        <f>+'الادارة المالية'!M35</f>
        <v>0</v>
      </c>
      <c r="N128" s="46">
        <f>+'الادارة المالية'!N35</f>
        <v>0</v>
      </c>
      <c r="O128" s="46">
        <f>+'الادارة المالية'!O35</f>
        <v>0</v>
      </c>
      <c r="P128" s="46">
        <f>+'الادارة المالية'!P35</f>
        <v>0</v>
      </c>
      <c r="Q128" s="46">
        <f>+'الادارة المالية'!Q35</f>
        <v>0</v>
      </c>
      <c r="R128" s="47">
        <f>+'الادارة المالية'!R35</f>
        <v>0</v>
      </c>
      <c r="S128" s="47">
        <f>+'الادارة المالية'!S35</f>
        <v>0</v>
      </c>
      <c r="T128" s="46">
        <f>+'الادارة المالية'!T35</f>
        <v>0</v>
      </c>
      <c r="U128" s="46">
        <f>+'الادارة المالية'!U35</f>
        <v>0</v>
      </c>
      <c r="V128" s="46">
        <f>+'الادارة المالية'!V35</f>
        <v>0</v>
      </c>
      <c r="W128" s="46">
        <f>+'الادارة المالية'!W35</f>
        <v>0</v>
      </c>
      <c r="X128" s="46">
        <f>+'الادارة المالية'!X35</f>
        <v>0</v>
      </c>
      <c r="Y128" s="46">
        <f>+'الادارة المالية'!Y35</f>
        <v>0</v>
      </c>
      <c r="Z128" s="46">
        <f>+'الادارة المالية'!Z35</f>
        <v>0</v>
      </c>
      <c r="AA128" s="46">
        <f>+'الادارة المالية'!AA35</f>
        <v>0</v>
      </c>
      <c r="AB128" s="46">
        <f>+'الادارة المالية'!AB35</f>
        <v>0</v>
      </c>
      <c r="AC128" s="46">
        <f>+'الادارة المالية'!AC35</f>
        <v>0</v>
      </c>
      <c r="AD128" s="46">
        <f>+'الادارة المالية'!AD35</f>
        <v>0</v>
      </c>
      <c r="AE128" s="46">
        <f>+'الادارة المالية'!AE35</f>
        <v>0</v>
      </c>
      <c r="AF128" s="46">
        <f>+'الادارة المالية'!AF35</f>
        <v>0</v>
      </c>
      <c r="AG128" s="46">
        <f>+'الادارة المالية'!AG35</f>
        <v>0</v>
      </c>
      <c r="AH128" s="46">
        <f>+'الادارة المالية'!AH35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+'الادارة المالية'!A36</f>
        <v>0</v>
      </c>
      <c r="B132" s="44">
        <f>+'الادارة المالية'!B36</f>
        <v>0</v>
      </c>
      <c r="C132" s="45">
        <f>+'الادارة المالية'!C36</f>
        <v>0</v>
      </c>
      <c r="D132" s="45">
        <f>+'الادارة المالية'!D36</f>
        <v>0</v>
      </c>
      <c r="E132" s="45">
        <f>+'الادارة المالية'!E36</f>
        <v>0</v>
      </c>
      <c r="F132" s="46">
        <f>+'الادارة المالية'!F36</f>
        <v>0</v>
      </c>
      <c r="G132" s="46">
        <f>+'الادارة المالية'!G36</f>
        <v>0</v>
      </c>
      <c r="H132" s="46">
        <f>+'الادارة المالية'!H36</f>
        <v>0</v>
      </c>
      <c r="I132" s="46">
        <f>+'الادارة المالية'!I36</f>
        <v>0</v>
      </c>
      <c r="J132" s="46">
        <f>+'الادارة المالية'!J36</f>
        <v>0</v>
      </c>
      <c r="K132" s="46">
        <f>+'الادارة المالية'!K36</f>
        <v>0</v>
      </c>
      <c r="L132" s="46">
        <f>+'الادارة المالية'!L36</f>
        <v>0</v>
      </c>
      <c r="M132" s="46">
        <f>+'الادارة المالية'!M36</f>
        <v>0</v>
      </c>
      <c r="N132" s="46">
        <f>+'الادارة المالية'!N36</f>
        <v>0</v>
      </c>
      <c r="O132" s="46">
        <f>+'الادارة المالية'!O36</f>
        <v>0</v>
      </c>
      <c r="P132" s="46">
        <f>+'الادارة المالية'!P36</f>
        <v>0</v>
      </c>
      <c r="Q132" s="46">
        <f>+'الادارة المالية'!Q36</f>
        <v>0</v>
      </c>
      <c r="R132" s="47">
        <f>+'الادارة المالية'!R36</f>
        <v>0</v>
      </c>
      <c r="S132" s="47">
        <f>+'الادارة المالية'!S36</f>
        <v>0</v>
      </c>
      <c r="T132" s="46">
        <f>+'الادارة المالية'!T36</f>
        <v>0</v>
      </c>
      <c r="U132" s="46">
        <f>+'الادارة المالية'!U36</f>
        <v>0</v>
      </c>
      <c r="V132" s="46">
        <f>+'الادارة المالية'!V36</f>
        <v>0</v>
      </c>
      <c r="W132" s="46">
        <f>+'الادارة المالية'!W36</f>
        <v>0</v>
      </c>
      <c r="X132" s="46">
        <f>+'الادارة المالية'!X36</f>
        <v>0</v>
      </c>
      <c r="Y132" s="46">
        <f>+'الادارة المالية'!Y36</f>
        <v>0</v>
      </c>
      <c r="Z132" s="46">
        <f>+'الادارة المالية'!Z36</f>
        <v>0</v>
      </c>
      <c r="AA132" s="46">
        <f>+'الادارة المالية'!AA36</f>
        <v>0</v>
      </c>
      <c r="AB132" s="46">
        <f>+'الادارة المالية'!AB36</f>
        <v>0</v>
      </c>
      <c r="AC132" s="46">
        <f>+'الادارة المالية'!AC36</f>
        <v>0</v>
      </c>
      <c r="AD132" s="46">
        <f>+'الادارة المالية'!AD36</f>
        <v>0</v>
      </c>
      <c r="AE132" s="46">
        <f>+'الادارة المالية'!AE36</f>
        <v>0</v>
      </c>
      <c r="AF132" s="46">
        <f>+'الادارة المالية'!AF36</f>
        <v>0</v>
      </c>
      <c r="AG132" s="46">
        <f>+'الادارة المالية'!AG36</f>
        <v>0</v>
      </c>
      <c r="AH132" s="46">
        <f>+'الادارة المالية'!AH36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+'الادارة المالية'!A37</f>
        <v>0</v>
      </c>
      <c r="B136" s="44">
        <f>+'الادارة المالية'!B37</f>
        <v>0</v>
      </c>
      <c r="C136" s="45">
        <f>+'الادارة المالية'!C37</f>
        <v>0</v>
      </c>
      <c r="D136" s="45">
        <f>+'الادارة المالية'!D37</f>
        <v>0</v>
      </c>
      <c r="E136" s="45">
        <f>+'الادارة المالية'!E37</f>
        <v>0</v>
      </c>
      <c r="F136" s="46">
        <f>+'الادارة المالية'!F37</f>
        <v>0</v>
      </c>
      <c r="G136" s="46">
        <f>+'الادارة المالية'!G37</f>
        <v>0</v>
      </c>
      <c r="H136" s="46">
        <f>+'الادارة المالية'!H37</f>
        <v>0</v>
      </c>
      <c r="I136" s="46">
        <f>+'الادارة المالية'!I37</f>
        <v>0</v>
      </c>
      <c r="J136" s="46">
        <f>+'الادارة المالية'!J37</f>
        <v>0</v>
      </c>
      <c r="K136" s="46">
        <f>+'الادارة المالية'!K37</f>
        <v>0</v>
      </c>
      <c r="L136" s="46">
        <f>+'الادارة المالية'!L37</f>
        <v>0</v>
      </c>
      <c r="M136" s="46">
        <f>+'الادارة المالية'!M37</f>
        <v>0</v>
      </c>
      <c r="N136" s="46">
        <f>+'الادارة المالية'!N37</f>
        <v>0</v>
      </c>
      <c r="O136" s="46">
        <f>+'الادارة المالية'!O37</f>
        <v>0</v>
      </c>
      <c r="P136" s="46">
        <f>+'الادارة المالية'!P37</f>
        <v>0</v>
      </c>
      <c r="Q136" s="46">
        <f>+'الادارة المالية'!Q37</f>
        <v>0</v>
      </c>
      <c r="R136" s="47">
        <f>+'الادارة المالية'!R37</f>
        <v>0</v>
      </c>
      <c r="S136" s="47">
        <f>+'الادارة المالية'!S37</f>
        <v>0</v>
      </c>
      <c r="T136" s="46">
        <f>+'الادارة المالية'!T37</f>
        <v>0</v>
      </c>
      <c r="U136" s="46">
        <f>+'الادارة المالية'!U37</f>
        <v>0</v>
      </c>
      <c r="V136" s="46">
        <f>+'الادارة المالية'!V37</f>
        <v>0</v>
      </c>
      <c r="W136" s="46">
        <f>+'الادارة المالية'!W37</f>
        <v>0</v>
      </c>
      <c r="X136" s="46">
        <f>+'الادارة المالية'!X37</f>
        <v>0</v>
      </c>
      <c r="Y136" s="46">
        <f>+'الادارة المالية'!Y37</f>
        <v>0</v>
      </c>
      <c r="Z136" s="46">
        <f>+'الادارة المالية'!Z37</f>
        <v>0</v>
      </c>
      <c r="AA136" s="46">
        <f>+'الادارة المالية'!AA37</f>
        <v>0</v>
      </c>
      <c r="AB136" s="46">
        <f>+'الادارة المالية'!AB37</f>
        <v>0</v>
      </c>
      <c r="AC136" s="46">
        <f>+'الادارة المالية'!AC37</f>
        <v>0</v>
      </c>
      <c r="AD136" s="46">
        <f>+'الادارة المالية'!AD37</f>
        <v>0</v>
      </c>
      <c r="AE136" s="46">
        <f>+'الادارة المالية'!AE37</f>
        <v>0</v>
      </c>
      <c r="AF136" s="46">
        <f>+'الادارة المالية'!AF37</f>
        <v>0</v>
      </c>
      <c r="AG136" s="46">
        <f>+'الادارة المالية'!AG37</f>
        <v>0</v>
      </c>
      <c r="AH136" s="46">
        <f>+'الادارة المالية'!AH37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+'الادارة المالية'!A38</f>
        <v>0</v>
      </c>
      <c r="B140" s="44">
        <f>+'الادارة المالية'!B38</f>
        <v>0</v>
      </c>
      <c r="C140" s="45">
        <f>+'الادارة المالية'!C38</f>
        <v>0</v>
      </c>
      <c r="D140" s="45">
        <f>+'الادارة المالية'!D38</f>
        <v>0</v>
      </c>
      <c r="E140" s="45">
        <f>+'الادارة المالية'!E38</f>
        <v>0</v>
      </c>
      <c r="F140" s="46">
        <f>+'الادارة المالية'!F38</f>
        <v>0</v>
      </c>
      <c r="G140" s="46">
        <f>+'الادارة المالية'!G38</f>
        <v>0</v>
      </c>
      <c r="H140" s="46">
        <f>+'الادارة المالية'!H38</f>
        <v>0</v>
      </c>
      <c r="I140" s="46">
        <f>+'الادارة المالية'!I38</f>
        <v>0</v>
      </c>
      <c r="J140" s="46">
        <f>+'الادارة المالية'!J38</f>
        <v>0</v>
      </c>
      <c r="K140" s="46">
        <f>+'الادارة المالية'!K38</f>
        <v>0</v>
      </c>
      <c r="L140" s="46">
        <f>+'الادارة المالية'!L38</f>
        <v>0</v>
      </c>
      <c r="M140" s="46">
        <f>+'الادارة المالية'!M38</f>
        <v>0</v>
      </c>
      <c r="N140" s="46">
        <f>+'الادارة المالية'!N38</f>
        <v>0</v>
      </c>
      <c r="O140" s="46">
        <f>+'الادارة المالية'!O38</f>
        <v>0</v>
      </c>
      <c r="P140" s="46">
        <f>+'الادارة المالية'!P38</f>
        <v>0</v>
      </c>
      <c r="Q140" s="46">
        <f>+'الادارة المالية'!Q38</f>
        <v>0</v>
      </c>
      <c r="R140" s="47">
        <f>+'الادارة المالية'!R38</f>
        <v>0</v>
      </c>
      <c r="S140" s="47">
        <f>+'الادارة المالية'!S38</f>
        <v>0</v>
      </c>
      <c r="T140" s="46">
        <f>+'الادارة المالية'!T38</f>
        <v>0</v>
      </c>
      <c r="U140" s="46">
        <f>+'الادارة المالية'!U38</f>
        <v>0</v>
      </c>
      <c r="V140" s="46">
        <f>+'الادارة المالية'!V38</f>
        <v>0</v>
      </c>
      <c r="W140" s="46">
        <f>+'الادارة المالية'!W38</f>
        <v>0</v>
      </c>
      <c r="X140" s="46">
        <f>+'الادارة المالية'!X38</f>
        <v>0</v>
      </c>
      <c r="Y140" s="46">
        <f>+'الادارة المالية'!Y38</f>
        <v>0</v>
      </c>
      <c r="Z140" s="46">
        <f>+'الادارة المالية'!Z38</f>
        <v>0</v>
      </c>
      <c r="AA140" s="46">
        <f>+'الادارة المالية'!AA38</f>
        <v>0</v>
      </c>
      <c r="AB140" s="46">
        <f>+'الادارة المالية'!AB38</f>
        <v>0</v>
      </c>
      <c r="AC140" s="46">
        <f>+'الادارة المالية'!AC38</f>
        <v>0</v>
      </c>
      <c r="AD140" s="46">
        <f>+'الادارة المالية'!AD38</f>
        <v>0</v>
      </c>
      <c r="AE140" s="46">
        <f>+'الادارة المالية'!AE38</f>
        <v>0</v>
      </c>
      <c r="AF140" s="46">
        <f>+'الادارة المالية'!AF38</f>
        <v>0</v>
      </c>
      <c r="AG140" s="46">
        <f>+'الادارة المالية'!AG38</f>
        <v>0</v>
      </c>
      <c r="AH140" s="46">
        <f>+'الادارة المالية'!AH38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+'الادارة المالية'!A39</f>
        <v>0</v>
      </c>
      <c r="B144" s="44">
        <f>+'الادارة المالية'!B39</f>
        <v>0</v>
      </c>
      <c r="C144" s="45">
        <f>+'الادارة المالية'!C39</f>
        <v>0</v>
      </c>
      <c r="D144" s="45">
        <f>+'الادارة المالية'!D39</f>
        <v>0</v>
      </c>
      <c r="E144" s="45">
        <f>+'الادارة المالية'!E39</f>
        <v>0</v>
      </c>
      <c r="F144" s="46">
        <f>+'الادارة المالية'!F39</f>
        <v>0</v>
      </c>
      <c r="G144" s="46">
        <f>+'الادارة المالية'!G39</f>
        <v>0</v>
      </c>
      <c r="H144" s="46">
        <f>+'الادارة المالية'!H39</f>
        <v>0</v>
      </c>
      <c r="I144" s="46">
        <f>+'الادارة المالية'!I39</f>
        <v>0</v>
      </c>
      <c r="J144" s="46">
        <f>+'الادارة المالية'!J39</f>
        <v>0</v>
      </c>
      <c r="K144" s="46">
        <f>+'الادارة المالية'!K39</f>
        <v>0</v>
      </c>
      <c r="L144" s="46">
        <f>+'الادارة المالية'!L39</f>
        <v>0</v>
      </c>
      <c r="M144" s="46">
        <f>+'الادارة المالية'!M39</f>
        <v>0</v>
      </c>
      <c r="N144" s="46">
        <f>+'الادارة المالية'!N39</f>
        <v>0</v>
      </c>
      <c r="O144" s="46">
        <f>+'الادارة المالية'!O39</f>
        <v>0</v>
      </c>
      <c r="P144" s="46">
        <f>+'الادارة المالية'!P39</f>
        <v>0</v>
      </c>
      <c r="Q144" s="46">
        <f>+'الادارة المالية'!Q39</f>
        <v>0</v>
      </c>
      <c r="R144" s="47">
        <f>+'الادارة المالية'!R39</f>
        <v>0</v>
      </c>
      <c r="S144" s="47">
        <f>+'الادارة المالية'!S39</f>
        <v>0</v>
      </c>
      <c r="T144" s="46">
        <f>+'الادارة المالية'!T39</f>
        <v>0</v>
      </c>
      <c r="U144" s="46">
        <f>+'الادارة المالية'!U39</f>
        <v>0</v>
      </c>
      <c r="V144" s="46">
        <f>+'الادارة المالية'!V39</f>
        <v>0</v>
      </c>
      <c r="W144" s="46">
        <f>+'الادارة المالية'!W39</f>
        <v>0</v>
      </c>
      <c r="X144" s="46">
        <f>+'الادارة المالية'!X39</f>
        <v>0</v>
      </c>
      <c r="Y144" s="46">
        <f>+'الادارة المالية'!Y39</f>
        <v>0</v>
      </c>
      <c r="Z144" s="46">
        <f>+'الادارة المالية'!Z39</f>
        <v>0</v>
      </c>
      <c r="AA144" s="46">
        <f>+'الادارة المالية'!AA39</f>
        <v>0</v>
      </c>
      <c r="AB144" s="46">
        <f>+'الادارة المالية'!AB39</f>
        <v>0</v>
      </c>
      <c r="AC144" s="46">
        <f>+'الادارة المالية'!AC39</f>
        <v>0</v>
      </c>
      <c r="AD144" s="46">
        <f>+'الادارة المالية'!AD39</f>
        <v>0</v>
      </c>
      <c r="AE144" s="46">
        <f>+'الادارة المالية'!AE39</f>
        <v>0</v>
      </c>
      <c r="AF144" s="46">
        <f>+'الادارة المالية'!AF39</f>
        <v>0</v>
      </c>
      <c r="AG144" s="46">
        <f>+'الادارة المالية'!AG39</f>
        <v>0</v>
      </c>
      <c r="AH144" s="46">
        <f>+'الادارة المالية'!AH39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+'الادارة المالية'!A40</f>
        <v>0</v>
      </c>
      <c r="B148" s="44">
        <f>+'الادارة المالية'!B40</f>
        <v>0</v>
      </c>
      <c r="C148" s="45">
        <f>+'الادارة المالية'!C40</f>
        <v>0</v>
      </c>
      <c r="D148" s="45">
        <f>+'الادارة المالية'!D40</f>
        <v>0</v>
      </c>
      <c r="E148" s="45">
        <f>+'الادارة المالية'!E40</f>
        <v>0</v>
      </c>
      <c r="F148" s="46">
        <f>+'الادارة المالية'!F40</f>
        <v>0</v>
      </c>
      <c r="G148" s="46">
        <f>+'الادارة المالية'!G40</f>
        <v>0</v>
      </c>
      <c r="H148" s="46">
        <f>+'الادارة المالية'!H40</f>
        <v>0</v>
      </c>
      <c r="I148" s="46">
        <f>+'الادارة المالية'!I40</f>
        <v>0</v>
      </c>
      <c r="J148" s="46">
        <f>+'الادارة المالية'!J40</f>
        <v>0</v>
      </c>
      <c r="K148" s="46">
        <f>+'الادارة المالية'!K40</f>
        <v>0</v>
      </c>
      <c r="L148" s="46">
        <f>+'الادارة المالية'!L40</f>
        <v>0</v>
      </c>
      <c r="M148" s="46">
        <f>+'الادارة المالية'!M40</f>
        <v>0</v>
      </c>
      <c r="N148" s="46">
        <f>+'الادارة المالية'!N40</f>
        <v>0</v>
      </c>
      <c r="O148" s="46">
        <f>+'الادارة المالية'!O40</f>
        <v>0</v>
      </c>
      <c r="P148" s="46">
        <f>+'الادارة المالية'!P40</f>
        <v>0</v>
      </c>
      <c r="Q148" s="46">
        <f>+'الادارة المالية'!Q40</f>
        <v>0</v>
      </c>
      <c r="R148" s="47">
        <f>+'الادارة المالية'!R40</f>
        <v>0</v>
      </c>
      <c r="S148" s="47">
        <f>+'الادارة المالية'!S40</f>
        <v>0</v>
      </c>
      <c r="T148" s="46">
        <f>+'الادارة المالية'!T40</f>
        <v>0</v>
      </c>
      <c r="U148" s="46">
        <f>+'الادارة المالية'!U40</f>
        <v>0</v>
      </c>
      <c r="V148" s="46">
        <f>+'الادارة المالية'!V40</f>
        <v>0</v>
      </c>
      <c r="W148" s="46">
        <f>+'الادارة المالية'!W40</f>
        <v>0</v>
      </c>
      <c r="X148" s="46">
        <f>+'الادارة المالية'!X40</f>
        <v>0</v>
      </c>
      <c r="Y148" s="46">
        <f>+'الادارة المالية'!Y40</f>
        <v>0</v>
      </c>
      <c r="Z148" s="46">
        <f>+'الادارة المالية'!Z40</f>
        <v>0</v>
      </c>
      <c r="AA148" s="46">
        <f>+'الادارة المالية'!AA40</f>
        <v>0</v>
      </c>
      <c r="AB148" s="46">
        <f>+'الادارة المالية'!AB40</f>
        <v>0</v>
      </c>
      <c r="AC148" s="46">
        <f>+'الادارة المالية'!AC40</f>
        <v>0</v>
      </c>
      <c r="AD148" s="46">
        <f>+'الادارة المالية'!AD40</f>
        <v>0</v>
      </c>
      <c r="AE148" s="46">
        <f>+'الادارة المالية'!AE40</f>
        <v>0</v>
      </c>
      <c r="AF148" s="46">
        <f>+'الادارة المالية'!AF40</f>
        <v>0</v>
      </c>
      <c r="AG148" s="46">
        <f>+'الادارة المالية'!AG40</f>
        <v>0</v>
      </c>
      <c r="AH148" s="46">
        <f>+'الادارة المالية'!AH40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+'الادارة المالية'!A41</f>
        <v>0</v>
      </c>
      <c r="B152" s="44">
        <f>+'الادارة المالية'!B41</f>
        <v>0</v>
      </c>
      <c r="C152" s="45">
        <f>+'الادارة المالية'!C41</f>
        <v>0</v>
      </c>
      <c r="D152" s="45">
        <f>+'الادارة المالية'!D41</f>
        <v>0</v>
      </c>
      <c r="E152" s="45">
        <f>+'الادارة المالية'!E41</f>
        <v>0</v>
      </c>
      <c r="F152" s="46">
        <f>+'الادارة المالية'!F41</f>
        <v>0</v>
      </c>
      <c r="G152" s="46">
        <f>+'الادارة المالية'!G41</f>
        <v>0</v>
      </c>
      <c r="H152" s="46">
        <f>+'الادارة المالية'!H41</f>
        <v>0</v>
      </c>
      <c r="I152" s="46">
        <f>+'الادارة المالية'!I41</f>
        <v>0</v>
      </c>
      <c r="J152" s="46">
        <f>+'الادارة المالية'!J41</f>
        <v>0</v>
      </c>
      <c r="K152" s="46">
        <f>+'الادارة المالية'!K41</f>
        <v>0</v>
      </c>
      <c r="L152" s="46">
        <f>+'الادارة المالية'!L41</f>
        <v>0</v>
      </c>
      <c r="M152" s="46">
        <f>+'الادارة المالية'!M41</f>
        <v>0</v>
      </c>
      <c r="N152" s="46">
        <f>+'الادارة المالية'!N41</f>
        <v>0</v>
      </c>
      <c r="O152" s="46">
        <f>+'الادارة المالية'!O41</f>
        <v>0</v>
      </c>
      <c r="P152" s="46">
        <f>+'الادارة المالية'!P41</f>
        <v>0</v>
      </c>
      <c r="Q152" s="46">
        <f>+'الادارة المالية'!Q41</f>
        <v>0</v>
      </c>
      <c r="R152" s="47">
        <f>+'الادارة المالية'!R41</f>
        <v>0</v>
      </c>
      <c r="S152" s="47">
        <f>+'الادارة المالية'!S41</f>
        <v>0</v>
      </c>
      <c r="T152" s="46">
        <f>+'الادارة المالية'!T41</f>
        <v>0</v>
      </c>
      <c r="U152" s="46">
        <f>+'الادارة المالية'!U41</f>
        <v>0</v>
      </c>
      <c r="V152" s="46">
        <f>+'الادارة المالية'!V41</f>
        <v>0</v>
      </c>
      <c r="W152" s="46">
        <f>+'الادارة المالية'!W41</f>
        <v>0</v>
      </c>
      <c r="X152" s="46">
        <f>+'الادارة المالية'!X41</f>
        <v>0</v>
      </c>
      <c r="Y152" s="46">
        <f>+'الادارة المالية'!Y41</f>
        <v>0</v>
      </c>
      <c r="Z152" s="46">
        <f>+'الادارة المالية'!Z41</f>
        <v>0</v>
      </c>
      <c r="AA152" s="46">
        <f>+'الادارة المالية'!AA41</f>
        <v>0</v>
      </c>
      <c r="AB152" s="46">
        <f>+'الادارة المالية'!AB41</f>
        <v>0</v>
      </c>
      <c r="AC152" s="46">
        <f>+'الادارة المالية'!AC41</f>
        <v>0</v>
      </c>
      <c r="AD152" s="46">
        <f>+'الادارة المالية'!AD41</f>
        <v>0</v>
      </c>
      <c r="AE152" s="46">
        <f>+'الادارة المالية'!AE41</f>
        <v>0</v>
      </c>
      <c r="AF152" s="46">
        <f>+'الادارة المالية'!AF41</f>
        <v>0</v>
      </c>
      <c r="AG152" s="46">
        <f>+'الادارة المالية'!AG41</f>
        <v>0</v>
      </c>
      <c r="AH152" s="46">
        <f>+'الادارة المالية'!AH41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+'الادارة المالية'!A42</f>
        <v>0</v>
      </c>
      <c r="B156" s="44">
        <f>+'الادارة المالية'!B42</f>
        <v>0</v>
      </c>
      <c r="C156" s="45">
        <f>+'الادارة المالية'!C42</f>
        <v>0</v>
      </c>
      <c r="D156" s="45">
        <f>+'الادارة المالية'!D42</f>
        <v>0</v>
      </c>
      <c r="E156" s="45">
        <f>+'الادارة المالية'!E42</f>
        <v>0</v>
      </c>
      <c r="F156" s="46">
        <f>'الادارة المالية'!F42</f>
        <v>0</v>
      </c>
      <c r="G156" s="46">
        <f>'الادارة المالية'!G42</f>
        <v>0</v>
      </c>
      <c r="H156" s="46">
        <f>'الادارة المالية'!H42</f>
        <v>0</v>
      </c>
      <c r="I156" s="46">
        <f>'الادارة المالية'!I42</f>
        <v>0</v>
      </c>
      <c r="J156" s="46">
        <f>'الادارة المالية'!J42</f>
        <v>0</v>
      </c>
      <c r="K156" s="46">
        <f>'الادارة المالية'!K42</f>
        <v>0</v>
      </c>
      <c r="L156" s="46">
        <f>'الادارة المالية'!L42</f>
        <v>0</v>
      </c>
      <c r="M156" s="46">
        <f>'الادارة المالية'!M42</f>
        <v>0</v>
      </c>
      <c r="N156" s="46">
        <f>'الادارة المالية'!N42</f>
        <v>0</v>
      </c>
      <c r="O156" s="46">
        <f>'الادارة المالية'!O42</f>
        <v>0</v>
      </c>
      <c r="P156" s="46">
        <f>'الادارة المالية'!P42</f>
        <v>0</v>
      </c>
      <c r="Q156" s="46">
        <f>'الادارة المالية'!Q42</f>
        <v>0</v>
      </c>
      <c r="R156" s="47">
        <f>'الادارة المالية'!R42</f>
        <v>0</v>
      </c>
      <c r="S156" s="47">
        <f>'الادارة المالية'!S42</f>
        <v>0</v>
      </c>
      <c r="T156" s="46">
        <f>'الادارة المالية'!T42</f>
        <v>0</v>
      </c>
      <c r="U156" s="46">
        <f>'الادارة المالية'!U42</f>
        <v>0</v>
      </c>
      <c r="V156" s="46">
        <f>'الادارة المالية'!V42</f>
        <v>0</v>
      </c>
      <c r="W156" s="46">
        <f>'الادارة المالية'!W42</f>
        <v>0</v>
      </c>
      <c r="X156" s="46">
        <f>'الادارة المالية'!X42</f>
        <v>0</v>
      </c>
      <c r="Y156" s="46">
        <f>'الادارة المالية'!Y42</f>
        <v>0</v>
      </c>
      <c r="Z156" s="46">
        <f>'الادارة المالية'!Z42</f>
        <v>0</v>
      </c>
      <c r="AA156" s="46">
        <f>'الادارة المالية'!AA42</f>
        <v>0</v>
      </c>
      <c r="AB156" s="46">
        <f>'الادارة المالية'!AB42</f>
        <v>0</v>
      </c>
      <c r="AC156" s="46">
        <f>'الادارة المالية'!AC42</f>
        <v>0</v>
      </c>
      <c r="AD156" s="46">
        <f>'الادارة المالية'!AD42</f>
        <v>0</v>
      </c>
      <c r="AE156" s="46">
        <f>'الادارة المالية'!AE42</f>
        <v>0</v>
      </c>
      <c r="AF156" s="46">
        <f>'الادارة المالية'!AF42</f>
        <v>0</v>
      </c>
      <c r="AG156" s="46">
        <f>'الادارة المالية'!AG42</f>
        <v>0</v>
      </c>
      <c r="AH156" s="46">
        <f>'الادارة المالية'!AH42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+'الادارة المالية'!A43</f>
        <v>0</v>
      </c>
      <c r="B160" s="44">
        <f>+'الادارة المالية'!B43</f>
        <v>0</v>
      </c>
      <c r="C160" s="45">
        <f>+'الادارة المالية'!C43</f>
        <v>0</v>
      </c>
      <c r="D160" s="45">
        <f>+'الادارة المالية'!D43</f>
        <v>0</v>
      </c>
      <c r="E160" s="45">
        <f>+'الادارة المالية'!E43</f>
        <v>0</v>
      </c>
      <c r="F160" s="46">
        <f>'الادارة المالية'!F43</f>
        <v>0</v>
      </c>
      <c r="G160" s="46">
        <f>'الادارة المالية'!G43</f>
        <v>0</v>
      </c>
      <c r="H160" s="46">
        <f>'الادارة المالية'!H43</f>
        <v>0</v>
      </c>
      <c r="I160" s="46">
        <f>'الادارة المالية'!I43</f>
        <v>0</v>
      </c>
      <c r="J160" s="46">
        <f>'الادارة المالية'!J43</f>
        <v>0</v>
      </c>
      <c r="K160" s="46">
        <f>'الادارة المالية'!K43</f>
        <v>0</v>
      </c>
      <c r="L160" s="46">
        <f>'الادارة المالية'!L43</f>
        <v>0</v>
      </c>
      <c r="M160" s="46">
        <f>'الادارة المالية'!M43</f>
        <v>0</v>
      </c>
      <c r="N160" s="46">
        <f>'الادارة المالية'!N43</f>
        <v>0</v>
      </c>
      <c r="O160" s="46">
        <f>'الادارة المالية'!O43</f>
        <v>0</v>
      </c>
      <c r="P160" s="46">
        <f>'الادارة المالية'!P43</f>
        <v>0</v>
      </c>
      <c r="Q160" s="46">
        <f>'الادارة المالية'!Q43</f>
        <v>0</v>
      </c>
      <c r="R160" s="47">
        <f>'الادارة المالية'!R43</f>
        <v>0</v>
      </c>
      <c r="S160" s="47">
        <f>'الادارة المالية'!S43</f>
        <v>0</v>
      </c>
      <c r="T160" s="46">
        <f>'الادارة المالية'!T43</f>
        <v>0</v>
      </c>
      <c r="U160" s="46">
        <f>'الادارة المالية'!U43</f>
        <v>0</v>
      </c>
      <c r="V160" s="46">
        <f>'الادارة المالية'!V43</f>
        <v>0</v>
      </c>
      <c r="W160" s="46">
        <f>'الادارة المالية'!W43</f>
        <v>0</v>
      </c>
      <c r="X160" s="46">
        <f>'الادارة المالية'!X43</f>
        <v>0</v>
      </c>
      <c r="Y160" s="46">
        <f>'الادارة المالية'!Y43</f>
        <v>0</v>
      </c>
      <c r="Z160" s="46">
        <f>'الادارة المالية'!Z43</f>
        <v>0</v>
      </c>
      <c r="AA160" s="46">
        <f>'الادارة المالية'!AA43</f>
        <v>0</v>
      </c>
      <c r="AB160" s="46">
        <f>'الادارة المالية'!AB43</f>
        <v>0</v>
      </c>
      <c r="AC160" s="46">
        <f>'الادارة المالية'!AC43</f>
        <v>0</v>
      </c>
      <c r="AD160" s="46">
        <f>'الادارة المالية'!AD43</f>
        <v>0</v>
      </c>
      <c r="AE160" s="46">
        <f>'الادارة المالية'!AE43</f>
        <v>0</v>
      </c>
      <c r="AF160" s="46">
        <f>'الادارة المالية'!AF43</f>
        <v>0</v>
      </c>
      <c r="AG160" s="46">
        <f>'الادارة المالية'!AG43</f>
        <v>0</v>
      </c>
      <c r="AH160" s="46">
        <f>'الادارة المالية'!AH43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+'الادارة المالية'!A44</f>
        <v>0</v>
      </c>
      <c r="B164" s="44">
        <f>+'الادارة المالية'!B44</f>
        <v>0</v>
      </c>
      <c r="C164" s="45">
        <f>+'الادارة المالية'!C44</f>
        <v>0</v>
      </c>
      <c r="D164" s="45">
        <f>+'الادارة المالية'!D44</f>
        <v>0</v>
      </c>
      <c r="E164" s="45">
        <f>+'الادارة المالية'!E44</f>
        <v>0</v>
      </c>
      <c r="F164" s="46">
        <f>'الادارة المالية'!F44</f>
        <v>0</v>
      </c>
      <c r="G164" s="46">
        <f>'الادارة المالية'!G44</f>
        <v>0</v>
      </c>
      <c r="H164" s="46">
        <f>'الادارة المالية'!H44</f>
        <v>0</v>
      </c>
      <c r="I164" s="46">
        <f>'الادارة المالية'!I44</f>
        <v>0</v>
      </c>
      <c r="J164" s="46">
        <f>'الادارة المالية'!J44</f>
        <v>0</v>
      </c>
      <c r="K164" s="46">
        <f>'الادارة المالية'!K44</f>
        <v>0</v>
      </c>
      <c r="L164" s="46">
        <f>'الادارة المالية'!L44</f>
        <v>0</v>
      </c>
      <c r="M164" s="46">
        <f>'الادارة المالية'!M44</f>
        <v>0</v>
      </c>
      <c r="N164" s="46">
        <f>'الادارة المالية'!N44</f>
        <v>0</v>
      </c>
      <c r="O164" s="46">
        <f>'الادارة المالية'!O44</f>
        <v>0</v>
      </c>
      <c r="P164" s="46">
        <f>'الادارة المالية'!P44</f>
        <v>0</v>
      </c>
      <c r="Q164" s="46">
        <f>'الادارة المالية'!Q44</f>
        <v>0</v>
      </c>
      <c r="R164" s="47">
        <f>'الادارة المالية'!R44</f>
        <v>0</v>
      </c>
      <c r="S164" s="47">
        <f>'الادارة المالية'!S44</f>
        <v>0</v>
      </c>
      <c r="T164" s="46">
        <f>'الادارة المالية'!T44</f>
        <v>0</v>
      </c>
      <c r="U164" s="46">
        <f>'الادارة المالية'!U44</f>
        <v>0</v>
      </c>
      <c r="V164" s="46">
        <f>'الادارة المالية'!V44</f>
        <v>0</v>
      </c>
      <c r="W164" s="46">
        <f>'الادارة المالية'!W44</f>
        <v>0</v>
      </c>
      <c r="X164" s="46">
        <f>'الادارة المالية'!X44</f>
        <v>0</v>
      </c>
      <c r="Y164" s="46">
        <f>'الادارة المالية'!Y44</f>
        <v>0</v>
      </c>
      <c r="Z164" s="46">
        <f>'الادارة المالية'!Z44</f>
        <v>0</v>
      </c>
      <c r="AA164" s="46">
        <f>'الادارة المالية'!AA44</f>
        <v>0</v>
      </c>
      <c r="AB164" s="46">
        <f>'الادارة المالية'!AB44</f>
        <v>0</v>
      </c>
      <c r="AC164" s="46">
        <f>'الادارة المالية'!AC44</f>
        <v>0</v>
      </c>
      <c r="AD164" s="46">
        <f>'الادارة المالية'!AD44</f>
        <v>0</v>
      </c>
      <c r="AE164" s="46">
        <f>'الادارة المالية'!AE44</f>
        <v>0</v>
      </c>
      <c r="AF164" s="46">
        <f>'الادارة المالية'!AF44</f>
        <v>0</v>
      </c>
      <c r="AG164" s="46">
        <f>'الادارة المالية'!AG44</f>
        <v>0</v>
      </c>
      <c r="AH164" s="46">
        <f>'الادارة المالية'!AH44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+'الادارة المالية'!A45</f>
        <v>0</v>
      </c>
      <c r="B168" s="44">
        <f>+'الادارة المالية'!B45</f>
        <v>0</v>
      </c>
      <c r="C168" s="45">
        <f>+'الادارة المالية'!C45</f>
        <v>0</v>
      </c>
      <c r="D168" s="45">
        <f>+'الادارة المالية'!D45</f>
        <v>0</v>
      </c>
      <c r="E168" s="45">
        <f>+'الادارة المالية'!E45</f>
        <v>0</v>
      </c>
      <c r="F168" s="46">
        <f>'الادارة المالية'!F45</f>
        <v>0</v>
      </c>
      <c r="G168" s="46">
        <f>'الادارة المالية'!G45</f>
        <v>0</v>
      </c>
      <c r="H168" s="46">
        <f>'الادارة المالية'!H45</f>
        <v>0</v>
      </c>
      <c r="I168" s="46">
        <f>'الادارة المالية'!I45</f>
        <v>0</v>
      </c>
      <c r="J168" s="46">
        <f>'الادارة المالية'!J45</f>
        <v>0</v>
      </c>
      <c r="K168" s="46">
        <f>'الادارة المالية'!K45</f>
        <v>0</v>
      </c>
      <c r="L168" s="46">
        <f>'الادارة المالية'!L45</f>
        <v>0</v>
      </c>
      <c r="M168" s="46">
        <f>'الادارة المالية'!M45</f>
        <v>0</v>
      </c>
      <c r="N168" s="46">
        <f>'الادارة المالية'!N45</f>
        <v>0</v>
      </c>
      <c r="O168" s="46">
        <f>'الادارة المالية'!O45</f>
        <v>0</v>
      </c>
      <c r="P168" s="46">
        <f>'الادارة المالية'!P45</f>
        <v>0</v>
      </c>
      <c r="Q168" s="46">
        <f>'الادارة المالية'!Q45</f>
        <v>0</v>
      </c>
      <c r="R168" s="47">
        <f>'الادارة المالية'!R45</f>
        <v>0</v>
      </c>
      <c r="S168" s="47">
        <f>'الادارة المالية'!S45</f>
        <v>0</v>
      </c>
      <c r="T168" s="46">
        <f>'الادارة المالية'!T45</f>
        <v>0</v>
      </c>
      <c r="U168" s="46">
        <f>'الادارة المالية'!U45</f>
        <v>0</v>
      </c>
      <c r="V168" s="46">
        <f>'الادارة المالية'!V45</f>
        <v>0</v>
      </c>
      <c r="W168" s="46">
        <f>'الادارة المالية'!W45</f>
        <v>0</v>
      </c>
      <c r="X168" s="46">
        <f>'الادارة المالية'!X45</f>
        <v>0</v>
      </c>
      <c r="Y168" s="46">
        <f>'الادارة المالية'!Y45</f>
        <v>0</v>
      </c>
      <c r="Z168" s="46">
        <f>'الادارة المالية'!Z45</f>
        <v>0</v>
      </c>
      <c r="AA168" s="46">
        <f>'الادارة المالية'!AA45</f>
        <v>0</v>
      </c>
      <c r="AB168" s="46">
        <f>'الادارة المالية'!AB45</f>
        <v>0</v>
      </c>
      <c r="AC168" s="46">
        <f>'الادارة المالية'!AC45</f>
        <v>0</v>
      </c>
      <c r="AD168" s="46">
        <f>'الادارة المالية'!AD45</f>
        <v>0</v>
      </c>
      <c r="AE168" s="46">
        <f>'الادارة المالية'!AE45</f>
        <v>0</v>
      </c>
      <c r="AF168" s="46">
        <f>'الادارة المالية'!AF45</f>
        <v>0</v>
      </c>
      <c r="AG168" s="46">
        <f>'الادارة المالية'!AG45</f>
        <v>0</v>
      </c>
      <c r="AH168" s="46">
        <f>'الادارة المالية'!AH45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+'الادارة المالية'!A46</f>
        <v>0</v>
      </c>
      <c r="B172" s="44">
        <f>+'الادارة المالية'!B46</f>
        <v>0</v>
      </c>
      <c r="C172" s="45">
        <f>+'الادارة المالية'!C46</f>
        <v>0</v>
      </c>
      <c r="D172" s="45">
        <f>+'الادارة المالية'!D46</f>
        <v>0</v>
      </c>
      <c r="E172" s="45">
        <f>+'الادارة المالية'!E46</f>
        <v>0</v>
      </c>
      <c r="F172" s="46">
        <f>'الادارة المالية'!F46</f>
        <v>0</v>
      </c>
      <c r="G172" s="46">
        <f>'الادارة المالية'!G46</f>
        <v>0</v>
      </c>
      <c r="H172" s="46">
        <f>'الادارة المالية'!H46</f>
        <v>0</v>
      </c>
      <c r="I172" s="46">
        <f>'الادارة المالية'!I46</f>
        <v>0</v>
      </c>
      <c r="J172" s="46">
        <f>'الادارة المالية'!J46</f>
        <v>0</v>
      </c>
      <c r="K172" s="46">
        <f>'الادارة المالية'!K46</f>
        <v>0</v>
      </c>
      <c r="L172" s="46">
        <f>'الادارة المالية'!L46</f>
        <v>0</v>
      </c>
      <c r="M172" s="46">
        <f>'الادارة المالية'!M46</f>
        <v>0</v>
      </c>
      <c r="N172" s="46">
        <f>'الادارة المالية'!N46</f>
        <v>0</v>
      </c>
      <c r="O172" s="46">
        <f>'الادارة المالية'!O46</f>
        <v>0</v>
      </c>
      <c r="P172" s="46">
        <f>'الادارة المالية'!P46</f>
        <v>0</v>
      </c>
      <c r="Q172" s="46">
        <f>'الادارة المالية'!Q46</f>
        <v>0</v>
      </c>
      <c r="R172" s="47">
        <f>'الادارة المالية'!R46</f>
        <v>0</v>
      </c>
      <c r="S172" s="47"/>
      <c r="T172" s="46">
        <f>'الادارة المالية'!T46</f>
        <v>0</v>
      </c>
      <c r="U172" s="46">
        <f>'الادارة المالية'!U46</f>
        <v>0</v>
      </c>
      <c r="V172" s="46">
        <f>'الادارة المالية'!V46</f>
        <v>0</v>
      </c>
      <c r="W172" s="46">
        <f>'الادارة المالية'!W46</f>
        <v>0</v>
      </c>
      <c r="X172" s="46">
        <f>'الادارة المالية'!X46</f>
        <v>0</v>
      </c>
      <c r="Y172" s="46">
        <f>'الادارة المالية'!Y46</f>
        <v>0</v>
      </c>
      <c r="Z172" s="46">
        <f>'الادارة المالية'!Z46</f>
        <v>0</v>
      </c>
      <c r="AA172" s="46">
        <f>'الادارة المالية'!AA46</f>
        <v>0</v>
      </c>
      <c r="AB172" s="46">
        <f>'الادارة المالية'!AB46</f>
        <v>0</v>
      </c>
      <c r="AC172" s="46">
        <f>'الادارة المالية'!AC46</f>
        <v>0</v>
      </c>
      <c r="AD172" s="46">
        <f>'الادارة المالية'!AD46</f>
        <v>0</v>
      </c>
      <c r="AE172" s="46">
        <f>'الادارة المالية'!AE46</f>
        <v>0</v>
      </c>
      <c r="AF172" s="46">
        <f>'الادارة المالية'!AF46</f>
        <v>0</v>
      </c>
      <c r="AG172" s="46">
        <f>'الادارة المالية'!AG46</f>
        <v>0</v>
      </c>
      <c r="AH172" s="46">
        <f>'الادارة المالية'!AH46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+'الادارة المالية'!A47</f>
        <v>0</v>
      </c>
      <c r="B176" s="44">
        <f>+'الادارة المالية'!B47</f>
        <v>0</v>
      </c>
      <c r="C176" s="45">
        <f>+'الادارة المالية'!C47</f>
        <v>0</v>
      </c>
      <c r="D176" s="45">
        <f>+'الادارة المالية'!D47</f>
        <v>0</v>
      </c>
      <c r="E176" s="45">
        <f>+'الادارة المالية'!E47</f>
        <v>0</v>
      </c>
      <c r="F176" s="46">
        <f>'الادارة المالية'!F47</f>
        <v>0</v>
      </c>
      <c r="G176" s="46">
        <f>'الادارة المالية'!G47</f>
        <v>0</v>
      </c>
      <c r="H176" s="46">
        <f>'الادارة المالية'!H47</f>
        <v>0</v>
      </c>
      <c r="I176" s="46">
        <f>'الادارة المالية'!I47</f>
        <v>0</v>
      </c>
      <c r="J176" s="46">
        <f>'الادارة المالية'!J47</f>
        <v>0</v>
      </c>
      <c r="K176" s="46">
        <f>'الادارة المالية'!K47</f>
        <v>0</v>
      </c>
      <c r="L176" s="46">
        <f>'الادارة المالية'!L47</f>
        <v>0</v>
      </c>
      <c r="M176" s="46">
        <f>'الادارة المالية'!M47</f>
        <v>0</v>
      </c>
      <c r="N176" s="46">
        <f>'الادارة المالية'!N47</f>
        <v>0</v>
      </c>
      <c r="O176" s="46">
        <f>'الادارة المالية'!O47</f>
        <v>0</v>
      </c>
      <c r="P176" s="46">
        <f>'الادارة المالية'!P47</f>
        <v>0</v>
      </c>
      <c r="Q176" s="46">
        <f>'الادارة المالية'!Q47</f>
        <v>0</v>
      </c>
      <c r="R176" s="47">
        <f>'الادارة المالية'!R47</f>
        <v>0</v>
      </c>
      <c r="S176" s="47">
        <f>'الادارة المالية'!S47</f>
        <v>0</v>
      </c>
      <c r="T176" s="46">
        <f>'الادارة المالية'!T47</f>
        <v>0</v>
      </c>
      <c r="U176" s="46">
        <f>'الادارة المالية'!U47</f>
        <v>0</v>
      </c>
      <c r="V176" s="46">
        <f>'الادارة المالية'!V47</f>
        <v>0</v>
      </c>
      <c r="W176" s="46">
        <f>'الادارة المالية'!W47</f>
        <v>0</v>
      </c>
      <c r="X176" s="46">
        <f>'الادارة المالية'!X47</f>
        <v>0</v>
      </c>
      <c r="Y176" s="46">
        <f>'الادارة المالية'!Y47</f>
        <v>0</v>
      </c>
      <c r="Z176" s="46">
        <f>'الادارة المالية'!Z47</f>
        <v>0</v>
      </c>
      <c r="AA176" s="46">
        <f>'الادارة المالية'!AA47</f>
        <v>0</v>
      </c>
      <c r="AB176" s="46">
        <f>'الادارة المالية'!AB47</f>
        <v>0</v>
      </c>
      <c r="AC176" s="46">
        <f>'الادارة المالية'!AC47</f>
        <v>0</v>
      </c>
      <c r="AD176" s="46">
        <f>'الادارة المالية'!AD47</f>
        <v>0</v>
      </c>
      <c r="AE176" s="46">
        <f>'الادارة المالية'!AE47</f>
        <v>0</v>
      </c>
      <c r="AF176" s="46">
        <f>'الادارة المالية'!AF47</f>
        <v>0</v>
      </c>
      <c r="AG176" s="46">
        <f>'الادارة المالية'!AG47</f>
        <v>0</v>
      </c>
      <c r="AH176" s="46">
        <f>'الادارة المالية'!AH47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+'الادارة المالية'!A48</f>
        <v>0</v>
      </c>
      <c r="B180" s="44">
        <f>+'الادارة المالية'!B48</f>
        <v>0</v>
      </c>
      <c r="C180" s="45">
        <f>+'الادارة المالية'!C48</f>
        <v>0</v>
      </c>
      <c r="D180" s="45">
        <f>+'الادارة المالية'!D48</f>
        <v>0</v>
      </c>
      <c r="E180" s="45">
        <f>+'الادارة المالية'!E48</f>
        <v>0</v>
      </c>
      <c r="F180" s="46">
        <f>'الادارة المالية'!F48</f>
        <v>0</v>
      </c>
      <c r="G180" s="46">
        <f>'الادارة المالية'!G48</f>
        <v>0</v>
      </c>
      <c r="H180" s="46">
        <f>'الادارة المالية'!H48</f>
        <v>0</v>
      </c>
      <c r="I180" s="46">
        <f>'الادارة المالية'!I48</f>
        <v>0</v>
      </c>
      <c r="J180" s="46">
        <f>'الادارة المالية'!J48</f>
        <v>0</v>
      </c>
      <c r="K180" s="46">
        <f>'الادارة المالية'!K48</f>
        <v>0</v>
      </c>
      <c r="L180" s="46">
        <f>'الادارة المالية'!L48</f>
        <v>0</v>
      </c>
      <c r="M180" s="46">
        <f>'الادارة المالية'!M48</f>
        <v>0</v>
      </c>
      <c r="N180" s="46">
        <f>'الادارة المالية'!N48</f>
        <v>0</v>
      </c>
      <c r="O180" s="46">
        <f>'الادارة المالية'!O48</f>
        <v>0</v>
      </c>
      <c r="P180" s="46">
        <f>'الادارة المالية'!P48</f>
        <v>0</v>
      </c>
      <c r="Q180" s="46">
        <f>'الادارة المالية'!Q48</f>
        <v>0</v>
      </c>
      <c r="R180" s="47">
        <f>'الادارة المالية'!R48</f>
        <v>0</v>
      </c>
      <c r="S180" s="47">
        <f>'الادارة المالية'!S48</f>
        <v>0</v>
      </c>
      <c r="T180" s="46">
        <f>'الادارة المالية'!T48</f>
        <v>0</v>
      </c>
      <c r="U180" s="46">
        <f>'الادارة المالية'!U48</f>
        <v>0</v>
      </c>
      <c r="V180" s="46">
        <f>'الادارة المالية'!V48</f>
        <v>0</v>
      </c>
      <c r="W180" s="46">
        <f>'الادارة المالية'!W48</f>
        <v>0</v>
      </c>
      <c r="X180" s="46">
        <f>'الادارة المالية'!X48</f>
        <v>0</v>
      </c>
      <c r="Y180" s="46">
        <f>'الادارة المالية'!Y48</f>
        <v>0</v>
      </c>
      <c r="Z180" s="46">
        <f>'الادارة المالية'!Z48</f>
        <v>0</v>
      </c>
      <c r="AA180" s="46">
        <f>'الادارة المالية'!AA48</f>
        <v>0</v>
      </c>
      <c r="AB180" s="46">
        <f>'الادارة المالية'!AB48</f>
        <v>0</v>
      </c>
      <c r="AC180" s="46">
        <f>'الادارة المالية'!AC48</f>
        <v>0</v>
      </c>
      <c r="AD180" s="46">
        <f>'الادارة المالية'!AD48</f>
        <v>0</v>
      </c>
      <c r="AE180" s="46">
        <f>'الادارة المالية'!AE48</f>
        <v>0</v>
      </c>
      <c r="AF180" s="46">
        <f>'الادارة المالية'!AF48</f>
        <v>0</v>
      </c>
      <c r="AG180" s="46">
        <f>'الادارة المالية'!AG48</f>
        <v>0</v>
      </c>
      <c r="AH180" s="46">
        <f>'الادارة المالية'!AH48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+'الادارة المالية'!A49</f>
        <v>0</v>
      </c>
      <c r="B184" s="44">
        <f>+'الادارة المالية'!B49</f>
        <v>0</v>
      </c>
      <c r="C184" s="45">
        <f>+'الادارة المالية'!C49</f>
        <v>0</v>
      </c>
      <c r="D184" s="45">
        <f>+'الادارة المالية'!D49</f>
        <v>0</v>
      </c>
      <c r="E184" s="45">
        <f>+'الادارة المالية'!E49</f>
        <v>0</v>
      </c>
      <c r="F184" s="46">
        <f>'الادارة المالية'!F49</f>
        <v>0</v>
      </c>
      <c r="G184" s="46">
        <f>'الادارة المالية'!G49</f>
        <v>0</v>
      </c>
      <c r="H184" s="46">
        <f>'الادارة المالية'!H49</f>
        <v>0</v>
      </c>
      <c r="I184" s="46">
        <f>'الادارة المالية'!I49</f>
        <v>0</v>
      </c>
      <c r="J184" s="46">
        <f>'الادارة المالية'!J49</f>
        <v>0</v>
      </c>
      <c r="K184" s="46">
        <f>'الادارة المالية'!K49</f>
        <v>0</v>
      </c>
      <c r="L184" s="46">
        <f>'الادارة المالية'!L49</f>
        <v>0</v>
      </c>
      <c r="M184" s="46">
        <f>'الادارة المالية'!M49</f>
        <v>0</v>
      </c>
      <c r="N184" s="46">
        <f>'الادارة المالية'!N49</f>
        <v>0</v>
      </c>
      <c r="O184" s="46">
        <f>'الادارة المالية'!O49</f>
        <v>0</v>
      </c>
      <c r="P184" s="46">
        <f>'الادارة المالية'!P49</f>
        <v>0</v>
      </c>
      <c r="Q184" s="46">
        <f>'الادارة المالية'!Q49</f>
        <v>0</v>
      </c>
      <c r="R184" s="47">
        <f>'الادارة المالية'!R49</f>
        <v>0</v>
      </c>
      <c r="S184" s="47">
        <f>'الادارة المالية'!S49</f>
        <v>0</v>
      </c>
      <c r="T184" s="46">
        <f>'الادارة المالية'!T49</f>
        <v>0</v>
      </c>
      <c r="U184" s="46">
        <f>'الادارة المالية'!U49</f>
        <v>0</v>
      </c>
      <c r="V184" s="46">
        <f>'الادارة المالية'!V49</f>
        <v>0</v>
      </c>
      <c r="W184" s="46">
        <f>'الادارة المالية'!W49</f>
        <v>0</v>
      </c>
      <c r="X184" s="46">
        <f>'الادارة المالية'!X49</f>
        <v>0</v>
      </c>
      <c r="Y184" s="46">
        <f>'الادارة المالية'!Y49</f>
        <v>0</v>
      </c>
      <c r="Z184" s="46">
        <f>'الادارة المالية'!Z49</f>
        <v>0</v>
      </c>
      <c r="AA184" s="46">
        <f>'الادارة المالية'!AA49</f>
        <v>0</v>
      </c>
      <c r="AB184" s="46">
        <f>'الادارة المالية'!AB49</f>
        <v>0</v>
      </c>
      <c r="AC184" s="46">
        <f>'الادارة المالية'!AC49</f>
        <v>0</v>
      </c>
      <c r="AD184" s="46">
        <f>'الادارة المالية'!AD49</f>
        <v>0</v>
      </c>
      <c r="AE184" s="46">
        <f>'الادارة المالية'!AE49</f>
        <v>0</v>
      </c>
      <c r="AF184" s="46">
        <f>'الادارة المالية'!AF49</f>
        <v>0</v>
      </c>
      <c r="AG184" s="46">
        <f>'الادارة المالية'!AG49</f>
        <v>0</v>
      </c>
      <c r="AH184" s="46">
        <f>'الادارة المالية'!AH49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+'الادارة المالية'!A50</f>
        <v>0</v>
      </c>
      <c r="B188" s="44">
        <f>+'الادارة المالية'!B50</f>
        <v>0</v>
      </c>
      <c r="C188" s="45">
        <f>+'الادارة المالية'!C50</f>
        <v>0</v>
      </c>
      <c r="D188" s="45">
        <f>+'الادارة المالية'!D50</f>
        <v>0</v>
      </c>
      <c r="E188" s="45">
        <f>+'الادارة المالية'!E50</f>
        <v>0</v>
      </c>
      <c r="F188" s="46">
        <f>'الادارة المالية'!F50</f>
        <v>0</v>
      </c>
      <c r="G188" s="46">
        <f>'الادارة المالية'!G50</f>
        <v>0</v>
      </c>
      <c r="H188" s="46">
        <f>'الادارة المالية'!H50</f>
        <v>0</v>
      </c>
      <c r="I188" s="46">
        <f>'الادارة المالية'!I50</f>
        <v>0</v>
      </c>
      <c r="J188" s="46">
        <f>'الادارة المالية'!J50</f>
        <v>0</v>
      </c>
      <c r="K188" s="46">
        <f>'الادارة المالية'!K50</f>
        <v>0</v>
      </c>
      <c r="L188" s="46">
        <f>'الادارة المالية'!L50</f>
        <v>0</v>
      </c>
      <c r="M188" s="46">
        <f>'الادارة المالية'!M50</f>
        <v>0</v>
      </c>
      <c r="N188" s="46">
        <f>'الادارة المالية'!N50</f>
        <v>0</v>
      </c>
      <c r="O188" s="46">
        <f>'الادارة المالية'!O50</f>
        <v>0</v>
      </c>
      <c r="P188" s="46">
        <f>'الادارة المالية'!P50</f>
        <v>0</v>
      </c>
      <c r="Q188" s="46">
        <f>'الادارة المالية'!Q50</f>
        <v>0</v>
      </c>
      <c r="R188" s="47">
        <f>'الادارة المالية'!R50</f>
        <v>0</v>
      </c>
      <c r="S188" s="47">
        <f>'الادارة المالية'!S50</f>
        <v>0</v>
      </c>
      <c r="T188" s="46">
        <f>'الادارة المالية'!T50</f>
        <v>0</v>
      </c>
      <c r="U188" s="46">
        <f>'الادارة المالية'!U50</f>
        <v>0</v>
      </c>
      <c r="V188" s="46">
        <f>'الادارة المالية'!V50</f>
        <v>0</v>
      </c>
      <c r="W188" s="46">
        <f>'الادارة المالية'!W50</f>
        <v>0</v>
      </c>
      <c r="X188" s="46">
        <f>'الادارة المالية'!X50</f>
        <v>0</v>
      </c>
      <c r="Y188" s="46">
        <f>'الادارة المالية'!Y50</f>
        <v>0</v>
      </c>
      <c r="Z188" s="46">
        <f>'الادارة المالية'!Z50</f>
        <v>0</v>
      </c>
      <c r="AA188" s="46">
        <f>'الادارة المالية'!AA50</f>
        <v>0</v>
      </c>
      <c r="AB188" s="46">
        <f>'الادارة المالية'!AB50</f>
        <v>0</v>
      </c>
      <c r="AC188" s="46">
        <f>'الادارة المالية'!AC50</f>
        <v>0</v>
      </c>
      <c r="AD188" s="46">
        <f>'الادارة المالية'!AD50</f>
        <v>0</v>
      </c>
      <c r="AE188" s="46">
        <f>'الادارة المالية'!AE50</f>
        <v>0</v>
      </c>
      <c r="AF188" s="46">
        <f>'الادارة المالية'!AF50</f>
        <v>0</v>
      </c>
      <c r="AG188" s="46">
        <f>'الادارة المالية'!AG50</f>
        <v>0</v>
      </c>
      <c r="AH188" s="46">
        <f>'الادارة المالية'!AH50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+'الادارة المالية'!A51</f>
        <v>0</v>
      </c>
      <c r="B192" s="44">
        <f>+'الادارة المالية'!B51</f>
        <v>0</v>
      </c>
      <c r="C192" s="45">
        <f>+'الادارة المالية'!C51</f>
        <v>0</v>
      </c>
      <c r="D192" s="45">
        <f>+'الادارة المالية'!D51</f>
        <v>0</v>
      </c>
      <c r="E192" s="45">
        <f>+'الادارة المالية'!E51</f>
        <v>0</v>
      </c>
      <c r="F192" s="46">
        <f>'الادارة المالية'!F51</f>
        <v>0</v>
      </c>
      <c r="G192" s="46">
        <f>'الادارة المالية'!G51</f>
        <v>0</v>
      </c>
      <c r="H192" s="46">
        <f>'الادارة المالية'!H51</f>
        <v>0</v>
      </c>
      <c r="I192" s="46">
        <f>'الادارة المالية'!I51</f>
        <v>0</v>
      </c>
      <c r="J192" s="46">
        <f>'الادارة المالية'!J51</f>
        <v>0</v>
      </c>
      <c r="K192" s="46">
        <f>'الادارة المالية'!K51</f>
        <v>0</v>
      </c>
      <c r="L192" s="46">
        <f>'الادارة المالية'!L51</f>
        <v>0</v>
      </c>
      <c r="M192" s="46">
        <f>'الادارة المالية'!M51</f>
        <v>0</v>
      </c>
      <c r="N192" s="46">
        <f>'الادارة المالية'!N51</f>
        <v>0</v>
      </c>
      <c r="O192" s="46">
        <f>'الادارة المالية'!O51</f>
        <v>0</v>
      </c>
      <c r="P192" s="46">
        <f>'الادارة المالية'!P51</f>
        <v>0</v>
      </c>
      <c r="Q192" s="46">
        <f>'الادارة المالية'!Q51</f>
        <v>0</v>
      </c>
      <c r="R192" s="47">
        <f>'الادارة المالية'!R51</f>
        <v>0</v>
      </c>
      <c r="S192" s="47">
        <f>'الادارة المالية'!S51</f>
        <v>0</v>
      </c>
      <c r="T192" s="46">
        <f>'الادارة المالية'!T51</f>
        <v>0</v>
      </c>
      <c r="U192" s="46">
        <f>'الادارة المالية'!U51</f>
        <v>0</v>
      </c>
      <c r="V192" s="46">
        <f>'الادارة المالية'!V51</f>
        <v>0</v>
      </c>
      <c r="W192" s="46">
        <f>'الادارة المالية'!W51</f>
        <v>0</v>
      </c>
      <c r="X192" s="46">
        <f>'الادارة المالية'!X51</f>
        <v>0</v>
      </c>
      <c r="Y192" s="46">
        <f>'الادارة المالية'!Y51</f>
        <v>0</v>
      </c>
      <c r="Z192" s="46">
        <f>'الادارة المالية'!Z51</f>
        <v>0</v>
      </c>
      <c r="AA192" s="46">
        <f>'الادارة المالية'!AA51</f>
        <v>0</v>
      </c>
      <c r="AB192" s="46">
        <f>'الادارة المالية'!AB51</f>
        <v>0</v>
      </c>
      <c r="AC192" s="46">
        <f>'الادارة المالية'!AC51</f>
        <v>0</v>
      </c>
      <c r="AD192" s="46">
        <f>'الادارة المالية'!AD51</f>
        <v>0</v>
      </c>
      <c r="AE192" s="46">
        <f>'الادارة المالية'!AE51</f>
        <v>0</v>
      </c>
      <c r="AF192" s="46">
        <f>'الادارة المالية'!AF51</f>
        <v>0</v>
      </c>
      <c r="AG192" s="46">
        <f>'الادارة المالية'!AG51</f>
        <v>0</v>
      </c>
      <c r="AH192" s="46">
        <f>'الادارة المالية'!AH51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+'الادارة المالية'!A52</f>
        <v>0</v>
      </c>
      <c r="B196" s="44">
        <f>+'الادارة المالية'!B52</f>
        <v>0</v>
      </c>
      <c r="C196" s="45">
        <f>+'الادارة المالية'!C52</f>
        <v>0</v>
      </c>
      <c r="D196" s="45">
        <f>+'الادارة المالية'!D52</f>
        <v>0</v>
      </c>
      <c r="E196" s="45">
        <f>+'الادارة المالية'!E52</f>
        <v>0</v>
      </c>
      <c r="F196" s="46">
        <f>'الادارة المالية'!F52</f>
        <v>0</v>
      </c>
      <c r="G196" s="46">
        <f>'الادارة المالية'!G52</f>
        <v>0</v>
      </c>
      <c r="H196" s="46">
        <f>'الادارة المالية'!H52</f>
        <v>0</v>
      </c>
      <c r="I196" s="46">
        <f>'الادارة المالية'!I52</f>
        <v>0</v>
      </c>
      <c r="J196" s="46">
        <f>'الادارة المالية'!J52</f>
        <v>0</v>
      </c>
      <c r="K196" s="46">
        <f>'الادارة المالية'!K52</f>
        <v>0</v>
      </c>
      <c r="L196" s="46">
        <f>'الادارة المالية'!L52</f>
        <v>0</v>
      </c>
      <c r="M196" s="46">
        <f>'الادارة المالية'!M52</f>
        <v>0</v>
      </c>
      <c r="N196" s="46">
        <f>'الادارة المالية'!N52</f>
        <v>0</v>
      </c>
      <c r="O196" s="46">
        <f>'الادارة المالية'!O52</f>
        <v>0</v>
      </c>
      <c r="P196" s="46">
        <f>'الادارة المالية'!P52</f>
        <v>0</v>
      </c>
      <c r="Q196" s="46">
        <f>'الادارة المالية'!Q52</f>
        <v>0</v>
      </c>
      <c r="R196" s="47">
        <f>'الادارة المالية'!R52</f>
        <v>0</v>
      </c>
      <c r="S196" s="47">
        <f>'الادارة المالية'!S52</f>
        <v>0</v>
      </c>
      <c r="T196" s="46">
        <f>'الادارة المالية'!T52</f>
        <v>0</v>
      </c>
      <c r="U196" s="46">
        <f>'الادارة المالية'!U52</f>
        <v>0</v>
      </c>
      <c r="V196" s="46">
        <f>'الادارة المالية'!V52</f>
        <v>0</v>
      </c>
      <c r="W196" s="46">
        <f>'الادارة المالية'!W52</f>
        <v>0</v>
      </c>
      <c r="X196" s="46">
        <f>'الادارة المالية'!X52</f>
        <v>0</v>
      </c>
      <c r="Y196" s="46">
        <f>'الادارة المالية'!Y52</f>
        <v>0</v>
      </c>
      <c r="Z196" s="46">
        <f>'الادارة المالية'!Z52</f>
        <v>0</v>
      </c>
      <c r="AA196" s="46">
        <f>'الادارة المالية'!AA52</f>
        <v>0</v>
      </c>
      <c r="AB196" s="46">
        <f>'الادارة المالية'!AB52</f>
        <v>0</v>
      </c>
      <c r="AC196" s="46">
        <f>'الادارة المالية'!AC52</f>
        <v>0</v>
      </c>
      <c r="AD196" s="46">
        <f>'الادارة المالية'!AD52</f>
        <v>0</v>
      </c>
      <c r="AE196" s="46">
        <f>'الادارة المالية'!AE52</f>
        <v>0</v>
      </c>
      <c r="AF196" s="46">
        <f>'الادارة المالية'!AF52</f>
        <v>0</v>
      </c>
      <c r="AG196" s="46">
        <f>'الادارة المالية'!AG52</f>
        <v>0</v>
      </c>
      <c r="AH196" s="46">
        <f>'الادارة المالية'!AH52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+'الادارة المالية'!A53</f>
        <v>0</v>
      </c>
      <c r="B200" s="44">
        <f>+'الادارة المالية'!B53</f>
        <v>0</v>
      </c>
      <c r="C200" s="45">
        <f>+'الادارة المالية'!C53</f>
        <v>0</v>
      </c>
      <c r="D200" s="45">
        <f>+'الادارة المالية'!D53</f>
        <v>0</v>
      </c>
      <c r="E200" s="45">
        <f>+'الادارة المالية'!E53</f>
        <v>0</v>
      </c>
      <c r="F200" s="46">
        <f>'الادارة المالية'!F53</f>
        <v>0</v>
      </c>
      <c r="G200" s="46">
        <f>'الادارة المالية'!G53</f>
        <v>0</v>
      </c>
      <c r="H200" s="46">
        <f>'الادارة المالية'!H53</f>
        <v>0</v>
      </c>
      <c r="I200" s="46">
        <f>'الادارة المالية'!I53</f>
        <v>0</v>
      </c>
      <c r="J200" s="46">
        <f>'الادارة المالية'!J53</f>
        <v>0</v>
      </c>
      <c r="K200" s="46">
        <f>'الادارة المالية'!K53</f>
        <v>0</v>
      </c>
      <c r="L200" s="46">
        <f>'الادارة المالية'!L53</f>
        <v>0</v>
      </c>
      <c r="M200" s="46">
        <f>'الادارة المالية'!M53</f>
        <v>0</v>
      </c>
      <c r="N200" s="46">
        <f>'الادارة المالية'!N53</f>
        <v>0</v>
      </c>
      <c r="O200" s="46">
        <f>'الادارة المالية'!O53</f>
        <v>0</v>
      </c>
      <c r="P200" s="46">
        <f>'الادارة المالية'!P53</f>
        <v>0</v>
      </c>
      <c r="Q200" s="46">
        <f>'الادارة المالية'!Q53</f>
        <v>0</v>
      </c>
      <c r="R200" s="47">
        <f>'الادارة المالية'!R53</f>
        <v>0</v>
      </c>
      <c r="S200" s="47">
        <f>'الادارة المالية'!S53</f>
        <v>0</v>
      </c>
      <c r="T200" s="46">
        <f>'الادارة المالية'!T53</f>
        <v>0</v>
      </c>
      <c r="U200" s="46">
        <f>'الادارة المالية'!U53</f>
        <v>0</v>
      </c>
      <c r="V200" s="46">
        <f>'الادارة المالية'!V53</f>
        <v>0</v>
      </c>
      <c r="W200" s="46">
        <f>'الادارة المالية'!W53</f>
        <v>0</v>
      </c>
      <c r="X200" s="46">
        <f>'الادارة المالية'!X53</f>
        <v>0</v>
      </c>
      <c r="Y200" s="46">
        <f>'الادارة المالية'!Y53</f>
        <v>0</v>
      </c>
      <c r="Z200" s="46">
        <f>'الادارة المالية'!Z53</f>
        <v>0</v>
      </c>
      <c r="AA200" s="46">
        <f>'الادارة المالية'!AA53</f>
        <v>0</v>
      </c>
      <c r="AB200" s="46">
        <f>'الادارة المالية'!AB53</f>
        <v>0</v>
      </c>
      <c r="AC200" s="46">
        <f>'الادارة المالية'!AC53</f>
        <v>0</v>
      </c>
      <c r="AD200" s="46">
        <f>'الادارة المالية'!AD53</f>
        <v>0</v>
      </c>
      <c r="AE200" s="46">
        <f>'الادارة المالية'!AE53</f>
        <v>0</v>
      </c>
      <c r="AF200" s="46">
        <f>'الادارة المالية'!AF53</f>
        <v>0</v>
      </c>
      <c r="AG200" s="46">
        <f>'الادارة المالية'!AG53</f>
        <v>0</v>
      </c>
      <c r="AH200" s="46">
        <f>'الادارة المالية'!AH53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+'الادارة المالية'!A54</f>
        <v>0</v>
      </c>
      <c r="B204" s="44">
        <f>+'الادارة المالية'!B54</f>
        <v>0</v>
      </c>
      <c r="C204" s="45">
        <f>+'الادارة المالية'!C54</f>
        <v>0</v>
      </c>
      <c r="D204" s="45">
        <f>+'الادارة المالية'!D54</f>
        <v>0</v>
      </c>
      <c r="E204" s="45">
        <f>+'الادارة المالية'!E54</f>
        <v>0</v>
      </c>
      <c r="F204" s="46">
        <f>'الادارة المالية'!F54</f>
        <v>0</v>
      </c>
      <c r="G204" s="46">
        <f>'الادارة المالية'!G54</f>
        <v>0</v>
      </c>
      <c r="H204" s="46">
        <f>'الادارة المالية'!H54</f>
        <v>0</v>
      </c>
      <c r="I204" s="46">
        <f>'الادارة المالية'!I54</f>
        <v>0</v>
      </c>
      <c r="J204" s="46">
        <f>'الادارة المالية'!J54</f>
        <v>0</v>
      </c>
      <c r="K204" s="46">
        <f>'الادارة المالية'!K54</f>
        <v>0</v>
      </c>
      <c r="L204" s="46">
        <f>'الادارة المالية'!L54</f>
        <v>0</v>
      </c>
      <c r="M204" s="46">
        <f>'الادارة المالية'!M54</f>
        <v>0</v>
      </c>
      <c r="N204" s="46">
        <f>'الادارة المالية'!N54</f>
        <v>0</v>
      </c>
      <c r="O204" s="46">
        <f>'الادارة المالية'!O54</f>
        <v>0</v>
      </c>
      <c r="P204" s="46">
        <f>'الادارة المالية'!P54</f>
        <v>0</v>
      </c>
      <c r="Q204" s="46">
        <f>'الادارة المالية'!Q54</f>
        <v>0</v>
      </c>
      <c r="R204" s="47">
        <f>'الادارة المالية'!R54</f>
        <v>0</v>
      </c>
      <c r="S204" s="47">
        <f>'الادارة المالية'!S54</f>
        <v>0</v>
      </c>
      <c r="T204" s="46">
        <f>'الادارة المالية'!T54</f>
        <v>0</v>
      </c>
      <c r="U204" s="46">
        <f>'الادارة المالية'!U54</f>
        <v>0</v>
      </c>
      <c r="V204" s="46">
        <f>'الادارة المالية'!V54</f>
        <v>0</v>
      </c>
      <c r="W204" s="46">
        <f>'الادارة المالية'!W54</f>
        <v>0</v>
      </c>
      <c r="X204" s="46">
        <f>'الادارة المالية'!X54</f>
        <v>0</v>
      </c>
      <c r="Y204" s="46">
        <f>'الادارة المالية'!Y54</f>
        <v>0</v>
      </c>
      <c r="Z204" s="46">
        <f>'الادارة المالية'!Z54</f>
        <v>0</v>
      </c>
      <c r="AA204" s="46">
        <f>'الادارة المالية'!AA54</f>
        <v>0</v>
      </c>
      <c r="AB204" s="46">
        <f>'الادارة المالية'!AB54</f>
        <v>0</v>
      </c>
      <c r="AC204" s="46">
        <f>'الادارة المالية'!AC54</f>
        <v>0</v>
      </c>
      <c r="AD204" s="46">
        <f>'الادارة المالية'!AD54</f>
        <v>0</v>
      </c>
      <c r="AE204" s="46">
        <f>'الادارة المالية'!AE54</f>
        <v>0</v>
      </c>
      <c r="AF204" s="46">
        <f>'الادارة المالية'!AF54</f>
        <v>0</v>
      </c>
      <c r="AG204" s="46">
        <f>'الادارة المالية'!AG54</f>
        <v>0</v>
      </c>
      <c r="AH204" s="46">
        <f>'الادارة المالية'!AH54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+'الادارة المالية'!A55</f>
        <v>0</v>
      </c>
      <c r="B208" s="44">
        <f>+'الادارة المالية'!B55</f>
        <v>0</v>
      </c>
      <c r="C208" s="45">
        <f>+'الادارة المالية'!C55</f>
        <v>0</v>
      </c>
      <c r="D208" s="45">
        <f>+'الادارة المالية'!D55</f>
        <v>0</v>
      </c>
      <c r="E208" s="45">
        <f>+'الادارة المالية'!E55</f>
        <v>0</v>
      </c>
      <c r="F208" s="46">
        <f>'الادارة المالية'!F55</f>
        <v>0</v>
      </c>
      <c r="G208" s="46">
        <f>'الادارة المالية'!G55</f>
        <v>0</v>
      </c>
      <c r="H208" s="46">
        <f>'الادارة المالية'!H55</f>
        <v>0</v>
      </c>
      <c r="I208" s="46">
        <f>'الادارة المالية'!I55</f>
        <v>0</v>
      </c>
      <c r="J208" s="46">
        <f>'الادارة المالية'!J55</f>
        <v>0</v>
      </c>
      <c r="K208" s="46">
        <f>'الادارة المالية'!K55</f>
        <v>0</v>
      </c>
      <c r="L208" s="46">
        <f>'الادارة المالية'!L55</f>
        <v>0</v>
      </c>
      <c r="M208" s="46">
        <f>'الادارة المالية'!M55</f>
        <v>0</v>
      </c>
      <c r="N208" s="46">
        <f>'الادارة المالية'!N55</f>
        <v>0</v>
      </c>
      <c r="O208" s="46">
        <f>'الادارة المالية'!O55</f>
        <v>0</v>
      </c>
      <c r="P208" s="46">
        <f>'الادارة المالية'!P55</f>
        <v>0</v>
      </c>
      <c r="Q208" s="46">
        <f>'الادارة المالية'!Q55</f>
        <v>0</v>
      </c>
      <c r="R208" s="47">
        <f>'الادارة المالية'!R55</f>
        <v>0</v>
      </c>
      <c r="S208" s="47">
        <f>'الادارة المالية'!S55</f>
        <v>0</v>
      </c>
      <c r="T208" s="46">
        <f>'الادارة المالية'!T55</f>
        <v>0</v>
      </c>
      <c r="U208" s="46">
        <f>'الادارة المالية'!U55</f>
        <v>0</v>
      </c>
      <c r="V208" s="46">
        <f>'الادارة المالية'!V55</f>
        <v>0</v>
      </c>
      <c r="W208" s="46">
        <f>'الادارة المالية'!W55</f>
        <v>0</v>
      </c>
      <c r="X208" s="46">
        <f>'الادارة المالية'!X55</f>
        <v>0</v>
      </c>
      <c r="Y208" s="46">
        <f>'الادارة المالية'!Y55</f>
        <v>0</v>
      </c>
      <c r="Z208" s="46">
        <f>'الادارة المالية'!Z55</f>
        <v>0</v>
      </c>
      <c r="AA208" s="46">
        <f>'الادارة المالية'!AA55</f>
        <v>0</v>
      </c>
      <c r="AB208" s="46">
        <f>'الادارة المالية'!AB55</f>
        <v>0</v>
      </c>
      <c r="AC208" s="46">
        <f>'الادارة المالية'!AC55</f>
        <v>0</v>
      </c>
      <c r="AD208" s="46">
        <f>'الادارة المالية'!AD55</f>
        <v>0</v>
      </c>
      <c r="AE208" s="46">
        <f>'الادارة المالية'!AE55</f>
        <v>0</v>
      </c>
      <c r="AF208" s="46">
        <f>'الادارة المالية'!AF55</f>
        <v>0</v>
      </c>
      <c r="AG208" s="46">
        <f>'الادارة المالية'!AG55</f>
        <v>0</v>
      </c>
      <c r="AH208" s="46">
        <f>'الادارة المالية'!AH55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+'الادارة المالية'!A56</f>
        <v>0</v>
      </c>
      <c r="B212" s="44">
        <f>+'الادارة المالية'!B56</f>
        <v>0</v>
      </c>
      <c r="C212" s="45">
        <f>+'الادارة المالية'!C56</f>
        <v>0</v>
      </c>
      <c r="D212" s="45">
        <f>+'الادارة المالية'!D56</f>
        <v>0</v>
      </c>
      <c r="E212" s="45">
        <f>+'الادارة المالية'!E56</f>
        <v>0</v>
      </c>
      <c r="F212" s="46">
        <f>'الادارة المالية'!F56</f>
        <v>0</v>
      </c>
      <c r="G212" s="46">
        <f>'الادارة المالية'!G56</f>
        <v>0</v>
      </c>
      <c r="H212" s="46">
        <f>'الادارة المالية'!H56</f>
        <v>0</v>
      </c>
      <c r="I212" s="46">
        <f>'الادارة المالية'!I56</f>
        <v>0</v>
      </c>
      <c r="J212" s="46">
        <f>'الادارة المالية'!J56</f>
        <v>0</v>
      </c>
      <c r="K212" s="46">
        <f>'الادارة المالية'!K56</f>
        <v>0</v>
      </c>
      <c r="L212" s="46">
        <f>'الادارة المالية'!L56</f>
        <v>0</v>
      </c>
      <c r="M212" s="46">
        <f>'الادارة المالية'!M56</f>
        <v>0</v>
      </c>
      <c r="N212" s="46">
        <f>'الادارة المالية'!N56</f>
        <v>0</v>
      </c>
      <c r="O212" s="46">
        <f>'الادارة المالية'!O56</f>
        <v>0</v>
      </c>
      <c r="P212" s="46">
        <f>'الادارة المالية'!P56</f>
        <v>0</v>
      </c>
      <c r="Q212" s="46">
        <f>'الادارة المالية'!Q56</f>
        <v>0</v>
      </c>
      <c r="R212" s="47">
        <f>'الادارة المالية'!R56</f>
        <v>0</v>
      </c>
      <c r="S212" s="47"/>
      <c r="T212" s="46">
        <f>'الادارة المالية'!T56</f>
        <v>0</v>
      </c>
      <c r="U212" s="46">
        <f>'الادارة المالية'!U56</f>
        <v>0</v>
      </c>
      <c r="V212" s="46">
        <f>'الادارة المالية'!V56</f>
        <v>0</v>
      </c>
      <c r="W212" s="46">
        <f>'الادارة المالية'!W56</f>
        <v>0</v>
      </c>
      <c r="X212" s="46">
        <f>'الادارة المالية'!X56</f>
        <v>0</v>
      </c>
      <c r="Y212" s="46">
        <f>'الادارة المالية'!Y56</f>
        <v>0</v>
      </c>
      <c r="Z212" s="46">
        <f>'الادارة المالية'!Z56</f>
        <v>0</v>
      </c>
      <c r="AA212" s="46">
        <f>'الادارة المالية'!AA56</f>
        <v>0</v>
      </c>
      <c r="AB212" s="46">
        <f>'الادارة المالية'!AB56</f>
        <v>0</v>
      </c>
      <c r="AC212" s="46">
        <f>'الادارة المالية'!AC56</f>
        <v>0</v>
      </c>
      <c r="AD212" s="46">
        <f>'الادارة المالية'!AD56</f>
        <v>0</v>
      </c>
      <c r="AE212" s="46">
        <f>'الادارة المالية'!AE56</f>
        <v>0</v>
      </c>
      <c r="AF212" s="46">
        <f>'الادارة المالية'!AF56</f>
        <v>0</v>
      </c>
      <c r="AG212" s="46">
        <f>'الادارة المالية'!AG56</f>
        <v>0</v>
      </c>
      <c r="AH212" s="46">
        <f>'الادارة المالية'!AH56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+'الادارة المالية'!A57</f>
        <v>0</v>
      </c>
      <c r="B216" s="44">
        <f>+'الادارة المالية'!B57</f>
        <v>0</v>
      </c>
      <c r="C216" s="45">
        <f>+'الادارة المالية'!C57</f>
        <v>0</v>
      </c>
      <c r="D216" s="45">
        <f>+'الادارة المالية'!D57</f>
        <v>0</v>
      </c>
      <c r="E216" s="45">
        <f>+'الادارة المالية'!E57</f>
        <v>0</v>
      </c>
      <c r="F216" s="46">
        <f>'الادارة المالية'!F57</f>
        <v>0</v>
      </c>
      <c r="G216" s="46">
        <f>'الادارة المالية'!G57</f>
        <v>0</v>
      </c>
      <c r="H216" s="46">
        <f>'الادارة المالية'!H57</f>
        <v>0</v>
      </c>
      <c r="I216" s="46">
        <f>'الادارة المالية'!I57</f>
        <v>0</v>
      </c>
      <c r="J216" s="46">
        <f>'الادارة المالية'!J57</f>
        <v>0</v>
      </c>
      <c r="K216" s="46">
        <f>'الادارة المالية'!K57</f>
        <v>0</v>
      </c>
      <c r="L216" s="46">
        <f>'الادارة المالية'!L57</f>
        <v>0</v>
      </c>
      <c r="M216" s="46">
        <f>'الادارة المالية'!M57</f>
        <v>0</v>
      </c>
      <c r="N216" s="46">
        <f>'الادارة المالية'!N57</f>
        <v>0</v>
      </c>
      <c r="O216" s="46">
        <f>'الادارة المالية'!O57</f>
        <v>0</v>
      </c>
      <c r="P216" s="46">
        <f>'الادارة المالية'!P57</f>
        <v>0</v>
      </c>
      <c r="Q216" s="46">
        <f>'الادارة المالية'!Q57</f>
        <v>0</v>
      </c>
      <c r="R216" s="47">
        <f>'الادارة المالية'!R57</f>
        <v>0</v>
      </c>
      <c r="S216" s="47">
        <f>'الادارة المالية'!S57</f>
        <v>0</v>
      </c>
      <c r="T216" s="46">
        <f>'الادارة المالية'!T57</f>
        <v>0</v>
      </c>
      <c r="U216" s="46">
        <f>'الادارة المالية'!U57</f>
        <v>0</v>
      </c>
      <c r="V216" s="46">
        <f>'الادارة المالية'!V57</f>
        <v>0</v>
      </c>
      <c r="W216" s="46">
        <f>'الادارة المالية'!W57</f>
        <v>0</v>
      </c>
      <c r="X216" s="46">
        <f>'الادارة المالية'!X57</f>
        <v>0</v>
      </c>
      <c r="Y216" s="46">
        <f>'الادارة المالية'!Y57</f>
        <v>0</v>
      </c>
      <c r="Z216" s="46">
        <f>'الادارة المالية'!Z57</f>
        <v>0</v>
      </c>
      <c r="AA216" s="46">
        <f>'الادارة المالية'!AA57</f>
        <v>0</v>
      </c>
      <c r="AB216" s="46">
        <f>'الادارة المالية'!AB57</f>
        <v>0</v>
      </c>
      <c r="AC216" s="46">
        <f>'الادارة المالية'!AC57</f>
        <v>0</v>
      </c>
      <c r="AD216" s="46">
        <f>'الادارة المالية'!AD57</f>
        <v>0</v>
      </c>
      <c r="AE216" s="46">
        <f>'الادارة المالية'!AE57</f>
        <v>0</v>
      </c>
      <c r="AF216" s="46">
        <f>'الادارة المالية'!AF57</f>
        <v>0</v>
      </c>
      <c r="AG216" s="46">
        <f>'الادارة المالية'!AG57</f>
        <v>0</v>
      </c>
      <c r="AH216" s="46">
        <f>'الادارة المالية'!AH57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+'الادارة المالية'!A58</f>
        <v>0</v>
      </c>
      <c r="B220" s="44">
        <f>+'الادارة المالية'!B58</f>
        <v>0</v>
      </c>
      <c r="C220" s="45">
        <f>+'الادارة المالية'!C58</f>
        <v>0</v>
      </c>
      <c r="D220" s="45">
        <f>+'الادارة المالية'!D58</f>
        <v>0</v>
      </c>
      <c r="E220" s="45">
        <f>+'الادارة المالية'!E58</f>
        <v>0</v>
      </c>
      <c r="F220" s="46">
        <f>'الادارة المالية'!F58</f>
        <v>0</v>
      </c>
      <c r="G220" s="46">
        <f>'الادارة المالية'!G58</f>
        <v>0</v>
      </c>
      <c r="H220" s="46">
        <f>'الادارة المالية'!H58</f>
        <v>0</v>
      </c>
      <c r="I220" s="46">
        <f>'الادارة المالية'!I58</f>
        <v>0</v>
      </c>
      <c r="J220" s="46">
        <f>'الادارة المالية'!J58</f>
        <v>0</v>
      </c>
      <c r="K220" s="46">
        <f>'الادارة المالية'!K58</f>
        <v>0</v>
      </c>
      <c r="L220" s="46">
        <f>'الادارة المالية'!L58</f>
        <v>0</v>
      </c>
      <c r="M220" s="46">
        <f>'الادارة المالية'!M58</f>
        <v>0</v>
      </c>
      <c r="N220" s="46">
        <f>'الادارة المالية'!N58</f>
        <v>0</v>
      </c>
      <c r="O220" s="46">
        <f>'الادارة المالية'!O58</f>
        <v>0</v>
      </c>
      <c r="P220" s="46">
        <f>'الادارة المالية'!P58</f>
        <v>0</v>
      </c>
      <c r="Q220" s="46">
        <f>'الادارة المالية'!Q58</f>
        <v>0</v>
      </c>
      <c r="R220" s="47">
        <f>'الادارة المالية'!R58</f>
        <v>0</v>
      </c>
      <c r="S220" s="47">
        <f>'الادارة المالية'!S58</f>
        <v>0</v>
      </c>
      <c r="T220" s="46">
        <f>'الادارة المالية'!T58</f>
        <v>0</v>
      </c>
      <c r="U220" s="46">
        <f>'الادارة المالية'!U58</f>
        <v>0</v>
      </c>
      <c r="V220" s="46">
        <f>'الادارة المالية'!V58</f>
        <v>0</v>
      </c>
      <c r="W220" s="46">
        <f>'الادارة المالية'!W58</f>
        <v>0</v>
      </c>
      <c r="X220" s="46">
        <f>'الادارة المالية'!X58</f>
        <v>0</v>
      </c>
      <c r="Y220" s="46">
        <f>'الادارة المالية'!Y58</f>
        <v>0</v>
      </c>
      <c r="Z220" s="46">
        <f>'الادارة المالية'!Z58</f>
        <v>0</v>
      </c>
      <c r="AA220" s="46">
        <f>'الادارة المالية'!AA58</f>
        <v>0</v>
      </c>
      <c r="AB220" s="46">
        <f>'الادارة المالية'!AB58</f>
        <v>0</v>
      </c>
      <c r="AC220" s="46">
        <f>'الادارة المالية'!AC58</f>
        <v>0</v>
      </c>
      <c r="AD220" s="46">
        <f>'الادارة المالية'!AD58</f>
        <v>0</v>
      </c>
      <c r="AE220" s="46">
        <f>'الادارة المالية'!AE58</f>
        <v>0</v>
      </c>
      <c r="AF220" s="46">
        <f>'الادارة المالية'!AF58</f>
        <v>0</v>
      </c>
      <c r="AG220" s="46">
        <f>'الادارة المالية'!AG58</f>
        <v>0</v>
      </c>
      <c r="AH220" s="46">
        <f>'الادارة المالية'!AH58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+'الادارة المالية'!A59</f>
        <v>0</v>
      </c>
      <c r="B224" s="44">
        <f>+'الادارة المالية'!B59</f>
        <v>0</v>
      </c>
      <c r="C224" s="45">
        <f>+'الادارة المالية'!C59</f>
        <v>0</v>
      </c>
      <c r="D224" s="45">
        <f>+'الادارة المالية'!D59</f>
        <v>0</v>
      </c>
      <c r="E224" s="45">
        <f>+'الادارة المالية'!E59</f>
        <v>0</v>
      </c>
      <c r="F224" s="46">
        <f>'الادارة المالية'!F59</f>
        <v>0</v>
      </c>
      <c r="G224" s="46">
        <f>'الادارة المالية'!G59</f>
        <v>0</v>
      </c>
      <c r="H224" s="46">
        <f>'الادارة المالية'!H59</f>
        <v>0</v>
      </c>
      <c r="I224" s="46">
        <f>'الادارة المالية'!I59</f>
        <v>0</v>
      </c>
      <c r="J224" s="46">
        <f>'الادارة المالية'!J59</f>
        <v>0</v>
      </c>
      <c r="K224" s="46">
        <f>'الادارة المالية'!K59</f>
        <v>0</v>
      </c>
      <c r="L224" s="46">
        <f>'الادارة المالية'!L59</f>
        <v>0</v>
      </c>
      <c r="M224" s="46">
        <f>'الادارة المالية'!M59</f>
        <v>0</v>
      </c>
      <c r="N224" s="46">
        <f>'الادارة المالية'!N59</f>
        <v>0</v>
      </c>
      <c r="O224" s="46">
        <f>'الادارة المالية'!O59</f>
        <v>0</v>
      </c>
      <c r="P224" s="46">
        <f>'الادارة المالية'!P59</f>
        <v>0</v>
      </c>
      <c r="Q224" s="46">
        <f>'الادارة المالية'!Q59</f>
        <v>0</v>
      </c>
      <c r="R224" s="47">
        <f>'الادارة المالية'!R59</f>
        <v>0</v>
      </c>
      <c r="S224" s="47"/>
      <c r="T224" s="46">
        <f>'الادارة المالية'!T59</f>
        <v>0</v>
      </c>
      <c r="U224" s="46">
        <f>'الادارة المالية'!U59</f>
        <v>0</v>
      </c>
      <c r="V224" s="46">
        <f>'الادارة المالية'!V59</f>
        <v>0</v>
      </c>
      <c r="W224" s="46">
        <f>'الادارة المالية'!W59</f>
        <v>0</v>
      </c>
      <c r="X224" s="46">
        <f>'الادارة المالية'!X59</f>
        <v>0</v>
      </c>
      <c r="Y224" s="46">
        <f>'الادارة المالية'!Y59</f>
        <v>0</v>
      </c>
      <c r="Z224" s="46">
        <f>'الادارة المالية'!Z59</f>
        <v>0</v>
      </c>
      <c r="AA224" s="46">
        <f>'الادارة المالية'!AA59</f>
        <v>0</v>
      </c>
      <c r="AB224" s="46">
        <f>'الادارة المالية'!AB59</f>
        <v>0</v>
      </c>
      <c r="AC224" s="46">
        <f>'الادارة المالية'!AC59</f>
        <v>0</v>
      </c>
      <c r="AD224" s="46">
        <f>'الادارة المالية'!AD59</f>
        <v>0</v>
      </c>
      <c r="AE224" s="46">
        <f>'الادارة المالية'!AE59</f>
        <v>0</v>
      </c>
      <c r="AF224" s="46">
        <f>'الادارة المالية'!AF59</f>
        <v>0</v>
      </c>
      <c r="AG224" s="46">
        <f>'الادارة المالية'!AG59</f>
        <v>0</v>
      </c>
      <c r="AH224" s="46">
        <f>'الادارة المالية'!AH59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+'الادارة المالية'!A60</f>
        <v>0</v>
      </c>
      <c r="B228" s="44">
        <f>+'الادارة المالية'!B60</f>
        <v>0</v>
      </c>
      <c r="C228" s="45">
        <f>+'الادارة المالية'!C60</f>
        <v>0</v>
      </c>
      <c r="D228" s="45">
        <f>+'الادارة المالية'!D60</f>
        <v>0</v>
      </c>
      <c r="E228" s="45">
        <f>+'الادارة المالية'!E60</f>
        <v>0</v>
      </c>
      <c r="F228" s="46">
        <f>'الادارة المالية'!F60</f>
        <v>0</v>
      </c>
      <c r="G228" s="46">
        <f>'الادارة المالية'!G60</f>
        <v>0</v>
      </c>
      <c r="H228" s="46">
        <f>'الادارة المالية'!H60</f>
        <v>0</v>
      </c>
      <c r="I228" s="46">
        <f>'الادارة المالية'!I60</f>
        <v>0</v>
      </c>
      <c r="J228" s="46">
        <f>'الادارة المالية'!J60</f>
        <v>0</v>
      </c>
      <c r="K228" s="46">
        <f>'الادارة المالية'!K60</f>
        <v>0</v>
      </c>
      <c r="L228" s="46">
        <f>'الادارة المالية'!L60</f>
        <v>0</v>
      </c>
      <c r="M228" s="46">
        <f>'الادارة المالية'!M60</f>
        <v>0</v>
      </c>
      <c r="N228" s="46">
        <f>'الادارة المالية'!N60</f>
        <v>0</v>
      </c>
      <c r="O228" s="46">
        <f>'الادارة المالية'!O60</f>
        <v>0</v>
      </c>
      <c r="P228" s="46">
        <f>'الادارة المالية'!P60</f>
        <v>0</v>
      </c>
      <c r="Q228" s="46">
        <f>'الادارة المالية'!Q60</f>
        <v>0</v>
      </c>
      <c r="R228" s="47">
        <f>'الادارة المالية'!R60</f>
        <v>0</v>
      </c>
      <c r="S228" s="47">
        <f>'الادارة المالية'!S60</f>
        <v>0</v>
      </c>
      <c r="T228" s="46">
        <f>'الادارة المالية'!T60</f>
        <v>0</v>
      </c>
      <c r="U228" s="46">
        <f>'الادارة المالية'!U60</f>
        <v>0</v>
      </c>
      <c r="V228" s="46">
        <f>'الادارة المالية'!V60</f>
        <v>0</v>
      </c>
      <c r="W228" s="46">
        <f>'الادارة المالية'!W60</f>
        <v>0</v>
      </c>
      <c r="X228" s="46">
        <f>'الادارة المالية'!X60</f>
        <v>0</v>
      </c>
      <c r="Y228" s="46">
        <f>'الادارة المالية'!Y60</f>
        <v>0</v>
      </c>
      <c r="Z228" s="46">
        <f>'الادارة المالية'!Z60</f>
        <v>0</v>
      </c>
      <c r="AA228" s="46">
        <f>'الادارة المالية'!AA60</f>
        <v>0</v>
      </c>
      <c r="AB228" s="46">
        <f>'الادارة المالية'!AB60</f>
        <v>0</v>
      </c>
      <c r="AC228" s="46">
        <f>'الادارة المالية'!AC60</f>
        <v>0</v>
      </c>
      <c r="AD228" s="46">
        <f>'الادارة المالية'!AD60</f>
        <v>0</v>
      </c>
      <c r="AE228" s="46">
        <f>'الادارة المالية'!AE60</f>
        <v>0</v>
      </c>
      <c r="AF228" s="46">
        <f>'الادارة المالية'!AF60</f>
        <v>0</v>
      </c>
      <c r="AG228" s="46">
        <f>'الادارة المالية'!AG60</f>
        <v>0</v>
      </c>
      <c r="AH228" s="46">
        <f>'الادارة المالية'!AH60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+'الادارة المالية'!A61</f>
        <v>0</v>
      </c>
      <c r="B232" s="44">
        <f>+'الادارة المالية'!B61</f>
        <v>0</v>
      </c>
      <c r="C232" s="45">
        <f>+'الادارة المالية'!C61</f>
        <v>0</v>
      </c>
      <c r="D232" s="45">
        <f>+'الادارة المالية'!D61</f>
        <v>0</v>
      </c>
      <c r="E232" s="45">
        <f>+'الادارة المالية'!E61</f>
        <v>0</v>
      </c>
      <c r="F232" s="46">
        <f>'الادارة المالية'!F61</f>
        <v>0</v>
      </c>
      <c r="G232" s="46">
        <f>'الادارة المالية'!G61</f>
        <v>0</v>
      </c>
      <c r="H232" s="46">
        <f>'الادارة المالية'!H61</f>
        <v>0</v>
      </c>
      <c r="I232" s="46">
        <f>'الادارة المالية'!I61</f>
        <v>0</v>
      </c>
      <c r="J232" s="46">
        <f>'الادارة المالية'!J61</f>
        <v>0</v>
      </c>
      <c r="K232" s="46">
        <f>'الادارة المالية'!K61</f>
        <v>0</v>
      </c>
      <c r="L232" s="46">
        <f>'الادارة المالية'!L61</f>
        <v>0</v>
      </c>
      <c r="M232" s="46">
        <f>'الادارة المالية'!M61</f>
        <v>0</v>
      </c>
      <c r="N232" s="46">
        <f>'الادارة المالية'!N61</f>
        <v>0</v>
      </c>
      <c r="O232" s="46">
        <f>'الادارة المالية'!O61</f>
        <v>0</v>
      </c>
      <c r="P232" s="46">
        <f>'الادارة المالية'!P61</f>
        <v>0</v>
      </c>
      <c r="Q232" s="46">
        <f>'الادارة المالية'!Q61</f>
        <v>0</v>
      </c>
      <c r="R232" s="47">
        <f>'الادارة المالية'!R61</f>
        <v>0</v>
      </c>
      <c r="S232" s="47">
        <f>'الادارة المالية'!S61</f>
        <v>0</v>
      </c>
      <c r="T232" s="46">
        <f>'الادارة المالية'!T61</f>
        <v>0</v>
      </c>
      <c r="U232" s="46">
        <f>'الادارة المالية'!U61</f>
        <v>0</v>
      </c>
      <c r="V232" s="46">
        <f>'الادارة المالية'!V61</f>
        <v>0</v>
      </c>
      <c r="W232" s="46">
        <f>'الادارة المالية'!W61</f>
        <v>0</v>
      </c>
      <c r="X232" s="46">
        <f>'الادارة المالية'!X61</f>
        <v>0</v>
      </c>
      <c r="Y232" s="46">
        <f>'الادارة المالية'!Y61</f>
        <v>0</v>
      </c>
      <c r="Z232" s="46">
        <f>'الادارة المالية'!Z61</f>
        <v>0</v>
      </c>
      <c r="AA232" s="46">
        <f>'الادارة المالية'!AA61</f>
        <v>0</v>
      </c>
      <c r="AB232" s="46">
        <f>'الادارة المالية'!AB61</f>
        <v>0</v>
      </c>
      <c r="AC232" s="46">
        <f>'الادارة المالية'!AC61</f>
        <v>0</v>
      </c>
      <c r="AD232" s="46">
        <f>'الادارة المالية'!AD61</f>
        <v>0</v>
      </c>
      <c r="AE232" s="46">
        <f>'الادارة المالية'!AE61</f>
        <v>0</v>
      </c>
      <c r="AF232" s="46">
        <f>'الادارة المالية'!AF61</f>
        <v>0</v>
      </c>
      <c r="AG232" s="46">
        <f>'الادارة المالية'!AG61</f>
        <v>0</v>
      </c>
      <c r="AH232" s="46">
        <f>'الادارة المالية'!AH61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+'الادارة المالية'!A62</f>
        <v>0</v>
      </c>
      <c r="B236" s="44">
        <f>+'الادارة المالية'!B62</f>
        <v>0</v>
      </c>
      <c r="C236" s="45">
        <f>+'الادارة المالية'!C62</f>
        <v>0</v>
      </c>
      <c r="D236" s="45">
        <f>+'الادارة المالية'!D62</f>
        <v>0</v>
      </c>
      <c r="E236" s="45">
        <f>+'الادارة المالية'!E62</f>
        <v>0</v>
      </c>
      <c r="F236" s="46">
        <f>'الادارة المالية'!F62</f>
        <v>0</v>
      </c>
      <c r="G236" s="46">
        <f>'الادارة المالية'!G62</f>
        <v>0</v>
      </c>
      <c r="H236" s="46">
        <f>'الادارة المالية'!H62</f>
        <v>0</v>
      </c>
      <c r="I236" s="46">
        <f>'الادارة المالية'!I62</f>
        <v>0</v>
      </c>
      <c r="J236" s="46">
        <f>'الادارة المالية'!J62</f>
        <v>0</v>
      </c>
      <c r="K236" s="46">
        <f>'الادارة المالية'!K62</f>
        <v>0</v>
      </c>
      <c r="L236" s="46">
        <f>'الادارة المالية'!L62</f>
        <v>0</v>
      </c>
      <c r="M236" s="46">
        <f>'الادارة المالية'!M62</f>
        <v>0</v>
      </c>
      <c r="N236" s="46">
        <f>'الادارة المالية'!N62</f>
        <v>0</v>
      </c>
      <c r="O236" s="46">
        <f>'الادارة المالية'!O62</f>
        <v>0</v>
      </c>
      <c r="P236" s="46">
        <f>'الادارة المالية'!P62</f>
        <v>0</v>
      </c>
      <c r="Q236" s="46">
        <f>'الادارة المالية'!Q62</f>
        <v>0</v>
      </c>
      <c r="R236" s="47">
        <f>'الادارة المالية'!R62</f>
        <v>0</v>
      </c>
      <c r="S236" s="47">
        <f>'الادارة المالية'!S62</f>
        <v>0</v>
      </c>
      <c r="T236" s="46">
        <f>'الادارة المالية'!T62</f>
        <v>0</v>
      </c>
      <c r="U236" s="46">
        <f>'الادارة المالية'!U62</f>
        <v>0</v>
      </c>
      <c r="V236" s="46">
        <f>'الادارة المالية'!V62</f>
        <v>0</v>
      </c>
      <c r="W236" s="46">
        <f>'الادارة المالية'!W62</f>
        <v>0</v>
      </c>
      <c r="X236" s="46">
        <f>'الادارة المالية'!X62</f>
        <v>0</v>
      </c>
      <c r="Y236" s="46">
        <f>'الادارة المالية'!Y62</f>
        <v>0</v>
      </c>
      <c r="Z236" s="46">
        <f>'الادارة المالية'!Z62</f>
        <v>0</v>
      </c>
      <c r="AA236" s="46">
        <f>'الادارة المالية'!AA62</f>
        <v>0</v>
      </c>
      <c r="AB236" s="46">
        <f>'الادارة المالية'!AB62</f>
        <v>0</v>
      </c>
      <c r="AC236" s="46">
        <f>'الادارة المالية'!AC62</f>
        <v>0</v>
      </c>
      <c r="AD236" s="46">
        <f>'الادارة المالية'!AD62</f>
        <v>0</v>
      </c>
      <c r="AE236" s="46">
        <f>'الادارة المالية'!AE62</f>
        <v>0</v>
      </c>
      <c r="AF236" s="46">
        <f>'الادارة المالية'!AF62</f>
        <v>0</v>
      </c>
      <c r="AG236" s="46">
        <f>'الادارة المالية'!AG62</f>
        <v>0</v>
      </c>
      <c r="AH236" s="46">
        <f>'الادارة المالية'!AH62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+'الادارة المالية'!A63</f>
        <v>0</v>
      </c>
      <c r="B240" s="44">
        <f>+'الادارة المالية'!B63</f>
        <v>0</v>
      </c>
      <c r="C240" s="45">
        <f>+'الادارة المالية'!C63</f>
        <v>0</v>
      </c>
      <c r="D240" s="45">
        <f>+'الادارة المالية'!D63</f>
        <v>0</v>
      </c>
      <c r="E240" s="45">
        <f>+'الادارة المالية'!E63</f>
        <v>0</v>
      </c>
      <c r="F240" s="46">
        <f>'الادارة المالية'!F63</f>
        <v>0</v>
      </c>
      <c r="G240" s="46">
        <f>'الادارة المالية'!G63</f>
        <v>0</v>
      </c>
      <c r="H240" s="46">
        <f>'الادارة المالية'!H63</f>
        <v>0</v>
      </c>
      <c r="I240" s="46">
        <f>'الادارة المالية'!I63</f>
        <v>0</v>
      </c>
      <c r="J240" s="46">
        <f>'الادارة المالية'!J63</f>
        <v>0</v>
      </c>
      <c r="K240" s="46">
        <f>'الادارة المالية'!K63</f>
        <v>0</v>
      </c>
      <c r="L240" s="46">
        <f>'الادارة المالية'!L63</f>
        <v>0</v>
      </c>
      <c r="M240" s="46">
        <f>'الادارة المالية'!M63</f>
        <v>0</v>
      </c>
      <c r="N240" s="46">
        <f>'الادارة المالية'!N63</f>
        <v>0</v>
      </c>
      <c r="O240" s="46">
        <f>'الادارة المالية'!O63</f>
        <v>0</v>
      </c>
      <c r="P240" s="46">
        <f>'الادارة المالية'!P63</f>
        <v>0</v>
      </c>
      <c r="Q240" s="46">
        <f>'الادارة المالية'!Q63</f>
        <v>0</v>
      </c>
      <c r="R240" s="47">
        <f>'الادارة المالية'!R63</f>
        <v>0</v>
      </c>
      <c r="S240" s="47">
        <f>'الادارة المالية'!S63</f>
        <v>0</v>
      </c>
      <c r="T240" s="46">
        <f>'الادارة المالية'!T63</f>
        <v>0</v>
      </c>
      <c r="U240" s="46">
        <f>'الادارة المالية'!U63</f>
        <v>0</v>
      </c>
      <c r="V240" s="46">
        <f>'الادارة المالية'!V63</f>
        <v>0</v>
      </c>
      <c r="W240" s="46">
        <f>'الادارة المالية'!W63</f>
        <v>0</v>
      </c>
      <c r="X240" s="46">
        <f>'الادارة المالية'!X63</f>
        <v>0</v>
      </c>
      <c r="Y240" s="46">
        <f>'الادارة المالية'!Y63</f>
        <v>0</v>
      </c>
      <c r="Z240" s="46">
        <f>'الادارة المالية'!Z63</f>
        <v>0</v>
      </c>
      <c r="AA240" s="46">
        <f>'الادارة المالية'!AA63</f>
        <v>0</v>
      </c>
      <c r="AB240" s="46">
        <f>'الادارة المالية'!AB63</f>
        <v>0</v>
      </c>
      <c r="AC240" s="46">
        <f>'الادارة المالية'!AC63</f>
        <v>0</v>
      </c>
      <c r="AD240" s="46">
        <f>'الادارة المالية'!AD63</f>
        <v>0</v>
      </c>
      <c r="AE240" s="46">
        <f>'الادارة المالية'!AE63</f>
        <v>0</v>
      </c>
      <c r="AF240" s="46">
        <f>'الادارة المالية'!AF63</f>
        <v>0</v>
      </c>
      <c r="AG240" s="46">
        <f>'الادارة المالية'!AG63</f>
        <v>0</v>
      </c>
      <c r="AH240" s="46">
        <f>'الادارة المالية'!AH63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+'الادارة المالية'!A64</f>
        <v>0</v>
      </c>
      <c r="B244" s="44">
        <f>+'الادارة المالية'!B64</f>
        <v>0</v>
      </c>
      <c r="C244" s="45">
        <f>+'الادارة المالية'!C64</f>
        <v>0</v>
      </c>
      <c r="D244" s="45">
        <f>+'الادارة المالية'!D64</f>
        <v>0</v>
      </c>
      <c r="E244" s="45">
        <f>+'الادارة المالية'!E64</f>
        <v>0</v>
      </c>
      <c r="F244" s="46">
        <f>'الادارة المالية'!F64</f>
        <v>0</v>
      </c>
      <c r="G244" s="46">
        <f>'الادارة المالية'!G64</f>
        <v>0</v>
      </c>
      <c r="H244" s="46">
        <f>'الادارة المالية'!H64</f>
        <v>0</v>
      </c>
      <c r="I244" s="46">
        <f>'الادارة المالية'!I64</f>
        <v>0</v>
      </c>
      <c r="J244" s="46">
        <f>'الادارة المالية'!J64</f>
        <v>0</v>
      </c>
      <c r="K244" s="46">
        <f>'الادارة المالية'!K64</f>
        <v>0</v>
      </c>
      <c r="L244" s="46">
        <f>'الادارة المالية'!L64</f>
        <v>0</v>
      </c>
      <c r="M244" s="46">
        <f>'الادارة المالية'!M64</f>
        <v>0</v>
      </c>
      <c r="N244" s="46">
        <f>'الادارة المالية'!N64</f>
        <v>0</v>
      </c>
      <c r="O244" s="46">
        <f>'الادارة المالية'!O64</f>
        <v>0</v>
      </c>
      <c r="P244" s="46">
        <f>'الادارة المالية'!P64</f>
        <v>0</v>
      </c>
      <c r="Q244" s="46">
        <f>'الادارة المالية'!Q64</f>
        <v>0</v>
      </c>
      <c r="R244" s="47">
        <f>'الادارة المالية'!R64</f>
        <v>0</v>
      </c>
      <c r="S244" s="47">
        <f>'الادارة المالية'!S64</f>
        <v>0</v>
      </c>
      <c r="T244" s="46">
        <f>'الادارة المالية'!T64</f>
        <v>0</v>
      </c>
      <c r="U244" s="46">
        <f>'الادارة المالية'!U64</f>
        <v>0</v>
      </c>
      <c r="V244" s="46">
        <f>'الادارة المالية'!V64</f>
        <v>0</v>
      </c>
      <c r="W244" s="46">
        <f>'الادارة المالية'!W64</f>
        <v>0</v>
      </c>
      <c r="X244" s="46">
        <f>'الادارة المالية'!X64</f>
        <v>0</v>
      </c>
      <c r="Y244" s="46">
        <f>'الادارة المالية'!Y64</f>
        <v>0</v>
      </c>
      <c r="Z244" s="46">
        <f>'الادارة المالية'!Z64</f>
        <v>0</v>
      </c>
      <c r="AA244" s="46">
        <f>'الادارة المالية'!AA64</f>
        <v>0</v>
      </c>
      <c r="AB244" s="46">
        <f>'الادارة المالية'!AB64</f>
        <v>0</v>
      </c>
      <c r="AC244" s="46">
        <f>'الادارة المالية'!AC64</f>
        <v>0</v>
      </c>
      <c r="AD244" s="46">
        <f>'الادارة المالية'!AD64</f>
        <v>0</v>
      </c>
      <c r="AE244" s="46">
        <f>'الادارة المالية'!AE64</f>
        <v>0</v>
      </c>
      <c r="AF244" s="46">
        <f>'الادارة المالية'!AF64</f>
        <v>0</v>
      </c>
      <c r="AG244" s="46">
        <f>'الادارة المالية'!AG64</f>
        <v>0</v>
      </c>
      <c r="AH244" s="46">
        <f>'الادارة المالية'!AH64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+'الادارة المالية'!A65</f>
        <v>0</v>
      </c>
      <c r="B248" s="44">
        <f>+'الادارة المالية'!B65</f>
        <v>0</v>
      </c>
      <c r="C248" s="45">
        <f>+'الادارة المالية'!C65</f>
        <v>0</v>
      </c>
      <c r="D248" s="45">
        <f>+'الادارة المالية'!D65</f>
        <v>0</v>
      </c>
      <c r="E248" s="45">
        <f>+'الادارة المالية'!E65</f>
        <v>0</v>
      </c>
      <c r="F248" s="46">
        <f>'الادارة المالية'!F65</f>
        <v>0</v>
      </c>
      <c r="G248" s="46">
        <f>'الادارة المالية'!G65</f>
        <v>0</v>
      </c>
      <c r="H248" s="46">
        <f>'الادارة المالية'!H65</f>
        <v>0</v>
      </c>
      <c r="I248" s="46">
        <f>'الادارة المالية'!I65</f>
        <v>0</v>
      </c>
      <c r="J248" s="46">
        <f>'الادارة المالية'!J65</f>
        <v>0</v>
      </c>
      <c r="K248" s="46">
        <f>'الادارة المالية'!K65</f>
        <v>0</v>
      </c>
      <c r="L248" s="46">
        <f>'الادارة المالية'!L65</f>
        <v>0</v>
      </c>
      <c r="M248" s="46">
        <f>'الادارة المالية'!M65</f>
        <v>0</v>
      </c>
      <c r="N248" s="46">
        <f>'الادارة المالية'!N65</f>
        <v>0</v>
      </c>
      <c r="O248" s="46">
        <f>'الادارة المالية'!O65</f>
        <v>0</v>
      </c>
      <c r="P248" s="46">
        <f>'الادارة المالية'!P65</f>
        <v>0</v>
      </c>
      <c r="Q248" s="46">
        <f>'الادارة المالية'!Q65</f>
        <v>0</v>
      </c>
      <c r="R248" s="47">
        <f>'الادارة المالية'!R65</f>
        <v>0</v>
      </c>
      <c r="S248" s="47">
        <f>'الادارة المالية'!S65</f>
        <v>0</v>
      </c>
      <c r="T248" s="46">
        <f>'الادارة المالية'!T65</f>
        <v>0</v>
      </c>
      <c r="U248" s="46">
        <f>'الادارة المالية'!U65</f>
        <v>0</v>
      </c>
      <c r="V248" s="46">
        <f>'الادارة المالية'!V65</f>
        <v>0</v>
      </c>
      <c r="W248" s="46">
        <f>'الادارة المالية'!W65</f>
        <v>0</v>
      </c>
      <c r="X248" s="46">
        <f>'الادارة المالية'!X65</f>
        <v>0</v>
      </c>
      <c r="Y248" s="46">
        <f>'الادارة المالية'!Y65</f>
        <v>0</v>
      </c>
      <c r="Z248" s="46">
        <f>'الادارة المالية'!Z65</f>
        <v>0</v>
      </c>
      <c r="AA248" s="46">
        <f>'الادارة المالية'!AA65</f>
        <v>0</v>
      </c>
      <c r="AB248" s="46">
        <f>'الادارة المالية'!AB65</f>
        <v>0</v>
      </c>
      <c r="AC248" s="46">
        <f>'الادارة المالية'!AC65</f>
        <v>0</v>
      </c>
      <c r="AD248" s="46">
        <f>'الادارة المالية'!AD65</f>
        <v>0</v>
      </c>
      <c r="AE248" s="46">
        <f>'الادارة المالية'!AE65</f>
        <v>0</v>
      </c>
      <c r="AF248" s="46">
        <f>'الادارة المالية'!AF65</f>
        <v>0</v>
      </c>
      <c r="AG248" s="46">
        <f>'الادارة المالية'!AG65</f>
        <v>0</v>
      </c>
      <c r="AH248" s="46">
        <f>'الادارة المالية'!AH65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+'الادارة المالية'!A66</f>
        <v>0</v>
      </c>
      <c r="B252" s="44">
        <f>+'الادارة المالية'!B66</f>
        <v>0</v>
      </c>
      <c r="C252" s="45">
        <f>+'الادارة المالية'!C66</f>
        <v>0</v>
      </c>
      <c r="D252" s="45">
        <f>+'الادارة المالية'!D66</f>
        <v>0</v>
      </c>
      <c r="E252" s="45">
        <f>+'الادارة المالية'!E66</f>
        <v>0</v>
      </c>
      <c r="F252" s="46">
        <f>'الادارة المالية'!F66</f>
        <v>0</v>
      </c>
      <c r="G252" s="46">
        <f>'الادارة المالية'!G66</f>
        <v>0</v>
      </c>
      <c r="H252" s="46">
        <f>'الادارة المالية'!H66</f>
        <v>0</v>
      </c>
      <c r="I252" s="46">
        <f>'الادارة المالية'!I66</f>
        <v>0</v>
      </c>
      <c r="J252" s="46">
        <f>'الادارة المالية'!J66</f>
        <v>0</v>
      </c>
      <c r="K252" s="46">
        <f>'الادارة المالية'!K66</f>
        <v>0</v>
      </c>
      <c r="L252" s="46">
        <f>'الادارة المالية'!L66</f>
        <v>0</v>
      </c>
      <c r="M252" s="46">
        <f>'الادارة المالية'!M66</f>
        <v>0</v>
      </c>
      <c r="N252" s="46">
        <f>'الادارة المالية'!N66</f>
        <v>0</v>
      </c>
      <c r="O252" s="46">
        <f>'الادارة المالية'!O66</f>
        <v>0</v>
      </c>
      <c r="P252" s="46">
        <f>'الادارة المالية'!P66</f>
        <v>0</v>
      </c>
      <c r="Q252" s="46">
        <f>'الادارة المالية'!Q66</f>
        <v>0</v>
      </c>
      <c r="R252" s="47">
        <f>'الادارة المالية'!R66</f>
        <v>0</v>
      </c>
      <c r="S252" s="47">
        <f>'الادارة المالية'!S66</f>
        <v>0</v>
      </c>
      <c r="T252" s="46">
        <f>'الادارة المالية'!T66</f>
        <v>0</v>
      </c>
      <c r="U252" s="46">
        <f>'الادارة المالية'!U66</f>
        <v>0</v>
      </c>
      <c r="V252" s="46">
        <f>'الادارة المالية'!V66</f>
        <v>0</v>
      </c>
      <c r="W252" s="46">
        <f>'الادارة المالية'!W66</f>
        <v>0</v>
      </c>
      <c r="X252" s="46">
        <f>'الادارة المالية'!X66</f>
        <v>0</v>
      </c>
      <c r="Y252" s="46">
        <f>'الادارة المالية'!Y66</f>
        <v>0</v>
      </c>
      <c r="Z252" s="46">
        <f>'الادارة المالية'!Z66</f>
        <v>0</v>
      </c>
      <c r="AA252" s="46">
        <f>'الادارة المالية'!AA66</f>
        <v>0</v>
      </c>
      <c r="AB252" s="46">
        <f>'الادارة المالية'!AB66</f>
        <v>0</v>
      </c>
      <c r="AC252" s="46">
        <f>'الادارة المالية'!AC66</f>
        <v>0</v>
      </c>
      <c r="AD252" s="46">
        <f>'الادارة المالية'!AD66</f>
        <v>0</v>
      </c>
      <c r="AE252" s="46">
        <f>'الادارة المالية'!AE66</f>
        <v>0</v>
      </c>
      <c r="AF252" s="46">
        <f>'الادارة المالية'!AF66</f>
        <v>0</v>
      </c>
      <c r="AG252" s="46">
        <f>'الادارة المالية'!AG66</f>
        <v>0</v>
      </c>
      <c r="AH252" s="46">
        <f>'الادارة المالية'!AH66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+'الادارة المالية'!A67</f>
        <v>0</v>
      </c>
      <c r="B256" s="44">
        <f>+'الادارة المالية'!B67</f>
        <v>0</v>
      </c>
      <c r="C256" s="45">
        <f>+'الادارة المالية'!C67</f>
        <v>0</v>
      </c>
      <c r="D256" s="45">
        <f>+'الادارة المالية'!D67</f>
        <v>0</v>
      </c>
      <c r="E256" s="45">
        <f>+'الادارة المالية'!E67</f>
        <v>0</v>
      </c>
      <c r="F256" s="46">
        <f>'الادارة المالية'!F67</f>
        <v>0</v>
      </c>
      <c r="G256" s="46">
        <f>'الادارة المالية'!G67</f>
        <v>0</v>
      </c>
      <c r="H256" s="46">
        <f>'الادارة المالية'!H67</f>
        <v>0</v>
      </c>
      <c r="I256" s="46">
        <f>'الادارة المالية'!I67</f>
        <v>0</v>
      </c>
      <c r="J256" s="46">
        <f>'الادارة المالية'!J67</f>
        <v>0</v>
      </c>
      <c r="K256" s="46">
        <f>'الادارة المالية'!K67</f>
        <v>0</v>
      </c>
      <c r="L256" s="46">
        <f>'الادارة المالية'!L67</f>
        <v>0</v>
      </c>
      <c r="M256" s="46">
        <f>'الادارة المالية'!M67</f>
        <v>0</v>
      </c>
      <c r="N256" s="46">
        <f>'الادارة المالية'!N67</f>
        <v>0</v>
      </c>
      <c r="O256" s="46">
        <f>'الادارة المالية'!O67</f>
        <v>0</v>
      </c>
      <c r="P256" s="46">
        <f>'الادارة المالية'!P67</f>
        <v>0</v>
      </c>
      <c r="Q256" s="46">
        <f>'الادارة المالية'!Q67</f>
        <v>0</v>
      </c>
      <c r="R256" s="47">
        <f>'الادارة المالية'!R67</f>
        <v>0</v>
      </c>
      <c r="S256" s="47">
        <f>'الادارة المالية'!S67</f>
        <v>0</v>
      </c>
      <c r="T256" s="46">
        <f>'الادارة المالية'!T67</f>
        <v>0</v>
      </c>
      <c r="U256" s="46">
        <f>'الادارة المالية'!U67</f>
        <v>0</v>
      </c>
      <c r="V256" s="46">
        <f>'الادارة المالية'!V67</f>
        <v>0</v>
      </c>
      <c r="W256" s="46">
        <f>'الادارة المالية'!W67</f>
        <v>0</v>
      </c>
      <c r="X256" s="46">
        <f>'الادارة المالية'!X67</f>
        <v>0</v>
      </c>
      <c r="Y256" s="46">
        <f>'الادارة المالية'!Y67</f>
        <v>0</v>
      </c>
      <c r="Z256" s="46">
        <f>'الادارة المالية'!Z67</f>
        <v>0</v>
      </c>
      <c r="AA256" s="46">
        <f>'الادارة المالية'!AA67</f>
        <v>0</v>
      </c>
      <c r="AB256" s="46">
        <f>'الادارة المالية'!AB67</f>
        <v>0</v>
      </c>
      <c r="AC256" s="46">
        <f>'الادارة المالية'!AC67</f>
        <v>0</v>
      </c>
      <c r="AD256" s="46">
        <f>'الادارة المالية'!AD67</f>
        <v>0</v>
      </c>
      <c r="AE256" s="46">
        <f>'الادارة المالية'!AE67</f>
        <v>0</v>
      </c>
      <c r="AF256" s="46">
        <f>'الادارة المالية'!AF67</f>
        <v>0</v>
      </c>
      <c r="AG256" s="46">
        <f>'الادارة المالية'!AG67</f>
        <v>0</v>
      </c>
      <c r="AH256" s="46">
        <f>'الادارة المالية'!AH67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+'الادارة المالية'!A68</f>
        <v>0</v>
      </c>
      <c r="B260" s="44">
        <f>+'الادارة المالية'!B68</f>
        <v>0</v>
      </c>
      <c r="C260" s="45">
        <f>+'الادارة المالية'!C68</f>
        <v>0</v>
      </c>
      <c r="D260" s="45">
        <f>+'الادارة المالية'!D68</f>
        <v>0</v>
      </c>
      <c r="E260" s="45">
        <f>+'الادارة المالية'!E68</f>
        <v>0</v>
      </c>
      <c r="F260" s="46">
        <f>'الادارة المالية'!F68</f>
        <v>0</v>
      </c>
      <c r="G260" s="46">
        <f>'الادارة المالية'!G68</f>
        <v>0</v>
      </c>
      <c r="H260" s="46">
        <f>'الادارة المالية'!H68</f>
        <v>0</v>
      </c>
      <c r="I260" s="46">
        <f>'الادارة المالية'!I68</f>
        <v>0</v>
      </c>
      <c r="J260" s="46">
        <f>'الادارة المالية'!J68</f>
        <v>0</v>
      </c>
      <c r="K260" s="46">
        <f>'الادارة المالية'!K68</f>
        <v>0</v>
      </c>
      <c r="L260" s="46">
        <f>'الادارة المالية'!L68</f>
        <v>0</v>
      </c>
      <c r="M260" s="46">
        <f>'الادارة المالية'!M68</f>
        <v>0</v>
      </c>
      <c r="N260" s="46">
        <f>'الادارة المالية'!N68</f>
        <v>0</v>
      </c>
      <c r="O260" s="46">
        <f>'الادارة المالية'!O68</f>
        <v>0</v>
      </c>
      <c r="P260" s="46">
        <f>'الادارة المالية'!P68</f>
        <v>0</v>
      </c>
      <c r="Q260" s="46">
        <f>'الادارة المالية'!Q68</f>
        <v>0</v>
      </c>
      <c r="R260" s="47">
        <f>'الادارة المالية'!R68</f>
        <v>0</v>
      </c>
      <c r="S260" s="47">
        <f>'الادارة المالية'!S68</f>
        <v>0</v>
      </c>
      <c r="T260" s="46">
        <f>'الادارة المالية'!T68</f>
        <v>0</v>
      </c>
      <c r="U260" s="46">
        <f>'الادارة المالية'!U68</f>
        <v>0</v>
      </c>
      <c r="V260" s="46">
        <f>'الادارة المالية'!V68</f>
        <v>0</v>
      </c>
      <c r="W260" s="46">
        <f>'الادارة المالية'!W68</f>
        <v>0</v>
      </c>
      <c r="X260" s="46">
        <f>'الادارة المالية'!X68</f>
        <v>0</v>
      </c>
      <c r="Y260" s="46">
        <f>'الادارة المالية'!Y68</f>
        <v>0</v>
      </c>
      <c r="Z260" s="46">
        <f>'الادارة المالية'!Z68</f>
        <v>0</v>
      </c>
      <c r="AA260" s="46">
        <f>'الادارة المالية'!AA68</f>
        <v>0</v>
      </c>
      <c r="AB260" s="46">
        <f>'الادارة المالية'!AB68</f>
        <v>0</v>
      </c>
      <c r="AC260" s="46">
        <f>'الادارة المالية'!AC68</f>
        <v>0</v>
      </c>
      <c r="AD260" s="46">
        <f>'الادارة المالية'!AD68</f>
        <v>0</v>
      </c>
      <c r="AE260" s="46">
        <f>'الادارة المالية'!AE68</f>
        <v>0</v>
      </c>
      <c r="AF260" s="46">
        <f>'الادارة المالية'!AF68</f>
        <v>0</v>
      </c>
      <c r="AG260" s="46">
        <f>'الادارة المالية'!AG68</f>
        <v>0</v>
      </c>
      <c r="AH260" s="46">
        <f>'الادارة المالية'!AH68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+'الادارة المالية'!A69</f>
        <v>0</v>
      </c>
      <c r="B264" s="44">
        <f>+'الادارة المالية'!B69</f>
        <v>0</v>
      </c>
      <c r="C264" s="45">
        <f>+'الادارة المالية'!C69</f>
        <v>0</v>
      </c>
      <c r="D264" s="45">
        <f>+'الادارة المالية'!D69</f>
        <v>0</v>
      </c>
      <c r="E264" s="45">
        <f>+'الادارة المالية'!E69</f>
        <v>0</v>
      </c>
      <c r="F264" s="46">
        <f>'الادارة المالية'!F69</f>
        <v>0</v>
      </c>
      <c r="G264" s="46">
        <f>'الادارة المالية'!G69</f>
        <v>0</v>
      </c>
      <c r="H264" s="46">
        <f>'الادارة المالية'!H69</f>
        <v>0</v>
      </c>
      <c r="I264" s="46">
        <f>'الادارة المالية'!I69</f>
        <v>0</v>
      </c>
      <c r="J264" s="46">
        <f>'الادارة المالية'!J69</f>
        <v>0</v>
      </c>
      <c r="K264" s="46">
        <f>'الادارة المالية'!K69</f>
        <v>0</v>
      </c>
      <c r="L264" s="46">
        <f>'الادارة المالية'!L69</f>
        <v>0</v>
      </c>
      <c r="M264" s="46">
        <f>'الادارة المالية'!M69</f>
        <v>0</v>
      </c>
      <c r="N264" s="46">
        <f>'الادارة المالية'!N69</f>
        <v>0</v>
      </c>
      <c r="O264" s="46">
        <f>'الادارة المالية'!O69</f>
        <v>0</v>
      </c>
      <c r="P264" s="46">
        <f>'الادارة المالية'!P69</f>
        <v>0</v>
      </c>
      <c r="Q264" s="46">
        <f>'الادارة المالية'!Q69</f>
        <v>0</v>
      </c>
      <c r="R264" s="47">
        <f>'الادارة المالية'!R69</f>
        <v>0</v>
      </c>
      <c r="S264" s="47">
        <f>'الادارة المالية'!S69</f>
        <v>0</v>
      </c>
      <c r="T264" s="46">
        <f>'الادارة المالية'!T69</f>
        <v>0</v>
      </c>
      <c r="U264" s="46">
        <f>'الادارة المالية'!U69</f>
        <v>0</v>
      </c>
      <c r="V264" s="46">
        <f>'الادارة المالية'!V69</f>
        <v>0</v>
      </c>
      <c r="W264" s="46">
        <f>'الادارة المالية'!W69</f>
        <v>0</v>
      </c>
      <c r="X264" s="46">
        <f>'الادارة المالية'!X69</f>
        <v>0</v>
      </c>
      <c r="Y264" s="46">
        <f>'الادارة المالية'!Y69</f>
        <v>0</v>
      </c>
      <c r="Z264" s="46">
        <f>'الادارة المالية'!Z69</f>
        <v>0</v>
      </c>
      <c r="AA264" s="46">
        <f>'الادارة المالية'!AA69</f>
        <v>0</v>
      </c>
      <c r="AB264" s="46">
        <f>'الادارة المالية'!AB69</f>
        <v>0</v>
      </c>
      <c r="AC264" s="46">
        <f>'الادارة المالية'!AC69</f>
        <v>0</v>
      </c>
      <c r="AD264" s="46">
        <f>'الادارة المالية'!AD69</f>
        <v>0</v>
      </c>
      <c r="AE264" s="46">
        <f>'الادارة المالية'!AE69</f>
        <v>0</v>
      </c>
      <c r="AF264" s="46">
        <f>'الادارة المالية'!AF69</f>
        <v>0</v>
      </c>
      <c r="AG264" s="46">
        <f>'الادارة المالية'!AG69</f>
        <v>0</v>
      </c>
      <c r="AH264" s="46">
        <f>'الادارة المالية'!AH69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+'الادارة المالية'!A70</f>
        <v>0</v>
      </c>
      <c r="B268" s="44">
        <f>+'الادارة المالية'!B70</f>
        <v>0</v>
      </c>
      <c r="C268" s="45">
        <f>+'الادارة المالية'!C70</f>
        <v>0</v>
      </c>
      <c r="D268" s="45">
        <f>+'الادارة المالية'!D70</f>
        <v>0</v>
      </c>
      <c r="E268" s="45">
        <f>+'الادارة المالية'!E70</f>
        <v>0</v>
      </c>
      <c r="F268" s="46">
        <f>'الادارة المالية'!F70</f>
        <v>0</v>
      </c>
      <c r="G268" s="46">
        <f>'الادارة المالية'!G70</f>
        <v>0</v>
      </c>
      <c r="H268" s="46">
        <f>'الادارة المالية'!H70</f>
        <v>0</v>
      </c>
      <c r="I268" s="46">
        <f>'الادارة المالية'!I70</f>
        <v>0</v>
      </c>
      <c r="J268" s="46">
        <f>'الادارة المالية'!J70</f>
        <v>0</v>
      </c>
      <c r="K268" s="46">
        <f>'الادارة المالية'!K70</f>
        <v>0</v>
      </c>
      <c r="L268" s="46">
        <f>'الادارة المالية'!L70</f>
        <v>0</v>
      </c>
      <c r="M268" s="46">
        <f>'الادارة المالية'!M70</f>
        <v>0</v>
      </c>
      <c r="N268" s="46">
        <f>'الادارة المالية'!N70</f>
        <v>0</v>
      </c>
      <c r="O268" s="46">
        <f>'الادارة المالية'!O70</f>
        <v>0</v>
      </c>
      <c r="P268" s="46">
        <f>'الادارة المالية'!P70</f>
        <v>0</v>
      </c>
      <c r="Q268" s="46">
        <f>'الادارة المالية'!Q70</f>
        <v>0</v>
      </c>
      <c r="R268" s="47">
        <f>'الادارة المالية'!R70</f>
        <v>0</v>
      </c>
      <c r="S268" s="47">
        <f>'الادارة المالية'!S70</f>
        <v>0</v>
      </c>
      <c r="T268" s="46">
        <f>'الادارة المالية'!T70</f>
        <v>0</v>
      </c>
      <c r="U268" s="46">
        <f>'الادارة المالية'!U70</f>
        <v>0</v>
      </c>
      <c r="V268" s="46">
        <f>'الادارة المالية'!V70</f>
        <v>0</v>
      </c>
      <c r="W268" s="46">
        <f>'الادارة المالية'!W70</f>
        <v>0</v>
      </c>
      <c r="X268" s="46">
        <f>'الادارة المالية'!X70</f>
        <v>0</v>
      </c>
      <c r="Y268" s="46">
        <f>'الادارة المالية'!Y70</f>
        <v>0</v>
      </c>
      <c r="Z268" s="46">
        <f>'الادارة المالية'!Z70</f>
        <v>0</v>
      </c>
      <c r="AA268" s="46">
        <f>'الادارة المالية'!AA70</f>
        <v>0</v>
      </c>
      <c r="AB268" s="46">
        <f>'الادارة المالية'!AB70</f>
        <v>0</v>
      </c>
      <c r="AC268" s="46">
        <f>'الادارة المالية'!AC70</f>
        <v>0</v>
      </c>
      <c r="AD268" s="46">
        <f>'الادارة المالية'!AD70</f>
        <v>0</v>
      </c>
      <c r="AE268" s="46">
        <f>'الادارة المالية'!AE70</f>
        <v>0</v>
      </c>
      <c r="AF268" s="46">
        <f>'الادارة المالية'!AF70</f>
        <v>0</v>
      </c>
      <c r="AG268" s="46">
        <f>'الادارة المالية'!AG70</f>
        <v>0</v>
      </c>
      <c r="AH268" s="46">
        <f>'الادارة المالية'!AH70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+'الادارة المالية'!A71</f>
        <v>0</v>
      </c>
      <c r="B272" s="44">
        <f>+'الادارة المالية'!B71</f>
        <v>0</v>
      </c>
      <c r="C272" s="45">
        <f>+'الادارة المالية'!C71</f>
        <v>0</v>
      </c>
      <c r="D272" s="45">
        <f>+'الادارة المالية'!D71</f>
        <v>0</v>
      </c>
      <c r="E272" s="45">
        <f>+'الادارة المالية'!E71</f>
        <v>0</v>
      </c>
      <c r="F272" s="46">
        <f>'الادارة المالية'!F71</f>
        <v>0</v>
      </c>
      <c r="G272" s="46">
        <f>'الادارة المالية'!G71</f>
        <v>0</v>
      </c>
      <c r="H272" s="46">
        <f>'الادارة المالية'!H71</f>
        <v>0</v>
      </c>
      <c r="I272" s="46">
        <f>'الادارة المالية'!I71</f>
        <v>0</v>
      </c>
      <c r="J272" s="46">
        <f>'الادارة المالية'!J71</f>
        <v>0</v>
      </c>
      <c r="K272" s="46">
        <f>'الادارة المالية'!K71</f>
        <v>0</v>
      </c>
      <c r="L272" s="46">
        <f>'الادارة المالية'!L71</f>
        <v>0</v>
      </c>
      <c r="M272" s="46">
        <f>'الادارة المالية'!M71</f>
        <v>0</v>
      </c>
      <c r="N272" s="46">
        <f>'الادارة المالية'!N71</f>
        <v>0</v>
      </c>
      <c r="O272" s="46">
        <f>'الادارة المالية'!O71</f>
        <v>0</v>
      </c>
      <c r="P272" s="46">
        <f>'الادارة المالية'!P71</f>
        <v>0</v>
      </c>
      <c r="Q272" s="46">
        <f>'الادارة المالية'!Q71</f>
        <v>0</v>
      </c>
      <c r="R272" s="47">
        <f>'الادارة المالية'!R71</f>
        <v>0</v>
      </c>
      <c r="S272" s="47">
        <f>'الادارة المالية'!S71</f>
        <v>0</v>
      </c>
      <c r="T272" s="46">
        <f>'الادارة المالية'!T71</f>
        <v>0</v>
      </c>
      <c r="U272" s="46">
        <f>'الادارة المالية'!U71</f>
        <v>0</v>
      </c>
      <c r="V272" s="46">
        <f>'الادارة المالية'!V71</f>
        <v>0</v>
      </c>
      <c r="W272" s="46">
        <f>'الادارة المالية'!W71</f>
        <v>0</v>
      </c>
      <c r="X272" s="46">
        <f>'الادارة المالية'!X71</f>
        <v>0</v>
      </c>
      <c r="Y272" s="46">
        <f>'الادارة المالية'!Y71</f>
        <v>0</v>
      </c>
      <c r="Z272" s="46">
        <f>'الادارة المالية'!Z71</f>
        <v>0</v>
      </c>
      <c r="AA272" s="46">
        <f>'الادارة المالية'!AA71</f>
        <v>0</v>
      </c>
      <c r="AB272" s="46">
        <f>'الادارة المالية'!AB71</f>
        <v>0</v>
      </c>
      <c r="AC272" s="46">
        <f>'الادارة المالية'!AC71</f>
        <v>0</v>
      </c>
      <c r="AD272" s="46">
        <f>'الادارة المالية'!AD71</f>
        <v>0</v>
      </c>
      <c r="AE272" s="46">
        <f>'الادارة المالية'!AE71</f>
        <v>0</v>
      </c>
      <c r="AF272" s="46">
        <f>'الادارة المالية'!AF71</f>
        <v>0</v>
      </c>
      <c r="AG272" s="46">
        <f>'الادارة المالية'!AG71</f>
        <v>0</v>
      </c>
      <c r="AH272" s="46">
        <f>'الادارة المالية'!AH71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+'الادارة المالية'!A72</f>
        <v>0</v>
      </c>
      <c r="B276" s="44">
        <f>+'الادارة المالية'!B72</f>
        <v>0</v>
      </c>
      <c r="C276" s="45">
        <f>+'الادارة المالية'!C72</f>
        <v>0</v>
      </c>
      <c r="D276" s="45">
        <f>+'الادارة المالية'!D72</f>
        <v>0</v>
      </c>
      <c r="E276" s="45">
        <f>+'الادارة المالية'!E72</f>
        <v>0</v>
      </c>
      <c r="F276" s="46">
        <f>'الادارة المالية'!F72</f>
        <v>0</v>
      </c>
      <c r="G276" s="46">
        <f>'الادارة المالية'!G72</f>
        <v>0</v>
      </c>
      <c r="H276" s="46">
        <f>'الادارة المالية'!H72</f>
        <v>0</v>
      </c>
      <c r="I276" s="46">
        <f>'الادارة المالية'!I72</f>
        <v>0</v>
      </c>
      <c r="J276" s="46">
        <f>'الادارة المالية'!J72</f>
        <v>0</v>
      </c>
      <c r="K276" s="46">
        <f>'الادارة المالية'!K72</f>
        <v>0</v>
      </c>
      <c r="L276" s="46">
        <f>'الادارة المالية'!L72</f>
        <v>0</v>
      </c>
      <c r="M276" s="46">
        <f>'الادارة المالية'!M72</f>
        <v>0</v>
      </c>
      <c r="N276" s="46">
        <f>'الادارة المالية'!N72</f>
        <v>0</v>
      </c>
      <c r="O276" s="46">
        <f>'الادارة المالية'!O72</f>
        <v>0</v>
      </c>
      <c r="P276" s="46">
        <f>'الادارة المالية'!P72</f>
        <v>0</v>
      </c>
      <c r="Q276" s="46">
        <f>'الادارة المالية'!Q72</f>
        <v>0</v>
      </c>
      <c r="R276" s="47">
        <f>'الادارة المالية'!R72</f>
        <v>0</v>
      </c>
      <c r="S276" s="47">
        <f>'الادارة المالية'!S72</f>
        <v>0</v>
      </c>
      <c r="T276" s="46">
        <f>'الادارة المالية'!T72</f>
        <v>0</v>
      </c>
      <c r="U276" s="46">
        <f>'الادارة المالية'!U72</f>
        <v>0</v>
      </c>
      <c r="V276" s="46">
        <f>'الادارة المالية'!V72</f>
        <v>0</v>
      </c>
      <c r="W276" s="46">
        <f>'الادارة المالية'!W72</f>
        <v>0</v>
      </c>
      <c r="X276" s="46">
        <f>'الادارة المالية'!X72</f>
        <v>0</v>
      </c>
      <c r="Y276" s="46">
        <f>'الادارة المالية'!Y72</f>
        <v>0</v>
      </c>
      <c r="Z276" s="46">
        <f>'الادارة المالية'!Z72</f>
        <v>0</v>
      </c>
      <c r="AA276" s="46">
        <f>'الادارة المالية'!AA72</f>
        <v>0</v>
      </c>
      <c r="AB276" s="46">
        <f>'الادارة المالية'!AB72</f>
        <v>0</v>
      </c>
      <c r="AC276" s="46">
        <f>'الادارة المالية'!AC72</f>
        <v>0</v>
      </c>
      <c r="AD276" s="46">
        <f>'الادارة المالية'!AD72</f>
        <v>0</v>
      </c>
      <c r="AE276" s="46">
        <f>'الادارة المالية'!AE72</f>
        <v>0</v>
      </c>
      <c r="AF276" s="46">
        <f>'الادارة المالية'!AF72</f>
        <v>0</v>
      </c>
      <c r="AG276" s="46">
        <f>'الادارة المالية'!AG72</f>
        <v>0</v>
      </c>
      <c r="AH276" s="46">
        <f>'الادارة المالية'!AH72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+'الادارة المالية'!A73</f>
        <v>0</v>
      </c>
      <c r="B280" s="44">
        <f>+'الادارة المالية'!B73</f>
        <v>0</v>
      </c>
      <c r="C280" s="45">
        <f>+'الادارة المالية'!C73</f>
        <v>0</v>
      </c>
      <c r="D280" s="45">
        <f>+'الادارة المالية'!D73</f>
        <v>0</v>
      </c>
      <c r="E280" s="45">
        <f>+'الادارة المالية'!E73</f>
        <v>0</v>
      </c>
      <c r="F280" s="46">
        <f>'الادارة المالية'!F73</f>
        <v>0</v>
      </c>
      <c r="G280" s="46">
        <f>'الادارة المالية'!G73</f>
        <v>0</v>
      </c>
      <c r="H280" s="46">
        <f>'الادارة المالية'!H73</f>
        <v>0</v>
      </c>
      <c r="I280" s="46">
        <f>'الادارة المالية'!I73</f>
        <v>0</v>
      </c>
      <c r="J280" s="46">
        <f>'الادارة المالية'!J73</f>
        <v>0</v>
      </c>
      <c r="K280" s="46">
        <f>'الادارة المالية'!K73</f>
        <v>0</v>
      </c>
      <c r="L280" s="46">
        <f>'الادارة المالية'!L73</f>
        <v>0</v>
      </c>
      <c r="M280" s="46">
        <f>'الادارة المالية'!M73</f>
        <v>0</v>
      </c>
      <c r="N280" s="46">
        <f>'الادارة المالية'!N73</f>
        <v>0</v>
      </c>
      <c r="O280" s="46">
        <f>'الادارة المالية'!O73</f>
        <v>0</v>
      </c>
      <c r="P280" s="46">
        <f>'الادارة المالية'!P73</f>
        <v>0</v>
      </c>
      <c r="Q280" s="46">
        <f>'الادارة المالية'!Q73</f>
        <v>0</v>
      </c>
      <c r="R280" s="47">
        <f>'الادارة المالية'!R73</f>
        <v>0</v>
      </c>
      <c r="S280" s="47">
        <f>'الادارة المالية'!S73</f>
        <v>0</v>
      </c>
      <c r="T280" s="46">
        <f>'الادارة المالية'!T73</f>
        <v>0</v>
      </c>
      <c r="U280" s="46">
        <f>'الادارة المالية'!U73</f>
        <v>0</v>
      </c>
      <c r="V280" s="46">
        <f>'الادارة المالية'!V73</f>
        <v>0</v>
      </c>
      <c r="W280" s="46">
        <f>'الادارة المالية'!W73</f>
        <v>0</v>
      </c>
      <c r="X280" s="46">
        <f>'الادارة المالية'!X73</f>
        <v>0</v>
      </c>
      <c r="Y280" s="46">
        <f>'الادارة المالية'!Y73</f>
        <v>0</v>
      </c>
      <c r="Z280" s="46">
        <f>'الادارة المالية'!Z73</f>
        <v>0</v>
      </c>
      <c r="AA280" s="46">
        <f>'الادارة المالية'!AA73</f>
        <v>0</v>
      </c>
      <c r="AB280" s="46">
        <f>'الادارة المالية'!AB73</f>
        <v>0</v>
      </c>
      <c r="AC280" s="46">
        <f>'الادارة المالية'!AC73</f>
        <v>0</v>
      </c>
      <c r="AD280" s="46">
        <f>'الادارة المالية'!AD73</f>
        <v>0</v>
      </c>
      <c r="AE280" s="46">
        <f>'الادارة المالية'!AE73</f>
        <v>0</v>
      </c>
      <c r="AF280" s="46">
        <f>'الادارة المالية'!AF73</f>
        <v>0</v>
      </c>
      <c r="AG280" s="46">
        <f>'الادارة المالية'!AG73</f>
        <v>0</v>
      </c>
      <c r="AH280" s="46">
        <f>'الادارة المالية'!AH73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+'الادارة المالية'!A74</f>
        <v>0</v>
      </c>
      <c r="B284" s="44">
        <f>+'الادارة المالية'!B74</f>
        <v>0</v>
      </c>
      <c r="C284" s="45">
        <f>+'الادارة المالية'!C74</f>
        <v>0</v>
      </c>
      <c r="D284" s="45">
        <f>+'الادارة المالية'!D74</f>
        <v>0</v>
      </c>
      <c r="E284" s="45">
        <f>+'الادارة المالية'!E74</f>
        <v>0</v>
      </c>
      <c r="F284" s="46">
        <f>'الادارة المالية'!F74</f>
        <v>0</v>
      </c>
      <c r="G284" s="46">
        <f>'الادارة المالية'!G74</f>
        <v>0</v>
      </c>
      <c r="H284" s="46">
        <f>'الادارة المالية'!H74</f>
        <v>0</v>
      </c>
      <c r="I284" s="46">
        <f>'الادارة المالية'!I74</f>
        <v>0</v>
      </c>
      <c r="J284" s="46">
        <f>'الادارة المالية'!J74</f>
        <v>0</v>
      </c>
      <c r="K284" s="46">
        <f>'الادارة المالية'!K74</f>
        <v>0</v>
      </c>
      <c r="L284" s="46">
        <f>'الادارة المالية'!L74</f>
        <v>0</v>
      </c>
      <c r="M284" s="46">
        <f>'الادارة المالية'!M74</f>
        <v>0</v>
      </c>
      <c r="N284" s="46">
        <f>'الادارة المالية'!N74</f>
        <v>0</v>
      </c>
      <c r="O284" s="46">
        <f>'الادارة المالية'!O74</f>
        <v>0</v>
      </c>
      <c r="P284" s="46">
        <f>'الادارة المالية'!P74</f>
        <v>0</v>
      </c>
      <c r="Q284" s="46">
        <f>'الادارة المالية'!Q74</f>
        <v>0</v>
      </c>
      <c r="R284" s="47">
        <f>'الادارة المالية'!R74</f>
        <v>0</v>
      </c>
      <c r="S284" s="47">
        <f>'الادارة المالية'!S74</f>
        <v>0</v>
      </c>
      <c r="T284" s="46">
        <f>'الادارة المالية'!T74</f>
        <v>0</v>
      </c>
      <c r="U284" s="46">
        <f>'الادارة المالية'!U74</f>
        <v>0</v>
      </c>
      <c r="V284" s="46">
        <f>'الادارة المالية'!V74</f>
        <v>0</v>
      </c>
      <c r="W284" s="46">
        <f>'الادارة المالية'!W74</f>
        <v>0</v>
      </c>
      <c r="X284" s="46">
        <f>'الادارة المالية'!X74</f>
        <v>0</v>
      </c>
      <c r="Y284" s="46">
        <f>'الادارة المالية'!Y74</f>
        <v>0</v>
      </c>
      <c r="Z284" s="46">
        <f>'الادارة المالية'!Z74</f>
        <v>0</v>
      </c>
      <c r="AA284" s="46">
        <f>'الادارة المالية'!AA74</f>
        <v>0</v>
      </c>
      <c r="AB284" s="46">
        <f>'الادارة المالية'!AB74</f>
        <v>0</v>
      </c>
      <c r="AC284" s="46">
        <f>'الادارة المالية'!AC74</f>
        <v>0</v>
      </c>
      <c r="AD284" s="46">
        <f>'الادارة المالية'!AD74</f>
        <v>0</v>
      </c>
      <c r="AE284" s="46">
        <f>'الادارة المالية'!AE74</f>
        <v>0</v>
      </c>
      <c r="AF284" s="46">
        <f>'الادارة المالية'!AF74</f>
        <v>0</v>
      </c>
      <c r="AG284" s="46">
        <f>'الادارة المالية'!AG74</f>
        <v>0</v>
      </c>
      <c r="AH284" s="46">
        <f>'الادارة المالية'!AH74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+'الادارة المالية'!A75</f>
        <v>0</v>
      </c>
      <c r="B288" s="44">
        <f>+'الادارة المالية'!B75</f>
        <v>0</v>
      </c>
      <c r="C288" s="45">
        <f>+'الادارة المالية'!C75</f>
        <v>0</v>
      </c>
      <c r="D288" s="45">
        <f>+'الادارة المالية'!D75</f>
        <v>0</v>
      </c>
      <c r="E288" s="45">
        <f>+'الادارة المالية'!E75</f>
        <v>0</v>
      </c>
      <c r="F288" s="46">
        <f>'الادارة المالية'!F75</f>
        <v>0</v>
      </c>
      <c r="G288" s="46">
        <f>'الادارة المالية'!G75</f>
        <v>0</v>
      </c>
      <c r="H288" s="46">
        <f>'الادارة المالية'!H75</f>
        <v>0</v>
      </c>
      <c r="I288" s="46">
        <f>'الادارة المالية'!I75</f>
        <v>0</v>
      </c>
      <c r="J288" s="46">
        <f>'الادارة المالية'!J75</f>
        <v>0</v>
      </c>
      <c r="K288" s="46">
        <f>'الادارة المالية'!K75</f>
        <v>0</v>
      </c>
      <c r="L288" s="46">
        <f>'الادارة المالية'!L75</f>
        <v>0</v>
      </c>
      <c r="M288" s="46">
        <f>'الادارة المالية'!M75</f>
        <v>0</v>
      </c>
      <c r="N288" s="46">
        <f>'الادارة المالية'!N75</f>
        <v>0</v>
      </c>
      <c r="O288" s="46">
        <f>'الادارة المالية'!O75</f>
        <v>0</v>
      </c>
      <c r="P288" s="46">
        <f>'الادارة المالية'!P75</f>
        <v>0</v>
      </c>
      <c r="Q288" s="46">
        <f>'الادارة المالية'!Q75</f>
        <v>0</v>
      </c>
      <c r="R288" s="47">
        <f>'الادارة المالية'!R75</f>
        <v>0</v>
      </c>
      <c r="S288" s="47">
        <f>'الادارة المالية'!S75</f>
        <v>0</v>
      </c>
      <c r="T288" s="46">
        <f>'الادارة المالية'!T75</f>
        <v>0</v>
      </c>
      <c r="U288" s="46">
        <f>'الادارة المالية'!U75</f>
        <v>0</v>
      </c>
      <c r="V288" s="46">
        <f>'الادارة المالية'!V75</f>
        <v>0</v>
      </c>
      <c r="W288" s="46">
        <f>'الادارة المالية'!W75</f>
        <v>0</v>
      </c>
      <c r="X288" s="46">
        <f>'الادارة المالية'!X75</f>
        <v>0</v>
      </c>
      <c r="Y288" s="46">
        <f>'الادارة المالية'!Y75</f>
        <v>0</v>
      </c>
      <c r="Z288" s="46">
        <f>'الادارة المالية'!Z75</f>
        <v>0</v>
      </c>
      <c r="AA288" s="46">
        <f>'الادارة المالية'!AA75</f>
        <v>0</v>
      </c>
      <c r="AB288" s="46">
        <f>'الادارة المالية'!AB75</f>
        <v>0</v>
      </c>
      <c r="AC288" s="46">
        <f>'الادارة المالية'!AC75</f>
        <v>0</v>
      </c>
      <c r="AD288" s="46">
        <f>'الادارة المالية'!AD75</f>
        <v>0</v>
      </c>
      <c r="AE288" s="46">
        <f>'الادارة المالية'!AE75</f>
        <v>0</v>
      </c>
      <c r="AF288" s="46">
        <f>'الادارة المالية'!AF75</f>
        <v>0</v>
      </c>
      <c r="AG288" s="46">
        <f>'الادارة المالية'!AG75</f>
        <v>0</v>
      </c>
      <c r="AH288" s="46">
        <f>'الادارة المالية'!AH75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+'الادارة المالية'!A76</f>
        <v>0</v>
      </c>
      <c r="B292" s="44">
        <f>+'الادارة المالية'!B76</f>
        <v>0</v>
      </c>
      <c r="C292" s="45">
        <f>+'الادارة المالية'!C76</f>
        <v>0</v>
      </c>
      <c r="D292" s="45">
        <f>+'الادارة المالية'!D76</f>
        <v>0</v>
      </c>
      <c r="E292" s="45">
        <f>+'الادارة المالية'!E76</f>
        <v>0</v>
      </c>
      <c r="F292" s="46">
        <f>'الادارة المالية'!F76</f>
        <v>0</v>
      </c>
      <c r="G292" s="46">
        <f>'الادارة المالية'!G76</f>
        <v>0</v>
      </c>
      <c r="H292" s="46">
        <f>'الادارة المالية'!H76</f>
        <v>0</v>
      </c>
      <c r="I292" s="46">
        <f>'الادارة المالية'!I76</f>
        <v>0</v>
      </c>
      <c r="J292" s="46">
        <f>'الادارة المالية'!J76</f>
        <v>0</v>
      </c>
      <c r="K292" s="46">
        <f>'الادارة المالية'!K76</f>
        <v>0</v>
      </c>
      <c r="L292" s="46">
        <f>'الادارة المالية'!L76</f>
        <v>0</v>
      </c>
      <c r="M292" s="46">
        <f>'الادارة المالية'!M76</f>
        <v>0</v>
      </c>
      <c r="N292" s="46">
        <f>'الادارة المالية'!N76</f>
        <v>0</v>
      </c>
      <c r="O292" s="46">
        <f>'الادارة المالية'!O76</f>
        <v>0</v>
      </c>
      <c r="P292" s="46">
        <f>'الادارة المالية'!P76</f>
        <v>0</v>
      </c>
      <c r="Q292" s="46">
        <f>'الادارة المالية'!Q76</f>
        <v>0</v>
      </c>
      <c r="R292" s="47">
        <f>'الادارة المالية'!R76</f>
        <v>0</v>
      </c>
      <c r="S292" s="47">
        <f>'الادارة المالية'!S76</f>
        <v>0</v>
      </c>
      <c r="T292" s="46">
        <f>'الادارة المالية'!T76</f>
        <v>0</v>
      </c>
      <c r="U292" s="46">
        <f>'الادارة المالية'!U76</f>
        <v>0</v>
      </c>
      <c r="V292" s="46">
        <f>'الادارة المالية'!V76</f>
        <v>0</v>
      </c>
      <c r="W292" s="46">
        <f>'الادارة المالية'!W76</f>
        <v>0</v>
      </c>
      <c r="X292" s="46">
        <f>'الادارة المالية'!X76</f>
        <v>0</v>
      </c>
      <c r="Y292" s="46">
        <f>'الادارة المالية'!Y76</f>
        <v>0</v>
      </c>
      <c r="Z292" s="46">
        <f>'الادارة المالية'!Z76</f>
        <v>0</v>
      </c>
      <c r="AA292" s="46">
        <f>'الادارة المالية'!AA76</f>
        <v>0</v>
      </c>
      <c r="AB292" s="46">
        <f>'الادارة المالية'!AB76</f>
        <v>0</v>
      </c>
      <c r="AC292" s="46">
        <f>'الادارة المالية'!AC76</f>
        <v>0</v>
      </c>
      <c r="AD292" s="46">
        <f>'الادارة المالية'!AD76</f>
        <v>0</v>
      </c>
      <c r="AE292" s="46">
        <f>'الادارة المالية'!AE76</f>
        <v>0</v>
      </c>
      <c r="AF292" s="46">
        <f>'الادارة المالية'!AF76</f>
        <v>0</v>
      </c>
      <c r="AG292" s="46">
        <f>'الادارة المالية'!AG76</f>
        <v>0</v>
      </c>
      <c r="AH292" s="46">
        <f>'الادارة المالية'!AH76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+'الادارة المالية'!A77</f>
        <v>0</v>
      </c>
      <c r="B296" s="44">
        <f>+'الادارة المالية'!B77</f>
        <v>0</v>
      </c>
      <c r="C296" s="45">
        <f>+'الادارة المالية'!C77</f>
        <v>0</v>
      </c>
      <c r="D296" s="45">
        <f>+'الادارة المالية'!D77</f>
        <v>0</v>
      </c>
      <c r="E296" s="45">
        <f>+'الادارة المالية'!E77</f>
        <v>0</v>
      </c>
      <c r="F296" s="46">
        <f>'الادارة المالية'!F77</f>
        <v>0</v>
      </c>
      <c r="G296" s="46">
        <f>'الادارة المالية'!G77</f>
        <v>0</v>
      </c>
      <c r="H296" s="46">
        <f>'الادارة المالية'!H77</f>
        <v>0</v>
      </c>
      <c r="I296" s="46">
        <f>'الادارة المالية'!I77</f>
        <v>0</v>
      </c>
      <c r="J296" s="46">
        <f>'الادارة المالية'!J77</f>
        <v>0</v>
      </c>
      <c r="K296" s="46">
        <f>'الادارة المالية'!K77</f>
        <v>0</v>
      </c>
      <c r="L296" s="46">
        <f>'الادارة المالية'!L77</f>
        <v>0</v>
      </c>
      <c r="M296" s="46">
        <f>'الادارة المالية'!M77</f>
        <v>0</v>
      </c>
      <c r="N296" s="46">
        <f>'الادارة المالية'!N77</f>
        <v>0</v>
      </c>
      <c r="O296" s="46">
        <f>'الادارة المالية'!O77</f>
        <v>0</v>
      </c>
      <c r="P296" s="46">
        <f>'الادارة المالية'!P77</f>
        <v>0</v>
      </c>
      <c r="Q296" s="46">
        <f>'الادارة المالية'!Q77</f>
        <v>0</v>
      </c>
      <c r="R296" s="47">
        <f>'الادارة المالية'!R77</f>
        <v>0</v>
      </c>
      <c r="S296" s="47">
        <f>'الادارة المالية'!S77</f>
        <v>0</v>
      </c>
      <c r="T296" s="46">
        <f>'الادارة المالية'!T77</f>
        <v>0</v>
      </c>
      <c r="U296" s="46">
        <f>'الادارة المالية'!U77</f>
        <v>0</v>
      </c>
      <c r="V296" s="46">
        <f>'الادارة المالية'!V77</f>
        <v>0</v>
      </c>
      <c r="W296" s="46">
        <f>'الادارة المالية'!W77</f>
        <v>0</v>
      </c>
      <c r="X296" s="46">
        <f>'الادارة المالية'!X77</f>
        <v>0</v>
      </c>
      <c r="Y296" s="46">
        <f>'الادارة المالية'!Y77</f>
        <v>0</v>
      </c>
      <c r="Z296" s="46">
        <f>'الادارة المالية'!Z77</f>
        <v>0</v>
      </c>
      <c r="AA296" s="46">
        <f>'الادارة المالية'!AA77</f>
        <v>0</v>
      </c>
      <c r="AB296" s="46">
        <f>'الادارة المالية'!AB77</f>
        <v>0</v>
      </c>
      <c r="AC296" s="46">
        <f>'الادارة المالية'!AC77</f>
        <v>0</v>
      </c>
      <c r="AD296" s="46">
        <f>'الادارة المالية'!AD77</f>
        <v>0</v>
      </c>
      <c r="AE296" s="46">
        <f>'الادارة المالية'!AE77</f>
        <v>0</v>
      </c>
      <c r="AF296" s="46">
        <f>'الادارة المالية'!AF77</f>
        <v>0</v>
      </c>
      <c r="AG296" s="46">
        <f>'الادارة المالية'!AG77</f>
        <v>0</v>
      </c>
      <c r="AH296" s="46">
        <f>'الادارة المالية'!AH77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+'الادارة المالية'!A78</f>
        <v>0</v>
      </c>
      <c r="B300" s="44">
        <f>+'الادارة المالية'!B78</f>
        <v>0</v>
      </c>
      <c r="C300" s="45">
        <f>+'الادارة المالية'!C78</f>
        <v>0</v>
      </c>
      <c r="D300" s="45">
        <f>+'الادارة المالية'!D78</f>
        <v>0</v>
      </c>
      <c r="E300" s="45">
        <f>+'الادارة المالية'!E78</f>
        <v>0</v>
      </c>
      <c r="F300" s="46">
        <f>'الادارة المالية'!F78</f>
        <v>0</v>
      </c>
      <c r="G300" s="46">
        <f>'الادارة المالية'!G78</f>
        <v>0</v>
      </c>
      <c r="H300" s="46">
        <f>'الادارة المالية'!H78</f>
        <v>0</v>
      </c>
      <c r="I300" s="46">
        <f>'الادارة المالية'!I78</f>
        <v>0</v>
      </c>
      <c r="J300" s="46">
        <f>'الادارة المالية'!J78</f>
        <v>0</v>
      </c>
      <c r="K300" s="46">
        <f>'الادارة المالية'!K78</f>
        <v>0</v>
      </c>
      <c r="L300" s="46">
        <f>'الادارة المالية'!L78</f>
        <v>0</v>
      </c>
      <c r="M300" s="46">
        <f>'الادارة المالية'!M78</f>
        <v>0</v>
      </c>
      <c r="N300" s="46">
        <f>'الادارة المالية'!N78</f>
        <v>0</v>
      </c>
      <c r="O300" s="46">
        <f>'الادارة المالية'!O78</f>
        <v>0</v>
      </c>
      <c r="P300" s="46">
        <f>'الادارة المالية'!P78</f>
        <v>0</v>
      </c>
      <c r="Q300" s="46">
        <f>'الادارة المالية'!Q78</f>
        <v>0</v>
      </c>
      <c r="R300" s="47">
        <f>'الادارة المالية'!R78</f>
        <v>0</v>
      </c>
      <c r="S300" s="47">
        <f>'الادارة المالية'!S78</f>
        <v>0</v>
      </c>
      <c r="T300" s="46">
        <f>'الادارة المالية'!T78</f>
        <v>0</v>
      </c>
      <c r="U300" s="46">
        <f>'الادارة المالية'!U78</f>
        <v>0</v>
      </c>
      <c r="V300" s="46">
        <f>'الادارة المالية'!V78</f>
        <v>0</v>
      </c>
      <c r="W300" s="46">
        <f>'الادارة المالية'!W78</f>
        <v>0</v>
      </c>
      <c r="X300" s="46">
        <f>'الادارة المالية'!X78</f>
        <v>0</v>
      </c>
      <c r="Y300" s="46">
        <f>'الادارة المالية'!Y78</f>
        <v>0</v>
      </c>
      <c r="Z300" s="46">
        <f>'الادارة المالية'!Z78</f>
        <v>0</v>
      </c>
      <c r="AA300" s="46">
        <f>'الادارة المالية'!AA78</f>
        <v>0</v>
      </c>
      <c r="AB300" s="46">
        <f>'الادارة المالية'!AB78</f>
        <v>0</v>
      </c>
      <c r="AC300" s="46">
        <f>'الادارة المالية'!AC78</f>
        <v>0</v>
      </c>
      <c r="AD300" s="46">
        <f>'الادارة المالية'!AD78</f>
        <v>0</v>
      </c>
      <c r="AE300" s="46">
        <f>'الادارة المالية'!AE78</f>
        <v>0</v>
      </c>
      <c r="AF300" s="46">
        <f>'الادارة المالية'!AF78</f>
        <v>0</v>
      </c>
      <c r="AG300" s="46">
        <f>'الادارة المالية'!AG78</f>
        <v>0</v>
      </c>
      <c r="AH300" s="46">
        <f>'الادارة المالية'!AH78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+'الادارة المالية'!A79</f>
        <v>0</v>
      </c>
      <c r="B304" s="44">
        <f>+'الادارة المالية'!B79</f>
        <v>0</v>
      </c>
      <c r="C304" s="45">
        <f>+'الادارة المالية'!C79</f>
        <v>0</v>
      </c>
      <c r="D304" s="45">
        <f>+'الادارة المالية'!D79</f>
        <v>0</v>
      </c>
      <c r="E304" s="45">
        <f>+'الادارة المالية'!E79</f>
        <v>0</v>
      </c>
      <c r="F304" s="46">
        <f>'الادارة المالية'!F79</f>
        <v>0</v>
      </c>
      <c r="G304" s="46">
        <f>'الادارة المالية'!G79</f>
        <v>0</v>
      </c>
      <c r="H304" s="46">
        <f>'الادارة المالية'!H79</f>
        <v>0</v>
      </c>
      <c r="I304" s="46">
        <f>'الادارة المالية'!I79</f>
        <v>0</v>
      </c>
      <c r="J304" s="46">
        <f>'الادارة المالية'!J79</f>
        <v>0</v>
      </c>
      <c r="K304" s="46">
        <f>'الادارة المالية'!K79</f>
        <v>0</v>
      </c>
      <c r="L304" s="46">
        <f>'الادارة المالية'!L79</f>
        <v>0</v>
      </c>
      <c r="M304" s="46">
        <f>'الادارة المالية'!M79</f>
        <v>0</v>
      </c>
      <c r="N304" s="46">
        <f>'الادارة المالية'!N79</f>
        <v>0</v>
      </c>
      <c r="O304" s="46">
        <f>'الادارة المالية'!O79</f>
        <v>0</v>
      </c>
      <c r="P304" s="46">
        <f>'الادارة المالية'!P79</f>
        <v>0</v>
      </c>
      <c r="Q304" s="46">
        <f>'الادارة المالية'!Q79</f>
        <v>0</v>
      </c>
      <c r="R304" s="47">
        <f>'الادارة المالية'!R79</f>
        <v>0</v>
      </c>
      <c r="S304" s="47">
        <f>'الادارة المالية'!S79</f>
        <v>0</v>
      </c>
      <c r="T304" s="46">
        <f>'الادارة المالية'!T79</f>
        <v>0</v>
      </c>
      <c r="U304" s="46">
        <f>'الادارة المالية'!U79</f>
        <v>0</v>
      </c>
      <c r="V304" s="46">
        <f>'الادارة المالية'!V79</f>
        <v>0</v>
      </c>
      <c r="W304" s="46">
        <f>'الادارة المالية'!W79</f>
        <v>0</v>
      </c>
      <c r="X304" s="46">
        <f>'الادارة المالية'!X79</f>
        <v>0</v>
      </c>
      <c r="Y304" s="46">
        <f>'الادارة المالية'!Y79</f>
        <v>0</v>
      </c>
      <c r="Z304" s="46">
        <f>'الادارة المالية'!Z79</f>
        <v>0</v>
      </c>
      <c r="AA304" s="46">
        <f>'الادارة المالية'!AA79</f>
        <v>0</v>
      </c>
      <c r="AB304" s="46">
        <f>'الادارة المالية'!AB79</f>
        <v>0</v>
      </c>
      <c r="AC304" s="46">
        <f>'الادارة المالية'!AC79</f>
        <v>0</v>
      </c>
      <c r="AD304" s="46">
        <f>'الادارة المالية'!AD79</f>
        <v>0</v>
      </c>
      <c r="AE304" s="46">
        <f>'الادارة المالية'!AE79</f>
        <v>0</v>
      </c>
      <c r="AF304" s="46">
        <f>'الادارة المالية'!AF79</f>
        <v>0</v>
      </c>
      <c r="AG304" s="46">
        <f>'الادارة المالية'!AG79</f>
        <v>0</v>
      </c>
      <c r="AH304" s="46">
        <f>'الادارة المالية'!AH79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+'الادارة المالية'!A80</f>
        <v>0</v>
      </c>
      <c r="B308" s="44">
        <f>+'الادارة المالية'!B80</f>
        <v>0</v>
      </c>
      <c r="C308" s="45">
        <f>+'الادارة المالية'!C80</f>
        <v>0</v>
      </c>
      <c r="D308" s="45">
        <f>+'الادارة المالية'!D80</f>
        <v>0</v>
      </c>
      <c r="E308" s="45">
        <f>+'الادارة المالية'!E80</f>
        <v>0</v>
      </c>
      <c r="F308" s="46">
        <f>'الادارة المالية'!F80</f>
        <v>0</v>
      </c>
      <c r="G308" s="46">
        <f>'الادارة المالية'!G80</f>
        <v>0</v>
      </c>
      <c r="H308" s="46">
        <f>'الادارة المالية'!H80</f>
        <v>0</v>
      </c>
      <c r="I308" s="46">
        <f>'الادارة المالية'!I80</f>
        <v>0</v>
      </c>
      <c r="J308" s="46">
        <f>'الادارة المالية'!J80</f>
        <v>0</v>
      </c>
      <c r="K308" s="46">
        <f>'الادارة المالية'!K80</f>
        <v>0</v>
      </c>
      <c r="L308" s="46">
        <f>'الادارة المالية'!L80</f>
        <v>0</v>
      </c>
      <c r="M308" s="46">
        <f>'الادارة المالية'!M80</f>
        <v>0</v>
      </c>
      <c r="N308" s="46">
        <f>'الادارة المالية'!N80</f>
        <v>0</v>
      </c>
      <c r="O308" s="46">
        <f>'الادارة المالية'!O80</f>
        <v>0</v>
      </c>
      <c r="P308" s="46">
        <f>'الادارة المالية'!P80</f>
        <v>0</v>
      </c>
      <c r="Q308" s="46">
        <f>'الادارة المالية'!Q80</f>
        <v>0</v>
      </c>
      <c r="R308" s="47">
        <f>'الادارة المالية'!R80</f>
        <v>0</v>
      </c>
      <c r="S308" s="47">
        <f>'الادارة المالية'!S80</f>
        <v>0</v>
      </c>
      <c r="T308" s="46">
        <f>'الادارة المالية'!T80</f>
        <v>0</v>
      </c>
      <c r="U308" s="46">
        <f>'الادارة المالية'!U80</f>
        <v>0</v>
      </c>
      <c r="V308" s="46">
        <f>'الادارة المالية'!V80</f>
        <v>0</v>
      </c>
      <c r="W308" s="46">
        <f>'الادارة المالية'!W80</f>
        <v>0</v>
      </c>
      <c r="X308" s="46">
        <f>'الادارة المالية'!X80</f>
        <v>0</v>
      </c>
      <c r="Y308" s="46">
        <f>'الادارة المالية'!Y80</f>
        <v>0</v>
      </c>
      <c r="Z308" s="46">
        <f>'الادارة المالية'!Z80</f>
        <v>0</v>
      </c>
      <c r="AA308" s="46">
        <f>'الادارة المالية'!AA80</f>
        <v>0</v>
      </c>
      <c r="AB308" s="46">
        <f>'الادارة المالية'!AB80</f>
        <v>0</v>
      </c>
      <c r="AC308" s="46">
        <f>'الادارة المالية'!AC80</f>
        <v>0</v>
      </c>
      <c r="AD308" s="46">
        <f>'الادارة المالية'!AD80</f>
        <v>0</v>
      </c>
      <c r="AE308" s="46">
        <f>'الادارة المالية'!AE80</f>
        <v>0</v>
      </c>
      <c r="AF308" s="46">
        <f>'الادارة المالية'!AF80</f>
        <v>0</v>
      </c>
      <c r="AG308" s="46">
        <f>'الادارة المالية'!AG80</f>
        <v>0</v>
      </c>
      <c r="AH308" s="46">
        <f>'الادارة المالية'!AH80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</mergeCells>
  <pageMargins left="0" right="0.5" top="0" bottom="0" header="0" footer="0"/>
  <pageSetup paperSize="9"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AH80"/>
  <sheetViews>
    <sheetView rightToLeft="1" zoomScale="85" zoomScaleNormal="85" zoomScaleSheetLayoutView="100" workbookViewId="0">
      <pane xSplit="2" ySplit="3" topLeftCell="C4" activePane="bottomRight" state="frozen"/>
      <selection activeCell="G88" sqref="G88"/>
      <selection pane="topRight" activeCell="G88" sqref="G88"/>
      <selection pane="bottomLeft" activeCell="G88" sqref="G88"/>
      <selection pane="bottomRight" activeCell="G88" sqref="G88"/>
    </sheetView>
  </sheetViews>
  <sheetFormatPr defaultColWidth="9" defaultRowHeight="15" x14ac:dyDescent="0.25"/>
  <cols>
    <col min="1" max="1" width="7.140625" style="29" bestFit="1" customWidth="1"/>
    <col min="2" max="2" width="34.42578125" style="29" bestFit="1" customWidth="1"/>
    <col min="3" max="3" width="10.42578125" style="29" bestFit="1" customWidth="1"/>
    <col min="4" max="4" width="19.5703125" style="29" bestFit="1" customWidth="1"/>
    <col min="5" max="5" width="12.42578125" style="29" bestFit="1" customWidth="1"/>
    <col min="6" max="6" width="12.42578125" style="30" bestFit="1" customWidth="1"/>
    <col min="7" max="7" width="7.42578125" style="30" bestFit="1" customWidth="1"/>
    <col min="8" max="8" width="10.5703125" style="31" bestFit="1" customWidth="1"/>
    <col min="9" max="9" width="7.42578125" style="30" bestFit="1" customWidth="1"/>
    <col min="10" max="10" width="9.5703125" style="31" bestFit="1" customWidth="1"/>
    <col min="11" max="11" width="8.42578125" style="30" bestFit="1" customWidth="1"/>
    <col min="12" max="12" width="7" style="31" bestFit="1" customWidth="1"/>
    <col min="13" max="13" width="5" style="30" bestFit="1" customWidth="1"/>
    <col min="14" max="14" width="4.5703125" style="30" bestFit="1" customWidth="1"/>
    <col min="15" max="15" width="12.5703125" style="31" bestFit="1" customWidth="1"/>
    <col min="16" max="16" width="6.42578125" style="30" bestFit="1" customWidth="1"/>
    <col min="17" max="17" width="9.42578125" style="31" bestFit="1" customWidth="1"/>
    <col min="18" max="18" width="4.42578125" style="30" bestFit="1" customWidth="1"/>
    <col min="19" max="19" width="9" style="30" bestFit="1" customWidth="1"/>
    <col min="20" max="20" width="5" style="30" bestFit="1" customWidth="1"/>
    <col min="21" max="21" width="9.42578125" style="31" bestFit="1" customWidth="1"/>
    <col min="22" max="22" width="5.85546875" style="30" bestFit="1" customWidth="1"/>
    <col min="23" max="23" width="8.42578125" style="31" bestFit="1" customWidth="1"/>
    <col min="24" max="24" width="8.42578125" style="30" bestFit="1" customWidth="1"/>
    <col min="25" max="25" width="8.85546875" style="31" bestFit="1" customWidth="1"/>
    <col min="26" max="26" width="6.42578125" style="30" bestFit="1" customWidth="1"/>
    <col min="27" max="27" width="9.85546875" style="30" bestFit="1" customWidth="1"/>
    <col min="28" max="28" width="6.140625" style="31" bestFit="1" customWidth="1"/>
    <col min="29" max="29" width="6.42578125" style="31" bestFit="1" customWidth="1"/>
    <col min="30" max="30" width="7.85546875" style="28" bestFit="1" customWidth="1"/>
    <col min="31" max="31" width="11.42578125" style="28" bestFit="1" customWidth="1"/>
    <col min="32" max="32" width="12.42578125" style="28" bestFit="1" customWidth="1"/>
    <col min="33" max="33" width="9.42578125" style="28" bestFit="1" customWidth="1"/>
    <col min="34" max="34" width="6.85546875" style="28" bestFit="1" customWidth="1"/>
    <col min="35" max="35" width="5.85546875" style="28" bestFit="1" customWidth="1"/>
    <col min="36" max="36" width="5.42578125" style="28" bestFit="1" customWidth="1"/>
    <col min="37" max="16384" width="9" style="28"/>
  </cols>
  <sheetData>
    <row r="1" spans="1:34" customFormat="1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4" ht="18.75" customHeight="1" x14ac:dyDescent="0.25">
      <c r="A2" s="92" t="s">
        <v>0</v>
      </c>
      <c r="B2" s="92" t="s">
        <v>1</v>
      </c>
      <c r="C2" s="92" t="s">
        <v>2</v>
      </c>
      <c r="D2" s="92" t="s">
        <v>3</v>
      </c>
      <c r="E2" s="94" t="s">
        <v>4</v>
      </c>
      <c r="F2" s="96" t="s">
        <v>5</v>
      </c>
      <c r="G2" s="98" t="s">
        <v>6</v>
      </c>
      <c r="H2" s="99"/>
      <c r="I2" s="99"/>
      <c r="J2" s="99"/>
      <c r="K2" s="99"/>
      <c r="L2" s="99"/>
      <c r="M2" s="99"/>
      <c r="N2" s="99"/>
      <c r="O2" s="100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93"/>
      <c r="B3" s="93"/>
      <c r="C3" s="93"/>
      <c r="D3" s="93"/>
      <c r="E3" s="95"/>
      <c r="F3" s="97"/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1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1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1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1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1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1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1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1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1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1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1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1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1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1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1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1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1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1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1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1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21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21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2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21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21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21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21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2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21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2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21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21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21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ht="21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21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ht="2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21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21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21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21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21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2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21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21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ht="2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ht="2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ht="2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2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2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t="2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t="2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t="2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t="2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t="2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t="2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t="2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t="2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t="2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t="2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2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t="2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2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2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2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2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2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</sheetData>
  <mergeCells count="12">
    <mergeCell ref="AG2:AG3"/>
    <mergeCell ref="AH2:AH3"/>
    <mergeCell ref="A1:AF1"/>
    <mergeCell ref="A2:A3"/>
    <mergeCell ref="B2:B3"/>
    <mergeCell ref="C2:C3"/>
    <mergeCell ref="D2:D3"/>
    <mergeCell ref="E2:E3"/>
    <mergeCell ref="F2:F3"/>
    <mergeCell ref="G2:O2"/>
    <mergeCell ref="P2:AE2"/>
    <mergeCell ref="AF2:AF3"/>
  </mergeCells>
  <pageMargins left="0" right="0.5" top="0" bottom="0" header="0" footer="0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AH309"/>
  <sheetViews>
    <sheetView rightToLeft="1" zoomScale="77" zoomScaleNormal="77" workbookViewId="0">
      <selection activeCell="AR84" sqref="AR84"/>
    </sheetView>
  </sheetViews>
  <sheetFormatPr defaultColWidth="9" defaultRowHeight="15" x14ac:dyDescent="0.25"/>
  <cols>
    <col min="1" max="1" width="12" style="28" bestFit="1" customWidth="1"/>
    <col min="2" max="2" width="54" style="28" bestFit="1" customWidth="1"/>
    <col min="3" max="3" width="9.85546875" style="48" bestFit="1" customWidth="1"/>
    <col min="4" max="4" width="16.5703125" style="48" bestFit="1" customWidth="1"/>
    <col min="5" max="5" width="13.140625" style="48" bestFit="1" customWidth="1"/>
    <col min="6" max="6" width="11.42578125" style="48" bestFit="1" customWidth="1"/>
    <col min="7" max="7" width="9.42578125" style="48" bestFit="1" customWidth="1"/>
    <col min="8" max="8" width="11.42578125" style="48" bestFit="1" customWidth="1"/>
    <col min="9" max="9" width="8" style="48" bestFit="1" customWidth="1"/>
    <col min="10" max="10" width="9.42578125" style="48" bestFit="1" customWidth="1"/>
    <col min="11" max="11" width="9" style="48" bestFit="1" customWidth="1"/>
    <col min="12" max="12" width="9.42578125" style="48" bestFit="1" customWidth="1"/>
    <col min="13" max="13" width="6.5703125" style="48" bestFit="1" customWidth="1"/>
    <col min="14" max="14" width="7.42578125" style="48" bestFit="1" customWidth="1"/>
    <col min="15" max="15" width="11.42578125" style="48" bestFit="1" customWidth="1"/>
    <col min="16" max="16" width="8" style="48" bestFit="1" customWidth="1"/>
    <col min="17" max="17" width="9.42578125" style="48" bestFit="1" customWidth="1"/>
    <col min="18" max="18" width="10.42578125" style="48" bestFit="1" customWidth="1"/>
    <col min="19" max="19" width="10.42578125" style="48" customWidth="1"/>
    <col min="20" max="20" width="9" style="48" bestFit="1" customWidth="1"/>
    <col min="21" max="21" width="8" style="48" bestFit="1" customWidth="1"/>
    <col min="22" max="23" width="8" style="48" customWidth="1"/>
    <col min="24" max="24" width="9" style="48"/>
    <col min="25" max="25" width="9.42578125" style="48" bestFit="1" customWidth="1"/>
    <col min="26" max="26" width="6.85546875" style="48" bestFit="1" customWidth="1"/>
    <col min="27" max="29" width="8" style="48" bestFit="1" customWidth="1"/>
    <col min="30" max="30" width="12.85546875" style="48" bestFit="1" customWidth="1"/>
    <col min="31" max="31" width="11.42578125" style="48" bestFit="1" customWidth="1"/>
    <col min="32" max="32" width="8.85546875" style="48" bestFit="1" customWidth="1"/>
    <col min="33" max="16384" width="9" style="28"/>
  </cols>
  <sheetData>
    <row r="1" spans="1:34" s="38" customFormat="1" ht="18.75" x14ac:dyDescent="0.25">
      <c r="A1" s="32"/>
      <c r="B1" s="32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6"/>
      <c r="P1" s="34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7"/>
      <c r="AE1" s="37"/>
      <c r="AF1" s="37"/>
    </row>
    <row r="2" spans="1:34" ht="18" customHeight="1" x14ac:dyDescent="0.25">
      <c r="A2" s="108" t="s">
        <v>0</v>
      </c>
      <c r="B2" s="108" t="s">
        <v>1</v>
      </c>
      <c r="C2" s="110" t="s">
        <v>2</v>
      </c>
      <c r="D2" s="110" t="s">
        <v>3</v>
      </c>
      <c r="E2" s="110" t="s">
        <v>39</v>
      </c>
      <c r="F2" s="110" t="s">
        <v>5</v>
      </c>
      <c r="G2" s="39"/>
      <c r="H2" s="40"/>
      <c r="I2" s="40"/>
      <c r="J2" s="40"/>
      <c r="K2" s="40"/>
      <c r="L2" s="40"/>
      <c r="M2" s="40"/>
      <c r="N2" s="40"/>
      <c r="O2" s="41"/>
      <c r="P2" s="101" t="s">
        <v>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4" t="s">
        <v>8</v>
      </c>
      <c r="AG2" s="106" t="s">
        <v>9</v>
      </c>
      <c r="AH2" s="106" t="s">
        <v>10</v>
      </c>
    </row>
    <row r="3" spans="1:34" ht="41.25" customHeight="1" x14ac:dyDescent="0.25">
      <c r="A3" s="109"/>
      <c r="B3" s="109"/>
      <c r="C3" s="111"/>
      <c r="D3" s="111"/>
      <c r="E3" s="111"/>
      <c r="F3" s="111"/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5" t="s">
        <v>31</v>
      </c>
      <c r="AB3" s="5" t="s">
        <v>32</v>
      </c>
      <c r="AC3" s="5" t="s">
        <v>33</v>
      </c>
      <c r="AD3" s="6" t="s">
        <v>34</v>
      </c>
      <c r="AE3" s="4" t="s">
        <v>35</v>
      </c>
      <c r="AF3" s="105"/>
      <c r="AG3" s="107"/>
      <c r="AH3" s="107"/>
    </row>
    <row r="4" spans="1:34" ht="21" x14ac:dyDescent="0.35">
      <c r="A4" s="43">
        <f>+التشغيل!A4</f>
        <v>0</v>
      </c>
      <c r="B4" s="44">
        <f>+التشغيل!B4</f>
        <v>0</v>
      </c>
      <c r="C4" s="45">
        <f>+التشغيل!C4</f>
        <v>0</v>
      </c>
      <c r="D4" s="45">
        <f>+التشغيل!D4</f>
        <v>0</v>
      </c>
      <c r="E4" s="45">
        <f>+التشغيل!E4</f>
        <v>0</v>
      </c>
      <c r="F4" s="46">
        <f>التشغيل!F4</f>
        <v>0</v>
      </c>
      <c r="G4" s="46">
        <f>التشغيل!G4</f>
        <v>0</v>
      </c>
      <c r="H4" s="46">
        <f>التشغيل!H4</f>
        <v>0</v>
      </c>
      <c r="I4" s="46">
        <f>التشغيل!I4</f>
        <v>0</v>
      </c>
      <c r="J4" s="46">
        <f>التشغيل!J4</f>
        <v>0</v>
      </c>
      <c r="K4" s="46">
        <f>التشغيل!K4</f>
        <v>0</v>
      </c>
      <c r="L4" s="46">
        <f>التشغيل!L4</f>
        <v>0</v>
      </c>
      <c r="M4" s="46">
        <f>التشغيل!M4</f>
        <v>0</v>
      </c>
      <c r="N4" s="46">
        <f>التشغيل!N4</f>
        <v>0</v>
      </c>
      <c r="O4" s="46">
        <f>التشغيل!O4</f>
        <v>0</v>
      </c>
      <c r="P4" s="46">
        <f>التشغيل!P4</f>
        <v>0</v>
      </c>
      <c r="Q4" s="46">
        <f>التشغيل!Q4</f>
        <v>0</v>
      </c>
      <c r="R4" s="47">
        <f>التشغيل!R4</f>
        <v>0</v>
      </c>
      <c r="S4" s="47">
        <f>التشغيل!S4</f>
        <v>0</v>
      </c>
      <c r="T4" s="46">
        <f>التشغيل!T4</f>
        <v>0</v>
      </c>
      <c r="U4" s="46">
        <f>التشغيل!U4</f>
        <v>0</v>
      </c>
      <c r="V4" s="46">
        <f>التشغيل!V4</f>
        <v>0</v>
      </c>
      <c r="W4" s="46">
        <f>التشغيل!W4</f>
        <v>0</v>
      </c>
      <c r="X4" s="46">
        <f>التشغيل!X4</f>
        <v>0</v>
      </c>
      <c r="Y4" s="46">
        <f>التشغيل!Y4</f>
        <v>0</v>
      </c>
      <c r="Z4" s="46">
        <f>التشغيل!Z4</f>
        <v>0</v>
      </c>
      <c r="AA4" s="46">
        <f>التشغيل!AA4</f>
        <v>0</v>
      </c>
      <c r="AB4" s="46">
        <f>التشغيل!AB4</f>
        <v>0</v>
      </c>
      <c r="AC4" s="46">
        <f>التشغيل!AC4</f>
        <v>0</v>
      </c>
      <c r="AD4" s="46">
        <f>التشغيل!AD4</f>
        <v>0</v>
      </c>
      <c r="AE4" s="46">
        <f>التشغيل!AE4</f>
        <v>0</v>
      </c>
      <c r="AF4" s="46">
        <f>التشغيل!AF4</f>
        <v>0</v>
      </c>
      <c r="AG4" s="46">
        <f>التشغيل!AG4</f>
        <v>0</v>
      </c>
      <c r="AH4" s="46">
        <f>التشغيل!AH4</f>
        <v>0</v>
      </c>
    </row>
    <row r="5" spans="1:34" ht="21" x14ac:dyDescent="0.35">
      <c r="A5" s="43"/>
      <c r="B5" s="44"/>
      <c r="C5" s="45"/>
      <c r="D5" s="45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7"/>
      <c r="S5" s="47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15.75" x14ac:dyDescent="0.25">
      <c r="A6" s="108" t="s">
        <v>0</v>
      </c>
      <c r="B6" s="108" t="s">
        <v>1</v>
      </c>
      <c r="C6" s="110" t="s">
        <v>2</v>
      </c>
      <c r="D6" s="110" t="s">
        <v>3</v>
      </c>
      <c r="E6" s="110" t="s">
        <v>39</v>
      </c>
      <c r="F6" s="110" t="s">
        <v>5</v>
      </c>
      <c r="G6" s="39" t="s">
        <v>6</v>
      </c>
      <c r="H6" s="40"/>
      <c r="I6" s="40"/>
      <c r="J6" s="40"/>
      <c r="K6" s="40"/>
      <c r="L6" s="40"/>
      <c r="M6" s="40"/>
      <c r="N6" s="40"/>
      <c r="O6" s="41"/>
      <c r="P6" s="101" t="s">
        <v>7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104" t="s">
        <v>8</v>
      </c>
      <c r="AG6" s="106" t="s">
        <v>9</v>
      </c>
      <c r="AH6" s="106" t="s">
        <v>10</v>
      </c>
    </row>
    <row r="7" spans="1:34" ht="41.25" customHeight="1" x14ac:dyDescent="0.25">
      <c r="A7" s="109"/>
      <c r="B7" s="109"/>
      <c r="C7" s="111"/>
      <c r="D7" s="111"/>
      <c r="E7" s="111"/>
      <c r="F7" s="111"/>
      <c r="G7" s="42" t="s">
        <v>11</v>
      </c>
      <c r="H7" s="42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5" t="s">
        <v>31</v>
      </c>
      <c r="AB7" s="5" t="s">
        <v>32</v>
      </c>
      <c r="AC7" s="5" t="s">
        <v>33</v>
      </c>
      <c r="AD7" s="6" t="s">
        <v>34</v>
      </c>
      <c r="AE7" s="4" t="s">
        <v>35</v>
      </c>
      <c r="AF7" s="105"/>
      <c r="AG7" s="107"/>
      <c r="AH7" s="107"/>
    </row>
    <row r="8" spans="1:34" ht="21" x14ac:dyDescent="0.35">
      <c r="A8" s="43">
        <f>+التشغيل!A5</f>
        <v>0</v>
      </c>
      <c r="B8" s="44">
        <f>+التشغيل!B5</f>
        <v>0</v>
      </c>
      <c r="C8" s="45">
        <f>+التشغيل!C5</f>
        <v>0</v>
      </c>
      <c r="D8" s="45">
        <f>+التشغيل!D5</f>
        <v>0</v>
      </c>
      <c r="E8" s="45">
        <f>+التشغيل!E5</f>
        <v>0</v>
      </c>
      <c r="F8" s="46">
        <f>+التشغيل!F5</f>
        <v>0</v>
      </c>
      <c r="G8" s="46">
        <f>+التشغيل!G5</f>
        <v>0</v>
      </c>
      <c r="H8" s="46">
        <f>+التشغيل!H5</f>
        <v>0</v>
      </c>
      <c r="I8" s="46">
        <f>+التشغيل!I5</f>
        <v>0</v>
      </c>
      <c r="J8" s="46">
        <f>+التشغيل!J5</f>
        <v>0</v>
      </c>
      <c r="K8" s="46">
        <f>+التشغيل!K5</f>
        <v>0</v>
      </c>
      <c r="L8" s="46">
        <f>+التشغيل!L5</f>
        <v>0</v>
      </c>
      <c r="M8" s="46">
        <f>+التشغيل!M5</f>
        <v>0</v>
      </c>
      <c r="N8" s="46">
        <f>+التشغيل!N5</f>
        <v>0</v>
      </c>
      <c r="O8" s="46">
        <f>+التشغيل!O5</f>
        <v>0</v>
      </c>
      <c r="P8" s="46">
        <f>+التشغيل!P5</f>
        <v>0</v>
      </c>
      <c r="Q8" s="46">
        <f>+التشغيل!Q5</f>
        <v>0</v>
      </c>
      <c r="R8" s="47">
        <f>+التشغيل!R5</f>
        <v>0</v>
      </c>
      <c r="S8" s="47">
        <f>+التشغيل!S5</f>
        <v>0</v>
      </c>
      <c r="T8" s="46">
        <f>+التشغيل!T5</f>
        <v>0</v>
      </c>
      <c r="U8" s="46">
        <f>+التشغيل!U5</f>
        <v>0</v>
      </c>
      <c r="V8" s="46">
        <f>+التشغيل!V5</f>
        <v>0</v>
      </c>
      <c r="W8" s="46">
        <f>+التشغيل!W5</f>
        <v>0</v>
      </c>
      <c r="X8" s="46">
        <f>+التشغيل!X5</f>
        <v>0</v>
      </c>
      <c r="Y8" s="46">
        <f>+التشغيل!Y5</f>
        <v>0</v>
      </c>
      <c r="Z8" s="46">
        <f>+التشغيل!Z5</f>
        <v>0</v>
      </c>
      <c r="AA8" s="46">
        <f>+التشغيل!AA5</f>
        <v>0</v>
      </c>
      <c r="AB8" s="46">
        <f>+التشغيل!AB5</f>
        <v>0</v>
      </c>
      <c r="AC8" s="46">
        <f>+التشغيل!AC5</f>
        <v>0</v>
      </c>
      <c r="AD8" s="46">
        <f>+التشغيل!AD5</f>
        <v>0</v>
      </c>
      <c r="AE8" s="46">
        <f>+التشغيل!AE5</f>
        <v>0</v>
      </c>
      <c r="AF8" s="46">
        <f>+التشغيل!AF5</f>
        <v>0</v>
      </c>
      <c r="AG8" s="46">
        <f>+التشغيل!AG5</f>
        <v>0</v>
      </c>
      <c r="AH8" s="46">
        <f>+التشغيل!AH5</f>
        <v>0</v>
      </c>
    </row>
    <row r="9" spans="1:34" ht="21" x14ac:dyDescent="0.35">
      <c r="A9" s="43"/>
      <c r="B9" s="44"/>
      <c r="C9" s="45"/>
      <c r="D9" s="45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  <c r="S9" s="47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15.75" x14ac:dyDescent="0.25">
      <c r="A10" s="108" t="s">
        <v>0</v>
      </c>
      <c r="B10" s="108" t="s">
        <v>1</v>
      </c>
      <c r="C10" s="110" t="s">
        <v>2</v>
      </c>
      <c r="D10" s="110" t="s">
        <v>3</v>
      </c>
      <c r="E10" s="110" t="s">
        <v>39</v>
      </c>
      <c r="F10" s="110" t="s">
        <v>5</v>
      </c>
      <c r="G10" s="39" t="s">
        <v>6</v>
      </c>
      <c r="H10" s="40"/>
      <c r="I10" s="40"/>
      <c r="J10" s="40"/>
      <c r="K10" s="40"/>
      <c r="L10" s="40"/>
      <c r="M10" s="40"/>
      <c r="N10" s="40"/>
      <c r="O10" s="41"/>
      <c r="P10" s="101" t="s">
        <v>7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  <c r="AF10" s="104" t="s">
        <v>8</v>
      </c>
      <c r="AG10" s="106" t="s">
        <v>9</v>
      </c>
      <c r="AH10" s="106" t="s">
        <v>10</v>
      </c>
    </row>
    <row r="11" spans="1:34" ht="41.25" customHeight="1" x14ac:dyDescent="0.25">
      <c r="A11" s="109"/>
      <c r="B11" s="109"/>
      <c r="C11" s="111"/>
      <c r="D11" s="111"/>
      <c r="E11" s="111"/>
      <c r="F11" s="111"/>
      <c r="G11" s="42" t="s">
        <v>11</v>
      </c>
      <c r="H11" s="42" t="s">
        <v>12</v>
      </c>
      <c r="I11" s="42" t="s">
        <v>13</v>
      </c>
      <c r="J11" s="42" t="s">
        <v>14</v>
      </c>
      <c r="K11" s="42" t="s">
        <v>15</v>
      </c>
      <c r="L11" s="42" t="s">
        <v>16</v>
      </c>
      <c r="M11" s="42" t="s">
        <v>17</v>
      </c>
      <c r="N11" s="42" t="s">
        <v>18</v>
      </c>
      <c r="O11" s="42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5" t="s">
        <v>31</v>
      </c>
      <c r="AB11" s="5" t="s">
        <v>32</v>
      </c>
      <c r="AC11" s="5" t="s">
        <v>33</v>
      </c>
      <c r="AD11" s="6" t="s">
        <v>34</v>
      </c>
      <c r="AE11" s="4" t="s">
        <v>35</v>
      </c>
      <c r="AF11" s="105"/>
      <c r="AG11" s="107"/>
      <c r="AH11" s="107"/>
    </row>
    <row r="12" spans="1:34" ht="21" x14ac:dyDescent="0.35">
      <c r="A12" s="43">
        <f>+التشغيل!A6</f>
        <v>0</v>
      </c>
      <c r="B12" s="44">
        <f>+التشغيل!B6</f>
        <v>0</v>
      </c>
      <c r="C12" s="45">
        <f>+التشغيل!C6</f>
        <v>0</v>
      </c>
      <c r="D12" s="45">
        <f>+التشغيل!D6</f>
        <v>0</v>
      </c>
      <c r="E12" s="45">
        <f>+التشغيل!E6</f>
        <v>0</v>
      </c>
      <c r="F12" s="46">
        <f>+التشغيل!F6</f>
        <v>0</v>
      </c>
      <c r="G12" s="46">
        <f>+التشغيل!G6</f>
        <v>0</v>
      </c>
      <c r="H12" s="46">
        <f>+التشغيل!H6</f>
        <v>0</v>
      </c>
      <c r="I12" s="46">
        <f>+التشغيل!I6</f>
        <v>0</v>
      </c>
      <c r="J12" s="46">
        <f>+التشغيل!J6</f>
        <v>0</v>
      </c>
      <c r="K12" s="46">
        <f>+التشغيل!K6</f>
        <v>0</v>
      </c>
      <c r="L12" s="46">
        <f>+التشغيل!L6</f>
        <v>0</v>
      </c>
      <c r="M12" s="46">
        <f>+التشغيل!M6</f>
        <v>0</v>
      </c>
      <c r="N12" s="46">
        <f>+التشغيل!N6</f>
        <v>0</v>
      </c>
      <c r="O12" s="46">
        <f>+التشغيل!O6</f>
        <v>0</v>
      </c>
      <c r="P12" s="46">
        <f>+التشغيل!P6</f>
        <v>0</v>
      </c>
      <c r="Q12" s="46">
        <f>+التشغيل!Q6</f>
        <v>0</v>
      </c>
      <c r="R12" s="47">
        <f>+التشغيل!R6</f>
        <v>0</v>
      </c>
      <c r="S12" s="47">
        <f>+التشغيل!S6</f>
        <v>0</v>
      </c>
      <c r="T12" s="46">
        <f>+التشغيل!T6</f>
        <v>0</v>
      </c>
      <c r="U12" s="46">
        <f>+التشغيل!U6</f>
        <v>0</v>
      </c>
      <c r="V12" s="46">
        <f>+التشغيل!V6</f>
        <v>0</v>
      </c>
      <c r="W12" s="46">
        <f>+التشغيل!W6</f>
        <v>0</v>
      </c>
      <c r="X12" s="46">
        <f>+التشغيل!X6</f>
        <v>0</v>
      </c>
      <c r="Y12" s="46">
        <f>+التشغيل!Y6</f>
        <v>0</v>
      </c>
      <c r="Z12" s="46">
        <f>+التشغيل!Z6</f>
        <v>0</v>
      </c>
      <c r="AA12" s="46">
        <f>+التشغيل!AA6</f>
        <v>0</v>
      </c>
      <c r="AB12" s="46">
        <f>+التشغيل!AB6</f>
        <v>0</v>
      </c>
      <c r="AC12" s="46">
        <f>+التشغيل!AC6</f>
        <v>0</v>
      </c>
      <c r="AD12" s="46">
        <f>+التشغيل!AD6</f>
        <v>0</v>
      </c>
      <c r="AE12" s="46">
        <f>+التشغيل!AE6</f>
        <v>0</v>
      </c>
      <c r="AF12" s="46">
        <f>+التشغيل!AF6</f>
        <v>0</v>
      </c>
      <c r="AG12" s="46">
        <f>+التشغيل!AG6</f>
        <v>0</v>
      </c>
      <c r="AH12" s="46">
        <f>+التشغيل!AH6</f>
        <v>0</v>
      </c>
    </row>
    <row r="13" spans="1:34" ht="21" x14ac:dyDescent="0.35">
      <c r="A13" s="43"/>
      <c r="B13" s="44"/>
      <c r="C13" s="45"/>
      <c r="D13" s="45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15.75" x14ac:dyDescent="0.25">
      <c r="A14" s="108" t="s">
        <v>0</v>
      </c>
      <c r="B14" s="108" t="s">
        <v>1</v>
      </c>
      <c r="C14" s="110" t="s">
        <v>2</v>
      </c>
      <c r="D14" s="110" t="s">
        <v>3</v>
      </c>
      <c r="E14" s="110" t="s">
        <v>39</v>
      </c>
      <c r="F14" s="110" t="s">
        <v>5</v>
      </c>
      <c r="G14" s="39" t="s">
        <v>6</v>
      </c>
      <c r="H14" s="40"/>
      <c r="I14" s="40"/>
      <c r="J14" s="40"/>
      <c r="K14" s="40"/>
      <c r="L14" s="40"/>
      <c r="M14" s="40"/>
      <c r="N14" s="40"/>
      <c r="O14" s="41"/>
      <c r="P14" s="101" t="s">
        <v>7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F14" s="104" t="s">
        <v>8</v>
      </c>
      <c r="AG14" s="106" t="s">
        <v>9</v>
      </c>
      <c r="AH14" s="106" t="s">
        <v>10</v>
      </c>
    </row>
    <row r="15" spans="1:34" ht="41.25" customHeight="1" x14ac:dyDescent="0.25">
      <c r="A15" s="109"/>
      <c r="B15" s="109"/>
      <c r="C15" s="111"/>
      <c r="D15" s="111"/>
      <c r="E15" s="111"/>
      <c r="F15" s="111"/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19</v>
      </c>
      <c r="P15" s="4" t="s">
        <v>20</v>
      </c>
      <c r="Q15" s="4" t="s">
        <v>21</v>
      </c>
      <c r="R15" s="4" t="s">
        <v>22</v>
      </c>
      <c r="S15" s="4" t="s">
        <v>23</v>
      </c>
      <c r="T15" s="4" t="s">
        <v>24</v>
      </c>
      <c r="U15" s="4" t="s">
        <v>25</v>
      </c>
      <c r="V15" s="4" t="s">
        <v>26</v>
      </c>
      <c r="W15" s="4" t="s">
        <v>27</v>
      </c>
      <c r="X15" s="4" t="s">
        <v>28</v>
      </c>
      <c r="Y15" s="4" t="s">
        <v>29</v>
      </c>
      <c r="Z15" s="4" t="s">
        <v>30</v>
      </c>
      <c r="AA15" s="5" t="s">
        <v>31</v>
      </c>
      <c r="AB15" s="5" t="s">
        <v>32</v>
      </c>
      <c r="AC15" s="5" t="s">
        <v>33</v>
      </c>
      <c r="AD15" s="6" t="s">
        <v>34</v>
      </c>
      <c r="AE15" s="4" t="s">
        <v>35</v>
      </c>
      <c r="AF15" s="105"/>
      <c r="AG15" s="107"/>
      <c r="AH15" s="107"/>
    </row>
    <row r="16" spans="1:34" ht="21" x14ac:dyDescent="0.35">
      <c r="A16" s="43">
        <f>+التشغيل!A7</f>
        <v>0</v>
      </c>
      <c r="B16" s="44">
        <f>+التشغيل!B7</f>
        <v>0</v>
      </c>
      <c r="C16" s="45">
        <f>+التشغيل!C7</f>
        <v>0</v>
      </c>
      <c r="D16" s="45">
        <f>+التشغيل!D7</f>
        <v>0</v>
      </c>
      <c r="E16" s="45">
        <f>+التشغيل!E7</f>
        <v>0</v>
      </c>
      <c r="F16" s="46">
        <f>+التشغيل!F7</f>
        <v>0</v>
      </c>
      <c r="G16" s="46">
        <f>+التشغيل!G7</f>
        <v>0</v>
      </c>
      <c r="H16" s="46">
        <f>+التشغيل!H7</f>
        <v>0</v>
      </c>
      <c r="I16" s="46">
        <f>+التشغيل!I7</f>
        <v>0</v>
      </c>
      <c r="J16" s="46">
        <f>+التشغيل!J7</f>
        <v>0</v>
      </c>
      <c r="K16" s="46">
        <f>+التشغيل!K7</f>
        <v>0</v>
      </c>
      <c r="L16" s="46">
        <f>+التشغيل!L7</f>
        <v>0</v>
      </c>
      <c r="M16" s="46">
        <f>+التشغيل!M7</f>
        <v>0</v>
      </c>
      <c r="N16" s="46">
        <f>+التشغيل!N7</f>
        <v>0</v>
      </c>
      <c r="O16" s="46">
        <f>+التشغيل!O7</f>
        <v>0</v>
      </c>
      <c r="P16" s="46">
        <f>+التشغيل!P7</f>
        <v>0</v>
      </c>
      <c r="Q16" s="46">
        <f>+التشغيل!Q7</f>
        <v>0</v>
      </c>
      <c r="R16" s="47">
        <f>+التشغيل!R7</f>
        <v>0</v>
      </c>
      <c r="S16" s="47">
        <f>+التشغيل!S7</f>
        <v>0</v>
      </c>
      <c r="T16" s="46">
        <f>+التشغيل!T7</f>
        <v>0</v>
      </c>
      <c r="U16" s="46">
        <f>+التشغيل!U7</f>
        <v>0</v>
      </c>
      <c r="V16" s="46">
        <f>+التشغيل!V7</f>
        <v>0</v>
      </c>
      <c r="W16" s="46">
        <f>+التشغيل!W7</f>
        <v>0</v>
      </c>
      <c r="X16" s="46">
        <f>+التشغيل!X7</f>
        <v>0</v>
      </c>
      <c r="Y16" s="46">
        <f>+التشغيل!Y7</f>
        <v>0</v>
      </c>
      <c r="Z16" s="46">
        <f>+التشغيل!Z7</f>
        <v>0</v>
      </c>
      <c r="AA16" s="46">
        <f>+التشغيل!AA7</f>
        <v>0</v>
      </c>
      <c r="AB16" s="46">
        <f>+التشغيل!AB7</f>
        <v>0</v>
      </c>
      <c r="AC16" s="46">
        <f>+التشغيل!AC7</f>
        <v>0</v>
      </c>
      <c r="AD16" s="46">
        <f>+التشغيل!AD7</f>
        <v>0</v>
      </c>
      <c r="AE16" s="46">
        <f>+التشغيل!AE7</f>
        <v>0</v>
      </c>
      <c r="AF16" s="46">
        <f>+التشغيل!AF7</f>
        <v>0</v>
      </c>
      <c r="AG16" s="46">
        <f>+التشغيل!AG7</f>
        <v>0</v>
      </c>
      <c r="AH16" s="46">
        <f>+التشغيل!AH7</f>
        <v>0</v>
      </c>
    </row>
    <row r="17" spans="1:34" ht="21" x14ac:dyDescent="0.35">
      <c r="A17" s="43"/>
      <c r="B17" s="44"/>
      <c r="C17" s="45"/>
      <c r="D17" s="45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47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15.75" x14ac:dyDescent="0.25">
      <c r="A18" s="108" t="s">
        <v>0</v>
      </c>
      <c r="B18" s="108" t="s">
        <v>1</v>
      </c>
      <c r="C18" s="110" t="s">
        <v>2</v>
      </c>
      <c r="D18" s="110" t="s">
        <v>3</v>
      </c>
      <c r="E18" s="110" t="s">
        <v>39</v>
      </c>
      <c r="F18" s="110" t="s">
        <v>5</v>
      </c>
      <c r="G18" s="39" t="s">
        <v>6</v>
      </c>
      <c r="H18" s="40"/>
      <c r="I18" s="40"/>
      <c r="J18" s="40"/>
      <c r="K18" s="40"/>
      <c r="L18" s="40"/>
      <c r="M18" s="40"/>
      <c r="N18" s="40"/>
      <c r="O18" s="41"/>
      <c r="P18" s="101" t="s">
        <v>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  <c r="AF18" s="104" t="s">
        <v>8</v>
      </c>
      <c r="AG18" s="106" t="s">
        <v>9</v>
      </c>
      <c r="AH18" s="106" t="s">
        <v>10</v>
      </c>
    </row>
    <row r="19" spans="1:34" ht="41.25" customHeight="1" x14ac:dyDescent="0.25">
      <c r="A19" s="109"/>
      <c r="B19" s="109"/>
      <c r="C19" s="111"/>
      <c r="D19" s="111"/>
      <c r="E19" s="111"/>
      <c r="F19" s="111"/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 t="s">
        <v>19</v>
      </c>
      <c r="P19" s="4" t="s">
        <v>20</v>
      </c>
      <c r="Q19" s="4" t="s">
        <v>21</v>
      </c>
      <c r="R19" s="4" t="s">
        <v>22</v>
      </c>
      <c r="S19" s="4" t="s">
        <v>23</v>
      </c>
      <c r="T19" s="4" t="s">
        <v>24</v>
      </c>
      <c r="U19" s="4" t="s">
        <v>25</v>
      </c>
      <c r="V19" s="4" t="s">
        <v>26</v>
      </c>
      <c r="W19" s="4" t="s">
        <v>27</v>
      </c>
      <c r="X19" s="4" t="s">
        <v>28</v>
      </c>
      <c r="Y19" s="4" t="s">
        <v>29</v>
      </c>
      <c r="Z19" s="4" t="s">
        <v>30</v>
      </c>
      <c r="AA19" s="5" t="s">
        <v>31</v>
      </c>
      <c r="AB19" s="5" t="s">
        <v>32</v>
      </c>
      <c r="AC19" s="5" t="s">
        <v>33</v>
      </c>
      <c r="AD19" s="6" t="s">
        <v>34</v>
      </c>
      <c r="AE19" s="4" t="s">
        <v>35</v>
      </c>
      <c r="AF19" s="105"/>
      <c r="AG19" s="107"/>
      <c r="AH19" s="107"/>
    </row>
    <row r="20" spans="1:34" ht="21" x14ac:dyDescent="0.35">
      <c r="A20" s="43">
        <f>+التشغيل!A8</f>
        <v>0</v>
      </c>
      <c r="B20" s="44">
        <f>+التشغيل!B8</f>
        <v>0</v>
      </c>
      <c r="C20" s="45">
        <f>+التشغيل!C8</f>
        <v>0</v>
      </c>
      <c r="D20" s="45">
        <f>+التشغيل!D8</f>
        <v>0</v>
      </c>
      <c r="E20" s="45">
        <f>+التشغيل!E8</f>
        <v>0</v>
      </c>
      <c r="F20" s="46">
        <f>+التشغيل!F8</f>
        <v>0</v>
      </c>
      <c r="G20" s="46">
        <f>+التشغيل!G8</f>
        <v>0</v>
      </c>
      <c r="H20" s="46">
        <f>+التشغيل!H8</f>
        <v>0</v>
      </c>
      <c r="I20" s="46">
        <f>+التشغيل!I8</f>
        <v>0</v>
      </c>
      <c r="J20" s="46">
        <f>+التشغيل!J8</f>
        <v>0</v>
      </c>
      <c r="K20" s="46">
        <f>+التشغيل!K8</f>
        <v>0</v>
      </c>
      <c r="L20" s="46">
        <f>+التشغيل!L8</f>
        <v>0</v>
      </c>
      <c r="M20" s="46">
        <f>+التشغيل!M8</f>
        <v>0</v>
      </c>
      <c r="N20" s="46">
        <f>+التشغيل!N8</f>
        <v>0</v>
      </c>
      <c r="O20" s="46">
        <f>+التشغيل!O8</f>
        <v>0</v>
      </c>
      <c r="P20" s="46">
        <f>+التشغيل!P8</f>
        <v>0</v>
      </c>
      <c r="Q20" s="46">
        <f>+التشغيل!Q8</f>
        <v>0</v>
      </c>
      <c r="R20" s="47">
        <f>+التشغيل!R8</f>
        <v>0</v>
      </c>
      <c r="S20" s="47">
        <f>+التشغيل!S8</f>
        <v>0</v>
      </c>
      <c r="T20" s="46">
        <f>+التشغيل!T8</f>
        <v>0</v>
      </c>
      <c r="U20" s="46">
        <f>+التشغيل!U8</f>
        <v>0</v>
      </c>
      <c r="V20" s="46">
        <f>+التشغيل!V8</f>
        <v>0</v>
      </c>
      <c r="W20" s="46">
        <f>+التشغيل!W8</f>
        <v>0</v>
      </c>
      <c r="X20" s="46">
        <f>+التشغيل!X8</f>
        <v>0</v>
      </c>
      <c r="Y20" s="46">
        <f>+التشغيل!Y8</f>
        <v>0</v>
      </c>
      <c r="Z20" s="46">
        <f>+التشغيل!Z8</f>
        <v>0</v>
      </c>
      <c r="AA20" s="46">
        <f>+التشغيل!AA8</f>
        <v>0</v>
      </c>
      <c r="AB20" s="46">
        <f>+التشغيل!AB8</f>
        <v>0</v>
      </c>
      <c r="AC20" s="46">
        <f>+التشغيل!AC8</f>
        <v>0</v>
      </c>
      <c r="AD20" s="46">
        <f>+التشغيل!AD8</f>
        <v>0</v>
      </c>
      <c r="AE20" s="46">
        <f>+التشغيل!AE8</f>
        <v>0</v>
      </c>
      <c r="AF20" s="46">
        <f>+التشغيل!AF8</f>
        <v>0</v>
      </c>
      <c r="AG20" s="46">
        <f>+التشغيل!AG8</f>
        <v>0</v>
      </c>
      <c r="AH20" s="46">
        <f>+التشغيل!AH8</f>
        <v>0</v>
      </c>
    </row>
    <row r="21" spans="1:34" ht="21" x14ac:dyDescent="0.35">
      <c r="A21" s="43"/>
      <c r="B21" s="44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15.75" x14ac:dyDescent="0.25">
      <c r="A22" s="108" t="s">
        <v>0</v>
      </c>
      <c r="B22" s="108" t="s">
        <v>1</v>
      </c>
      <c r="C22" s="110" t="s">
        <v>2</v>
      </c>
      <c r="D22" s="110" t="s">
        <v>3</v>
      </c>
      <c r="E22" s="110" t="s">
        <v>39</v>
      </c>
      <c r="F22" s="110" t="s">
        <v>5</v>
      </c>
      <c r="G22" s="39" t="s">
        <v>6</v>
      </c>
      <c r="H22" s="40"/>
      <c r="I22" s="40"/>
      <c r="J22" s="40"/>
      <c r="K22" s="40"/>
      <c r="L22" s="40"/>
      <c r="M22" s="40"/>
      <c r="N22" s="40"/>
      <c r="O22" s="41"/>
      <c r="P22" s="101" t="s">
        <v>7</v>
      </c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04" t="s">
        <v>8</v>
      </c>
      <c r="AG22" s="106" t="s">
        <v>9</v>
      </c>
      <c r="AH22" s="106" t="s">
        <v>10</v>
      </c>
    </row>
    <row r="23" spans="1:34" ht="41.25" customHeight="1" x14ac:dyDescent="0.25">
      <c r="A23" s="109"/>
      <c r="B23" s="109"/>
      <c r="C23" s="111"/>
      <c r="D23" s="111"/>
      <c r="E23" s="111"/>
      <c r="F23" s="111"/>
      <c r="G23" s="42" t="s">
        <v>11</v>
      </c>
      <c r="H23" s="42" t="s">
        <v>12</v>
      </c>
      <c r="I23" s="42" t="s">
        <v>13</v>
      </c>
      <c r="J23" s="42" t="s">
        <v>14</v>
      </c>
      <c r="K23" s="42" t="s">
        <v>15</v>
      </c>
      <c r="L23" s="42" t="s">
        <v>16</v>
      </c>
      <c r="M23" s="42" t="s">
        <v>17</v>
      </c>
      <c r="N23" s="42" t="s">
        <v>18</v>
      </c>
      <c r="O23" s="42" t="s">
        <v>19</v>
      </c>
      <c r="P23" s="4" t="s">
        <v>20</v>
      </c>
      <c r="Q23" s="4" t="s">
        <v>21</v>
      </c>
      <c r="R23" s="4" t="s">
        <v>22</v>
      </c>
      <c r="S23" s="4" t="s">
        <v>23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5" t="s">
        <v>31</v>
      </c>
      <c r="AB23" s="5" t="s">
        <v>32</v>
      </c>
      <c r="AC23" s="5" t="s">
        <v>33</v>
      </c>
      <c r="AD23" s="6" t="s">
        <v>34</v>
      </c>
      <c r="AE23" s="4" t="s">
        <v>35</v>
      </c>
      <c r="AF23" s="105"/>
      <c r="AG23" s="107"/>
      <c r="AH23" s="107"/>
    </row>
    <row r="24" spans="1:34" ht="21" x14ac:dyDescent="0.35">
      <c r="A24" s="43">
        <f>+التشغيل!A9</f>
        <v>0</v>
      </c>
      <c r="B24" s="44">
        <f>+التشغيل!B9</f>
        <v>0</v>
      </c>
      <c r="C24" s="45">
        <f>+التشغيل!C9</f>
        <v>0</v>
      </c>
      <c r="D24" s="45">
        <f>+التشغيل!D9</f>
        <v>0</v>
      </c>
      <c r="E24" s="45">
        <f>+التشغيل!E9</f>
        <v>0</v>
      </c>
      <c r="F24" s="46">
        <f>+التشغيل!F9</f>
        <v>0</v>
      </c>
      <c r="G24" s="46">
        <f>+التشغيل!G9</f>
        <v>0</v>
      </c>
      <c r="H24" s="46">
        <f>+التشغيل!H9</f>
        <v>0</v>
      </c>
      <c r="I24" s="46">
        <f>+التشغيل!I9</f>
        <v>0</v>
      </c>
      <c r="J24" s="46">
        <f>+التشغيل!J9</f>
        <v>0</v>
      </c>
      <c r="K24" s="46">
        <f>+التشغيل!K9</f>
        <v>0</v>
      </c>
      <c r="L24" s="46">
        <f>+التشغيل!L9</f>
        <v>0</v>
      </c>
      <c r="M24" s="46">
        <f>+التشغيل!M9</f>
        <v>0</v>
      </c>
      <c r="N24" s="46">
        <f>+التشغيل!N9</f>
        <v>0</v>
      </c>
      <c r="O24" s="46">
        <f>+التشغيل!O9</f>
        <v>0</v>
      </c>
      <c r="P24" s="46">
        <f>+التشغيل!P9</f>
        <v>0</v>
      </c>
      <c r="Q24" s="46">
        <f>+التشغيل!Q9</f>
        <v>0</v>
      </c>
      <c r="R24" s="47">
        <f>+التشغيل!R9</f>
        <v>0</v>
      </c>
      <c r="S24" s="47">
        <f>+التشغيل!S9</f>
        <v>0</v>
      </c>
      <c r="T24" s="46">
        <f>+التشغيل!T9</f>
        <v>0</v>
      </c>
      <c r="U24" s="46">
        <f>+التشغيل!U9</f>
        <v>0</v>
      </c>
      <c r="V24" s="46">
        <f>+التشغيل!V9</f>
        <v>0</v>
      </c>
      <c r="W24" s="46">
        <f>+التشغيل!W9</f>
        <v>0</v>
      </c>
      <c r="X24" s="46">
        <f>+التشغيل!X9</f>
        <v>0</v>
      </c>
      <c r="Y24" s="46">
        <f>+التشغيل!Y9</f>
        <v>0</v>
      </c>
      <c r="Z24" s="46">
        <f>+التشغيل!Z9</f>
        <v>0</v>
      </c>
      <c r="AA24" s="46">
        <f>+التشغيل!AA9</f>
        <v>0</v>
      </c>
      <c r="AB24" s="46">
        <f>+التشغيل!AB9</f>
        <v>0</v>
      </c>
      <c r="AC24" s="46">
        <f>+التشغيل!AC9</f>
        <v>0</v>
      </c>
      <c r="AD24" s="46">
        <f>+التشغيل!AD9</f>
        <v>0</v>
      </c>
      <c r="AE24" s="46">
        <f>+التشغيل!AE9</f>
        <v>0</v>
      </c>
      <c r="AF24" s="46">
        <f>+التشغيل!AF9</f>
        <v>0</v>
      </c>
      <c r="AG24" s="46">
        <f>+التشغيل!AG9</f>
        <v>0</v>
      </c>
      <c r="AH24" s="46">
        <f>+التشغيل!AH9</f>
        <v>0</v>
      </c>
    </row>
    <row r="25" spans="1:34" ht="21" x14ac:dyDescent="0.35">
      <c r="A25" s="43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15.75" x14ac:dyDescent="0.25">
      <c r="A26" s="108" t="s">
        <v>0</v>
      </c>
      <c r="B26" s="108" t="s">
        <v>1</v>
      </c>
      <c r="C26" s="110" t="s">
        <v>2</v>
      </c>
      <c r="D26" s="110" t="s">
        <v>3</v>
      </c>
      <c r="E26" s="110" t="s">
        <v>39</v>
      </c>
      <c r="F26" s="110" t="s">
        <v>5</v>
      </c>
      <c r="G26" s="39" t="s">
        <v>6</v>
      </c>
      <c r="H26" s="40"/>
      <c r="I26" s="40"/>
      <c r="J26" s="40"/>
      <c r="K26" s="40"/>
      <c r="L26" s="40"/>
      <c r="M26" s="40"/>
      <c r="N26" s="40"/>
      <c r="O26" s="41"/>
      <c r="P26" s="101" t="s">
        <v>7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3"/>
      <c r="AF26" s="104" t="s">
        <v>8</v>
      </c>
      <c r="AG26" s="106" t="s">
        <v>9</v>
      </c>
      <c r="AH26" s="106" t="s">
        <v>10</v>
      </c>
    </row>
    <row r="27" spans="1:34" ht="41.25" customHeight="1" x14ac:dyDescent="0.25">
      <c r="A27" s="109"/>
      <c r="B27" s="109"/>
      <c r="C27" s="111"/>
      <c r="D27" s="111"/>
      <c r="E27" s="111"/>
      <c r="F27" s="111"/>
      <c r="G27" s="42" t="s">
        <v>11</v>
      </c>
      <c r="H27" s="42" t="s">
        <v>12</v>
      </c>
      <c r="I27" s="42" t="s">
        <v>13</v>
      </c>
      <c r="J27" s="42" t="s">
        <v>14</v>
      </c>
      <c r="K27" s="42" t="s">
        <v>15</v>
      </c>
      <c r="L27" s="42" t="s">
        <v>16</v>
      </c>
      <c r="M27" s="42" t="s">
        <v>17</v>
      </c>
      <c r="N27" s="42" t="s">
        <v>18</v>
      </c>
      <c r="O27" s="42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4" t="s">
        <v>26</v>
      </c>
      <c r="W27" s="4" t="s">
        <v>27</v>
      </c>
      <c r="X27" s="4" t="s">
        <v>28</v>
      </c>
      <c r="Y27" s="4" t="s">
        <v>29</v>
      </c>
      <c r="Z27" s="4" t="s">
        <v>30</v>
      </c>
      <c r="AA27" s="5" t="s">
        <v>31</v>
      </c>
      <c r="AB27" s="5" t="s">
        <v>32</v>
      </c>
      <c r="AC27" s="5" t="s">
        <v>33</v>
      </c>
      <c r="AD27" s="6" t="s">
        <v>34</v>
      </c>
      <c r="AE27" s="4" t="s">
        <v>35</v>
      </c>
      <c r="AF27" s="105"/>
      <c r="AG27" s="107"/>
      <c r="AH27" s="107"/>
    </row>
    <row r="28" spans="1:34" ht="21" x14ac:dyDescent="0.35">
      <c r="A28" s="43">
        <f>+التشغيل!A10</f>
        <v>0</v>
      </c>
      <c r="B28" s="44">
        <f>+التشغيل!B10</f>
        <v>0</v>
      </c>
      <c r="C28" s="45">
        <f>+التشغيل!C10</f>
        <v>0</v>
      </c>
      <c r="D28" s="45">
        <f>+التشغيل!D10</f>
        <v>0</v>
      </c>
      <c r="E28" s="45">
        <f>+التشغيل!E10</f>
        <v>0</v>
      </c>
      <c r="F28" s="46">
        <f>+التشغيل!F10</f>
        <v>0</v>
      </c>
      <c r="G28" s="46">
        <f>+التشغيل!G10</f>
        <v>0</v>
      </c>
      <c r="H28" s="46">
        <f>+التشغيل!H10</f>
        <v>0</v>
      </c>
      <c r="I28" s="46">
        <f>+التشغيل!I10</f>
        <v>0</v>
      </c>
      <c r="J28" s="46">
        <f>+التشغيل!J10</f>
        <v>0</v>
      </c>
      <c r="K28" s="46">
        <f>+التشغيل!K10</f>
        <v>0</v>
      </c>
      <c r="L28" s="46">
        <f>+التشغيل!L10</f>
        <v>0</v>
      </c>
      <c r="M28" s="46">
        <f>+التشغيل!M10</f>
        <v>0</v>
      </c>
      <c r="N28" s="46">
        <f>+التشغيل!N10</f>
        <v>0</v>
      </c>
      <c r="O28" s="46">
        <f>+التشغيل!O10</f>
        <v>0</v>
      </c>
      <c r="P28" s="46">
        <f>+التشغيل!P10</f>
        <v>0</v>
      </c>
      <c r="Q28" s="46">
        <f>+التشغيل!Q10</f>
        <v>0</v>
      </c>
      <c r="R28" s="47">
        <f>+التشغيل!R10</f>
        <v>0</v>
      </c>
      <c r="S28" s="47">
        <f>+التشغيل!S10</f>
        <v>0</v>
      </c>
      <c r="T28" s="46">
        <f>+التشغيل!T10</f>
        <v>0</v>
      </c>
      <c r="U28" s="46">
        <f>+التشغيل!U10</f>
        <v>0</v>
      </c>
      <c r="V28" s="46">
        <f>+التشغيل!V10</f>
        <v>0</v>
      </c>
      <c r="W28" s="46">
        <f>+التشغيل!W10</f>
        <v>0</v>
      </c>
      <c r="X28" s="46">
        <f>+التشغيل!X10</f>
        <v>0</v>
      </c>
      <c r="Y28" s="46">
        <f>+التشغيل!Y10</f>
        <v>0</v>
      </c>
      <c r="Z28" s="46">
        <f>+التشغيل!Z10</f>
        <v>0</v>
      </c>
      <c r="AA28" s="46">
        <f>+التشغيل!AA10</f>
        <v>0</v>
      </c>
      <c r="AB28" s="46">
        <f>+التشغيل!AB10</f>
        <v>0</v>
      </c>
      <c r="AC28" s="46">
        <f>+التشغيل!AC10</f>
        <v>0</v>
      </c>
      <c r="AD28" s="46">
        <f>+التشغيل!AD10</f>
        <v>0</v>
      </c>
      <c r="AE28" s="46">
        <f>+التشغيل!AE10</f>
        <v>0</v>
      </c>
      <c r="AF28" s="46">
        <f>+التشغيل!AF10</f>
        <v>0</v>
      </c>
      <c r="AG28" s="46">
        <f>+التشغيل!AG10</f>
        <v>0</v>
      </c>
      <c r="AH28" s="46">
        <f>+التشغيل!AH10</f>
        <v>0</v>
      </c>
    </row>
    <row r="29" spans="1:34" ht="21" x14ac:dyDescent="0.35">
      <c r="A29" s="43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15.75" x14ac:dyDescent="0.25">
      <c r="A30" s="108" t="s">
        <v>0</v>
      </c>
      <c r="B30" s="108" t="s">
        <v>1</v>
      </c>
      <c r="C30" s="110" t="s">
        <v>2</v>
      </c>
      <c r="D30" s="110" t="s">
        <v>3</v>
      </c>
      <c r="E30" s="110" t="s">
        <v>39</v>
      </c>
      <c r="F30" s="110" t="s">
        <v>5</v>
      </c>
      <c r="G30" s="39" t="s">
        <v>6</v>
      </c>
      <c r="H30" s="40"/>
      <c r="I30" s="40"/>
      <c r="J30" s="40"/>
      <c r="K30" s="40"/>
      <c r="L30" s="40"/>
      <c r="M30" s="40"/>
      <c r="N30" s="40"/>
      <c r="O30" s="41"/>
      <c r="P30" s="101" t="s">
        <v>7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3"/>
      <c r="AF30" s="104" t="s">
        <v>8</v>
      </c>
      <c r="AG30" s="106" t="s">
        <v>9</v>
      </c>
      <c r="AH30" s="106" t="s">
        <v>10</v>
      </c>
    </row>
    <row r="31" spans="1:34" ht="41.25" customHeight="1" x14ac:dyDescent="0.25">
      <c r="A31" s="109"/>
      <c r="B31" s="109"/>
      <c r="C31" s="111"/>
      <c r="D31" s="111"/>
      <c r="E31" s="111"/>
      <c r="F31" s="111"/>
      <c r="G31" s="42" t="s">
        <v>11</v>
      </c>
      <c r="H31" s="42" t="s">
        <v>12</v>
      </c>
      <c r="I31" s="42" t="s">
        <v>13</v>
      </c>
      <c r="J31" s="42" t="s">
        <v>14</v>
      </c>
      <c r="K31" s="42" t="s">
        <v>15</v>
      </c>
      <c r="L31" s="42" t="s">
        <v>16</v>
      </c>
      <c r="M31" s="42" t="s">
        <v>17</v>
      </c>
      <c r="N31" s="42" t="s">
        <v>18</v>
      </c>
      <c r="O31" s="42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4" t="s">
        <v>26</v>
      </c>
      <c r="W31" s="4" t="s">
        <v>27</v>
      </c>
      <c r="X31" s="4" t="s">
        <v>28</v>
      </c>
      <c r="Y31" s="4" t="s">
        <v>29</v>
      </c>
      <c r="Z31" s="4" t="s">
        <v>30</v>
      </c>
      <c r="AA31" s="5" t="s">
        <v>31</v>
      </c>
      <c r="AB31" s="5" t="s">
        <v>32</v>
      </c>
      <c r="AC31" s="5" t="s">
        <v>33</v>
      </c>
      <c r="AD31" s="6" t="s">
        <v>34</v>
      </c>
      <c r="AE31" s="4" t="s">
        <v>35</v>
      </c>
      <c r="AF31" s="105"/>
      <c r="AG31" s="107"/>
      <c r="AH31" s="107"/>
    </row>
    <row r="32" spans="1:34" ht="21" x14ac:dyDescent="0.35">
      <c r="A32" s="43">
        <f>+التشغيل!A11</f>
        <v>0</v>
      </c>
      <c r="B32" s="44">
        <f>+التشغيل!B11</f>
        <v>0</v>
      </c>
      <c r="C32" s="45">
        <f>+التشغيل!C11</f>
        <v>0</v>
      </c>
      <c r="D32" s="45">
        <f>+التشغيل!D11</f>
        <v>0</v>
      </c>
      <c r="E32" s="45">
        <f>+التشغيل!E11</f>
        <v>0</v>
      </c>
      <c r="F32" s="46">
        <f>+التشغيل!F11</f>
        <v>0</v>
      </c>
      <c r="G32" s="46">
        <f>+التشغيل!G11</f>
        <v>0</v>
      </c>
      <c r="H32" s="46">
        <f>+التشغيل!H11</f>
        <v>0</v>
      </c>
      <c r="I32" s="46">
        <f>+التشغيل!I11</f>
        <v>0</v>
      </c>
      <c r="J32" s="46">
        <f>+التشغيل!J11</f>
        <v>0</v>
      </c>
      <c r="K32" s="46">
        <f>+التشغيل!K11</f>
        <v>0</v>
      </c>
      <c r="L32" s="46">
        <f>+التشغيل!L11</f>
        <v>0</v>
      </c>
      <c r="M32" s="46">
        <f>+التشغيل!M11</f>
        <v>0</v>
      </c>
      <c r="N32" s="46">
        <f>+التشغيل!N11</f>
        <v>0</v>
      </c>
      <c r="O32" s="46">
        <f>+التشغيل!O11</f>
        <v>0</v>
      </c>
      <c r="P32" s="46">
        <f>+التشغيل!P11</f>
        <v>0</v>
      </c>
      <c r="Q32" s="46">
        <f>+التشغيل!Q11</f>
        <v>0</v>
      </c>
      <c r="R32" s="47">
        <f>+التشغيل!R11</f>
        <v>0</v>
      </c>
      <c r="S32" s="47">
        <f>+التشغيل!S11</f>
        <v>0</v>
      </c>
      <c r="T32" s="46">
        <f>+التشغيل!T11</f>
        <v>0</v>
      </c>
      <c r="U32" s="46">
        <f>+التشغيل!U11</f>
        <v>0</v>
      </c>
      <c r="V32" s="46">
        <f>+التشغيل!V11</f>
        <v>0</v>
      </c>
      <c r="W32" s="46">
        <f>+التشغيل!W11</f>
        <v>0</v>
      </c>
      <c r="X32" s="46">
        <f>+التشغيل!X11</f>
        <v>0</v>
      </c>
      <c r="Y32" s="46">
        <f>+التشغيل!Y11</f>
        <v>0</v>
      </c>
      <c r="Z32" s="46">
        <f>+التشغيل!Z11</f>
        <v>0</v>
      </c>
      <c r="AA32" s="46">
        <f>+التشغيل!AA11</f>
        <v>0</v>
      </c>
      <c r="AB32" s="46">
        <f>+التشغيل!AB11</f>
        <v>0</v>
      </c>
      <c r="AC32" s="46">
        <f>+التشغيل!AC11</f>
        <v>0</v>
      </c>
      <c r="AD32" s="46">
        <f>+التشغيل!AD11</f>
        <v>0</v>
      </c>
      <c r="AE32" s="46">
        <f>+التشغيل!AE11</f>
        <v>0</v>
      </c>
      <c r="AF32" s="46">
        <f>+التشغيل!AF11</f>
        <v>0</v>
      </c>
      <c r="AG32" s="46">
        <f>+التشغيل!AG11</f>
        <v>0</v>
      </c>
      <c r="AH32" s="46">
        <f>+التشغيل!AH11</f>
        <v>0</v>
      </c>
    </row>
    <row r="33" spans="1:34" ht="21" x14ac:dyDescent="0.35">
      <c r="A33" s="43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5.75" x14ac:dyDescent="0.25">
      <c r="A34" s="108" t="s">
        <v>0</v>
      </c>
      <c r="B34" s="108" t="s">
        <v>1</v>
      </c>
      <c r="C34" s="110" t="s">
        <v>2</v>
      </c>
      <c r="D34" s="110" t="s">
        <v>3</v>
      </c>
      <c r="E34" s="110" t="s">
        <v>39</v>
      </c>
      <c r="F34" s="110" t="s">
        <v>5</v>
      </c>
      <c r="G34" s="39" t="s">
        <v>6</v>
      </c>
      <c r="H34" s="40"/>
      <c r="I34" s="40"/>
      <c r="J34" s="40"/>
      <c r="K34" s="40"/>
      <c r="L34" s="40"/>
      <c r="M34" s="40"/>
      <c r="N34" s="40"/>
      <c r="O34" s="41"/>
      <c r="P34" s="101" t="s">
        <v>7</v>
      </c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3"/>
      <c r="AF34" s="104" t="s">
        <v>8</v>
      </c>
      <c r="AG34" s="106" t="s">
        <v>9</v>
      </c>
      <c r="AH34" s="106" t="s">
        <v>10</v>
      </c>
    </row>
    <row r="35" spans="1:34" ht="41.25" customHeight="1" x14ac:dyDescent="0.25">
      <c r="A35" s="109"/>
      <c r="B35" s="109"/>
      <c r="C35" s="111"/>
      <c r="D35" s="111"/>
      <c r="E35" s="111"/>
      <c r="F35" s="111"/>
      <c r="G35" s="42" t="s">
        <v>11</v>
      </c>
      <c r="H35" s="42" t="s">
        <v>12</v>
      </c>
      <c r="I35" s="42" t="s">
        <v>13</v>
      </c>
      <c r="J35" s="42" t="s">
        <v>14</v>
      </c>
      <c r="K35" s="42" t="s">
        <v>15</v>
      </c>
      <c r="L35" s="42" t="s">
        <v>16</v>
      </c>
      <c r="M35" s="42" t="s">
        <v>17</v>
      </c>
      <c r="N35" s="42" t="s">
        <v>18</v>
      </c>
      <c r="O35" s="42" t="s">
        <v>19</v>
      </c>
      <c r="P35" s="4" t="s">
        <v>20</v>
      </c>
      <c r="Q35" s="4" t="s">
        <v>21</v>
      </c>
      <c r="R35" s="4" t="s">
        <v>22</v>
      </c>
      <c r="S35" s="4" t="s">
        <v>23</v>
      </c>
      <c r="T35" s="4" t="s">
        <v>24</v>
      </c>
      <c r="U35" s="4" t="s">
        <v>25</v>
      </c>
      <c r="V35" s="4" t="s">
        <v>26</v>
      </c>
      <c r="W35" s="4" t="s">
        <v>27</v>
      </c>
      <c r="X35" s="4" t="s">
        <v>28</v>
      </c>
      <c r="Y35" s="4" t="s">
        <v>29</v>
      </c>
      <c r="Z35" s="4" t="s">
        <v>30</v>
      </c>
      <c r="AA35" s="5" t="s">
        <v>31</v>
      </c>
      <c r="AB35" s="5" t="s">
        <v>32</v>
      </c>
      <c r="AC35" s="5" t="s">
        <v>33</v>
      </c>
      <c r="AD35" s="6" t="s">
        <v>34</v>
      </c>
      <c r="AE35" s="4" t="s">
        <v>35</v>
      </c>
      <c r="AF35" s="105"/>
      <c r="AG35" s="107"/>
      <c r="AH35" s="107"/>
    </row>
    <row r="36" spans="1:34" ht="21" x14ac:dyDescent="0.35">
      <c r="A36" s="43">
        <f>+التشغيل!A12</f>
        <v>0</v>
      </c>
      <c r="B36" s="44">
        <f>+التشغيل!B12</f>
        <v>0</v>
      </c>
      <c r="C36" s="45">
        <f>+التشغيل!C12</f>
        <v>0</v>
      </c>
      <c r="D36" s="45">
        <f>+التشغيل!D12</f>
        <v>0</v>
      </c>
      <c r="E36" s="45">
        <f>+التشغيل!E12</f>
        <v>0</v>
      </c>
      <c r="F36" s="46">
        <f>+التشغيل!F12</f>
        <v>0</v>
      </c>
      <c r="G36" s="46">
        <f>+التشغيل!G12</f>
        <v>0</v>
      </c>
      <c r="H36" s="46">
        <f>+التشغيل!H12</f>
        <v>0</v>
      </c>
      <c r="I36" s="46">
        <f>+التشغيل!I12</f>
        <v>0</v>
      </c>
      <c r="J36" s="46">
        <f>+التشغيل!J12</f>
        <v>0</v>
      </c>
      <c r="K36" s="46">
        <f>+التشغيل!K12</f>
        <v>0</v>
      </c>
      <c r="L36" s="46">
        <f>+التشغيل!L12</f>
        <v>0</v>
      </c>
      <c r="M36" s="46">
        <f>+التشغيل!M12</f>
        <v>0</v>
      </c>
      <c r="N36" s="46">
        <f>+التشغيل!N12</f>
        <v>0</v>
      </c>
      <c r="O36" s="46">
        <f>+التشغيل!O12</f>
        <v>0</v>
      </c>
      <c r="P36" s="46">
        <f>+التشغيل!P12</f>
        <v>0</v>
      </c>
      <c r="Q36" s="46">
        <f>+التشغيل!Q12</f>
        <v>0</v>
      </c>
      <c r="R36" s="47">
        <f>+التشغيل!R12</f>
        <v>0</v>
      </c>
      <c r="S36" s="47">
        <f>+التشغيل!S12</f>
        <v>0</v>
      </c>
      <c r="T36" s="46">
        <f>+التشغيل!T12</f>
        <v>0</v>
      </c>
      <c r="U36" s="46">
        <f>+التشغيل!U12</f>
        <v>0</v>
      </c>
      <c r="V36" s="46">
        <f>+التشغيل!V12</f>
        <v>0</v>
      </c>
      <c r="W36" s="46">
        <f>+التشغيل!W12</f>
        <v>0</v>
      </c>
      <c r="X36" s="46">
        <f>+التشغيل!X12</f>
        <v>0</v>
      </c>
      <c r="Y36" s="46">
        <f>+التشغيل!Y12</f>
        <v>0</v>
      </c>
      <c r="Z36" s="46">
        <f>+التشغيل!Z12</f>
        <v>0</v>
      </c>
      <c r="AA36" s="46">
        <f>+التشغيل!AA12</f>
        <v>0</v>
      </c>
      <c r="AB36" s="46">
        <f>+التشغيل!AB12</f>
        <v>0</v>
      </c>
      <c r="AC36" s="46">
        <f>+التشغيل!AC12</f>
        <v>0</v>
      </c>
      <c r="AD36" s="46">
        <f>+التشغيل!AD12</f>
        <v>0</v>
      </c>
      <c r="AE36" s="46">
        <f>+التشغيل!AE12</f>
        <v>0</v>
      </c>
      <c r="AF36" s="46">
        <f>+التشغيل!AF12</f>
        <v>0</v>
      </c>
      <c r="AG36" s="46">
        <f>+التشغيل!AG12</f>
        <v>0</v>
      </c>
      <c r="AH36" s="46">
        <f>+التشغيل!AH12</f>
        <v>0</v>
      </c>
    </row>
    <row r="37" spans="1:34" ht="21" x14ac:dyDescent="0.35">
      <c r="A37" s="43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15.75" x14ac:dyDescent="0.25">
      <c r="A38" s="108" t="s">
        <v>0</v>
      </c>
      <c r="B38" s="108" t="s">
        <v>1</v>
      </c>
      <c r="C38" s="110" t="s">
        <v>2</v>
      </c>
      <c r="D38" s="110" t="s">
        <v>3</v>
      </c>
      <c r="E38" s="110" t="s">
        <v>39</v>
      </c>
      <c r="F38" s="110" t="s">
        <v>5</v>
      </c>
      <c r="G38" s="39" t="s">
        <v>6</v>
      </c>
      <c r="H38" s="40"/>
      <c r="I38" s="40"/>
      <c r="J38" s="40"/>
      <c r="K38" s="40"/>
      <c r="L38" s="40"/>
      <c r="M38" s="40"/>
      <c r="N38" s="40"/>
      <c r="O38" s="41"/>
      <c r="P38" s="101" t="s">
        <v>7</v>
      </c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3"/>
      <c r="AF38" s="104" t="s">
        <v>8</v>
      </c>
      <c r="AG38" s="106" t="s">
        <v>9</v>
      </c>
      <c r="AH38" s="106" t="s">
        <v>10</v>
      </c>
    </row>
    <row r="39" spans="1:34" ht="41.25" customHeight="1" x14ac:dyDescent="0.25">
      <c r="A39" s="109"/>
      <c r="B39" s="109"/>
      <c r="C39" s="111"/>
      <c r="D39" s="111"/>
      <c r="E39" s="111"/>
      <c r="F39" s="111"/>
      <c r="G39" s="42" t="s">
        <v>11</v>
      </c>
      <c r="H39" s="42" t="s">
        <v>12</v>
      </c>
      <c r="I39" s="42" t="s">
        <v>13</v>
      </c>
      <c r="J39" s="42" t="s">
        <v>14</v>
      </c>
      <c r="K39" s="42" t="s">
        <v>15</v>
      </c>
      <c r="L39" s="42" t="s">
        <v>16</v>
      </c>
      <c r="M39" s="42" t="s">
        <v>17</v>
      </c>
      <c r="N39" s="42" t="s">
        <v>18</v>
      </c>
      <c r="O39" s="42" t="s">
        <v>19</v>
      </c>
      <c r="P39" s="4" t="s">
        <v>20</v>
      </c>
      <c r="Q39" s="4" t="s">
        <v>21</v>
      </c>
      <c r="R39" s="4" t="s">
        <v>22</v>
      </c>
      <c r="S39" s="4" t="s">
        <v>23</v>
      </c>
      <c r="T39" s="4" t="s">
        <v>24</v>
      </c>
      <c r="U39" s="4" t="s">
        <v>25</v>
      </c>
      <c r="V39" s="4" t="s">
        <v>26</v>
      </c>
      <c r="W39" s="4" t="s">
        <v>27</v>
      </c>
      <c r="X39" s="4" t="s">
        <v>28</v>
      </c>
      <c r="Y39" s="4" t="s">
        <v>29</v>
      </c>
      <c r="Z39" s="4" t="s">
        <v>30</v>
      </c>
      <c r="AA39" s="5" t="s">
        <v>31</v>
      </c>
      <c r="AB39" s="5" t="s">
        <v>32</v>
      </c>
      <c r="AC39" s="5" t="s">
        <v>33</v>
      </c>
      <c r="AD39" s="6" t="s">
        <v>34</v>
      </c>
      <c r="AE39" s="4" t="s">
        <v>35</v>
      </c>
      <c r="AF39" s="105"/>
      <c r="AG39" s="107"/>
      <c r="AH39" s="107"/>
    </row>
    <row r="40" spans="1:34" ht="21" x14ac:dyDescent="0.35">
      <c r="A40" s="43">
        <f>+التشغيل!A13</f>
        <v>0</v>
      </c>
      <c r="B40" s="44">
        <f>+التشغيل!B13</f>
        <v>0</v>
      </c>
      <c r="C40" s="45">
        <f>+التشغيل!C13</f>
        <v>0</v>
      </c>
      <c r="D40" s="45">
        <f>+التشغيل!D13</f>
        <v>0</v>
      </c>
      <c r="E40" s="45">
        <f>+التشغيل!E13</f>
        <v>0</v>
      </c>
      <c r="F40" s="46">
        <f>+التشغيل!F13</f>
        <v>0</v>
      </c>
      <c r="G40" s="46">
        <f>+التشغيل!G13</f>
        <v>0</v>
      </c>
      <c r="H40" s="46">
        <f>+التشغيل!H13</f>
        <v>0</v>
      </c>
      <c r="I40" s="46">
        <f>+التشغيل!I13</f>
        <v>0</v>
      </c>
      <c r="J40" s="46">
        <f>+التشغيل!J13</f>
        <v>0</v>
      </c>
      <c r="K40" s="46">
        <f>+التشغيل!K13</f>
        <v>0</v>
      </c>
      <c r="L40" s="46">
        <f>+التشغيل!L13</f>
        <v>0</v>
      </c>
      <c r="M40" s="46">
        <f>+التشغيل!M13</f>
        <v>0</v>
      </c>
      <c r="N40" s="46">
        <f>+التشغيل!N13</f>
        <v>0</v>
      </c>
      <c r="O40" s="46">
        <f>+التشغيل!O13</f>
        <v>0</v>
      </c>
      <c r="P40" s="46">
        <f>+التشغيل!P13</f>
        <v>0</v>
      </c>
      <c r="Q40" s="46">
        <f>+التشغيل!Q13</f>
        <v>0</v>
      </c>
      <c r="R40" s="47">
        <f>+التشغيل!R13</f>
        <v>0</v>
      </c>
      <c r="S40" s="47">
        <f>+التشغيل!S13</f>
        <v>0</v>
      </c>
      <c r="T40" s="46">
        <f>+التشغيل!T13</f>
        <v>0</v>
      </c>
      <c r="U40" s="46">
        <f>+التشغيل!U13</f>
        <v>0</v>
      </c>
      <c r="V40" s="46">
        <f>+التشغيل!V13</f>
        <v>0</v>
      </c>
      <c r="W40" s="46">
        <f>+التشغيل!W13</f>
        <v>0</v>
      </c>
      <c r="X40" s="46">
        <f>+التشغيل!X13</f>
        <v>0</v>
      </c>
      <c r="Y40" s="46">
        <f>+التشغيل!Y13</f>
        <v>0</v>
      </c>
      <c r="Z40" s="46">
        <f>+التشغيل!Z13</f>
        <v>0</v>
      </c>
      <c r="AA40" s="46">
        <f>+التشغيل!AA13</f>
        <v>0</v>
      </c>
      <c r="AB40" s="46">
        <f>+التشغيل!AB13</f>
        <v>0</v>
      </c>
      <c r="AC40" s="46">
        <f>+التشغيل!AC13</f>
        <v>0</v>
      </c>
      <c r="AD40" s="46">
        <f>+التشغيل!AD13</f>
        <v>0</v>
      </c>
      <c r="AE40" s="46">
        <f>+التشغيل!AE13</f>
        <v>0</v>
      </c>
      <c r="AF40" s="46">
        <f>+التشغيل!AF13</f>
        <v>0</v>
      </c>
      <c r="AG40" s="46">
        <f>+التشغيل!AG13</f>
        <v>0</v>
      </c>
      <c r="AH40" s="46">
        <f>+التشغيل!AH13</f>
        <v>0</v>
      </c>
    </row>
    <row r="41" spans="1:34" ht="21" x14ac:dyDescent="0.35">
      <c r="A41" s="43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15.75" x14ac:dyDescent="0.25">
      <c r="A42" s="108" t="s">
        <v>0</v>
      </c>
      <c r="B42" s="108" t="s">
        <v>1</v>
      </c>
      <c r="C42" s="110" t="s">
        <v>2</v>
      </c>
      <c r="D42" s="110" t="s">
        <v>3</v>
      </c>
      <c r="E42" s="110" t="s">
        <v>39</v>
      </c>
      <c r="F42" s="110" t="s">
        <v>5</v>
      </c>
      <c r="G42" s="39" t="s">
        <v>6</v>
      </c>
      <c r="H42" s="40"/>
      <c r="I42" s="40"/>
      <c r="J42" s="40"/>
      <c r="K42" s="40"/>
      <c r="L42" s="40"/>
      <c r="M42" s="40"/>
      <c r="N42" s="40"/>
      <c r="O42" s="41"/>
      <c r="P42" s="101" t="s">
        <v>7</v>
      </c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3"/>
      <c r="AF42" s="104" t="s">
        <v>8</v>
      </c>
      <c r="AG42" s="106" t="s">
        <v>9</v>
      </c>
      <c r="AH42" s="106" t="s">
        <v>10</v>
      </c>
    </row>
    <row r="43" spans="1:34" ht="41.25" customHeight="1" x14ac:dyDescent="0.25">
      <c r="A43" s="109"/>
      <c r="B43" s="109"/>
      <c r="C43" s="111"/>
      <c r="D43" s="111"/>
      <c r="E43" s="111"/>
      <c r="F43" s="111"/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19</v>
      </c>
      <c r="P43" s="4" t="s">
        <v>20</v>
      </c>
      <c r="Q43" s="4" t="s">
        <v>21</v>
      </c>
      <c r="R43" s="4" t="s">
        <v>22</v>
      </c>
      <c r="S43" s="4" t="s">
        <v>23</v>
      </c>
      <c r="T43" s="4" t="s">
        <v>24</v>
      </c>
      <c r="U43" s="4" t="s">
        <v>25</v>
      </c>
      <c r="V43" s="4" t="s">
        <v>26</v>
      </c>
      <c r="W43" s="4" t="s">
        <v>27</v>
      </c>
      <c r="X43" s="4" t="s">
        <v>28</v>
      </c>
      <c r="Y43" s="4" t="s">
        <v>29</v>
      </c>
      <c r="Z43" s="4" t="s">
        <v>30</v>
      </c>
      <c r="AA43" s="5" t="s">
        <v>31</v>
      </c>
      <c r="AB43" s="5" t="s">
        <v>32</v>
      </c>
      <c r="AC43" s="5" t="s">
        <v>33</v>
      </c>
      <c r="AD43" s="6" t="s">
        <v>34</v>
      </c>
      <c r="AE43" s="4" t="s">
        <v>35</v>
      </c>
      <c r="AF43" s="105"/>
      <c r="AG43" s="107"/>
      <c r="AH43" s="107"/>
    </row>
    <row r="44" spans="1:34" ht="21" x14ac:dyDescent="0.35">
      <c r="A44" s="43">
        <f>+التشغيل!A14</f>
        <v>0</v>
      </c>
      <c r="B44" s="44">
        <f>+التشغيل!B14</f>
        <v>0</v>
      </c>
      <c r="C44" s="45">
        <f>+التشغيل!C14</f>
        <v>0</v>
      </c>
      <c r="D44" s="45">
        <f>+التشغيل!D14</f>
        <v>0</v>
      </c>
      <c r="E44" s="45">
        <f>+التشغيل!E14</f>
        <v>0</v>
      </c>
      <c r="F44" s="46">
        <f>+التشغيل!F14</f>
        <v>0</v>
      </c>
      <c r="G44" s="46">
        <f>+التشغيل!G14</f>
        <v>0</v>
      </c>
      <c r="H44" s="46">
        <f>+التشغيل!H14</f>
        <v>0</v>
      </c>
      <c r="I44" s="46">
        <f>+التشغيل!I14</f>
        <v>0</v>
      </c>
      <c r="J44" s="46">
        <f>+التشغيل!J14</f>
        <v>0</v>
      </c>
      <c r="K44" s="46">
        <f>+التشغيل!K14</f>
        <v>0</v>
      </c>
      <c r="L44" s="46">
        <f>+التشغيل!L14</f>
        <v>0</v>
      </c>
      <c r="M44" s="46">
        <f>+التشغيل!M14</f>
        <v>0</v>
      </c>
      <c r="N44" s="46">
        <f>+التشغيل!N14</f>
        <v>0</v>
      </c>
      <c r="O44" s="46">
        <f>+التشغيل!O14</f>
        <v>0</v>
      </c>
      <c r="P44" s="46">
        <f>+التشغيل!P14</f>
        <v>0</v>
      </c>
      <c r="Q44" s="46">
        <f>+التشغيل!Q14</f>
        <v>0</v>
      </c>
      <c r="R44" s="47">
        <f>+التشغيل!R14</f>
        <v>0</v>
      </c>
      <c r="S44" s="47">
        <f>+التشغيل!S14</f>
        <v>0</v>
      </c>
      <c r="T44" s="46">
        <f>+التشغيل!T14</f>
        <v>0</v>
      </c>
      <c r="U44" s="46">
        <f>+التشغيل!U14</f>
        <v>0</v>
      </c>
      <c r="V44" s="46">
        <f>+التشغيل!V14</f>
        <v>0</v>
      </c>
      <c r="W44" s="46">
        <f>+التشغيل!W14</f>
        <v>0</v>
      </c>
      <c r="X44" s="46">
        <f>+التشغيل!X14</f>
        <v>0</v>
      </c>
      <c r="Y44" s="46">
        <f>+التشغيل!Y14</f>
        <v>0</v>
      </c>
      <c r="Z44" s="46">
        <f>+التشغيل!Z14</f>
        <v>0</v>
      </c>
      <c r="AA44" s="46">
        <f>+التشغيل!AA14</f>
        <v>0</v>
      </c>
      <c r="AB44" s="46">
        <f>+التشغيل!AB14</f>
        <v>0</v>
      </c>
      <c r="AC44" s="46">
        <f>+التشغيل!AC14</f>
        <v>0</v>
      </c>
      <c r="AD44" s="46">
        <f>+التشغيل!AD14</f>
        <v>0</v>
      </c>
      <c r="AE44" s="46">
        <f>+التشغيل!AE14</f>
        <v>0</v>
      </c>
      <c r="AF44" s="46">
        <f>+التشغيل!AF14</f>
        <v>0</v>
      </c>
      <c r="AG44" s="46">
        <f>+التشغيل!AG14</f>
        <v>0</v>
      </c>
      <c r="AH44" s="46">
        <f>+التشغيل!AH14</f>
        <v>0</v>
      </c>
    </row>
    <row r="45" spans="1:34" ht="21" x14ac:dyDescent="0.35">
      <c r="A45" s="43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5.75" x14ac:dyDescent="0.25">
      <c r="A46" s="108" t="s">
        <v>0</v>
      </c>
      <c r="B46" s="108" t="s">
        <v>1</v>
      </c>
      <c r="C46" s="110" t="s">
        <v>2</v>
      </c>
      <c r="D46" s="110" t="s">
        <v>3</v>
      </c>
      <c r="E46" s="110" t="s">
        <v>39</v>
      </c>
      <c r="F46" s="110" t="s">
        <v>5</v>
      </c>
      <c r="G46" s="39" t="s">
        <v>6</v>
      </c>
      <c r="H46" s="40"/>
      <c r="I46" s="40"/>
      <c r="J46" s="40"/>
      <c r="K46" s="40"/>
      <c r="L46" s="40"/>
      <c r="M46" s="40"/>
      <c r="N46" s="40"/>
      <c r="O46" s="41"/>
      <c r="P46" s="101" t="s">
        <v>7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3"/>
      <c r="AF46" s="104" t="s">
        <v>8</v>
      </c>
      <c r="AG46" s="106" t="s">
        <v>9</v>
      </c>
      <c r="AH46" s="106" t="s">
        <v>10</v>
      </c>
    </row>
    <row r="47" spans="1:34" ht="41.25" customHeight="1" x14ac:dyDescent="0.25">
      <c r="A47" s="109"/>
      <c r="B47" s="109"/>
      <c r="C47" s="111"/>
      <c r="D47" s="111"/>
      <c r="E47" s="111"/>
      <c r="F47" s="111"/>
      <c r="G47" s="42" t="s">
        <v>11</v>
      </c>
      <c r="H47" s="42" t="s">
        <v>12</v>
      </c>
      <c r="I47" s="42" t="s">
        <v>13</v>
      </c>
      <c r="J47" s="42" t="s">
        <v>14</v>
      </c>
      <c r="K47" s="42" t="s">
        <v>15</v>
      </c>
      <c r="L47" s="42" t="s">
        <v>16</v>
      </c>
      <c r="M47" s="42" t="s">
        <v>17</v>
      </c>
      <c r="N47" s="42" t="s">
        <v>18</v>
      </c>
      <c r="O47" s="42" t="s">
        <v>19</v>
      </c>
      <c r="P47" s="4" t="s">
        <v>20</v>
      </c>
      <c r="Q47" s="4" t="s">
        <v>21</v>
      </c>
      <c r="R47" s="4" t="s">
        <v>22</v>
      </c>
      <c r="S47" s="4" t="s">
        <v>23</v>
      </c>
      <c r="T47" s="4" t="s">
        <v>24</v>
      </c>
      <c r="U47" s="4" t="s">
        <v>25</v>
      </c>
      <c r="V47" s="4" t="s">
        <v>26</v>
      </c>
      <c r="W47" s="4" t="s">
        <v>27</v>
      </c>
      <c r="X47" s="4" t="s">
        <v>28</v>
      </c>
      <c r="Y47" s="4" t="s">
        <v>29</v>
      </c>
      <c r="Z47" s="4" t="s">
        <v>30</v>
      </c>
      <c r="AA47" s="5" t="s">
        <v>31</v>
      </c>
      <c r="AB47" s="5" t="s">
        <v>32</v>
      </c>
      <c r="AC47" s="5" t="s">
        <v>33</v>
      </c>
      <c r="AD47" s="6" t="s">
        <v>34</v>
      </c>
      <c r="AE47" s="4" t="s">
        <v>35</v>
      </c>
      <c r="AF47" s="105"/>
      <c r="AG47" s="107"/>
      <c r="AH47" s="107"/>
    </row>
    <row r="48" spans="1:34" ht="21" x14ac:dyDescent="0.35">
      <c r="A48" s="43">
        <f>+التشغيل!A15</f>
        <v>0</v>
      </c>
      <c r="B48" s="44">
        <f>+التشغيل!B15</f>
        <v>0</v>
      </c>
      <c r="C48" s="45">
        <f>+التشغيل!C15</f>
        <v>0</v>
      </c>
      <c r="D48" s="45">
        <f>+التشغيل!D15</f>
        <v>0</v>
      </c>
      <c r="E48" s="45">
        <f>+التشغيل!E15</f>
        <v>0</v>
      </c>
      <c r="F48" s="46">
        <f>+التشغيل!F15</f>
        <v>0</v>
      </c>
      <c r="G48" s="46">
        <f>+التشغيل!G15</f>
        <v>0</v>
      </c>
      <c r="H48" s="46">
        <f>+التشغيل!H15</f>
        <v>0</v>
      </c>
      <c r="I48" s="46">
        <f>+التشغيل!I15</f>
        <v>0</v>
      </c>
      <c r="J48" s="46">
        <f>+التشغيل!J15</f>
        <v>0</v>
      </c>
      <c r="K48" s="46">
        <f>+التشغيل!K15</f>
        <v>0</v>
      </c>
      <c r="L48" s="46">
        <f>+التشغيل!L15</f>
        <v>0</v>
      </c>
      <c r="M48" s="46">
        <f>+التشغيل!M15</f>
        <v>0</v>
      </c>
      <c r="N48" s="46">
        <f>+التشغيل!N15</f>
        <v>0</v>
      </c>
      <c r="O48" s="46">
        <f>+التشغيل!O15</f>
        <v>0</v>
      </c>
      <c r="P48" s="46">
        <f>+التشغيل!P15</f>
        <v>0</v>
      </c>
      <c r="Q48" s="46">
        <f>+التشغيل!Q15</f>
        <v>0</v>
      </c>
      <c r="R48" s="47">
        <f>+التشغيل!R15</f>
        <v>0</v>
      </c>
      <c r="S48" s="47">
        <f>+التشغيل!S15</f>
        <v>0</v>
      </c>
      <c r="T48" s="46">
        <f>+التشغيل!T15</f>
        <v>0</v>
      </c>
      <c r="U48" s="46">
        <f>+التشغيل!U15</f>
        <v>0</v>
      </c>
      <c r="V48" s="46">
        <f>+التشغيل!V15</f>
        <v>0</v>
      </c>
      <c r="W48" s="46">
        <f>+التشغيل!W15</f>
        <v>0</v>
      </c>
      <c r="X48" s="46">
        <f>+التشغيل!X15</f>
        <v>0</v>
      </c>
      <c r="Y48" s="46">
        <f>+التشغيل!Y15</f>
        <v>0</v>
      </c>
      <c r="Z48" s="46">
        <f>+التشغيل!Z15</f>
        <v>0</v>
      </c>
      <c r="AA48" s="46">
        <f>+التشغيل!AA15</f>
        <v>0</v>
      </c>
      <c r="AB48" s="46">
        <f>+التشغيل!AB15</f>
        <v>0</v>
      </c>
      <c r="AC48" s="46">
        <f>+التشغيل!AC15</f>
        <v>0</v>
      </c>
      <c r="AD48" s="46">
        <f>+التشغيل!AD15</f>
        <v>0</v>
      </c>
      <c r="AE48" s="46">
        <f>+التشغيل!AE15</f>
        <v>0</v>
      </c>
      <c r="AF48" s="46">
        <f>+التشغيل!AF15</f>
        <v>0</v>
      </c>
      <c r="AG48" s="46">
        <f>+التشغيل!AG15</f>
        <v>0</v>
      </c>
      <c r="AH48" s="46">
        <f>+التشغيل!AH15</f>
        <v>0</v>
      </c>
    </row>
    <row r="49" spans="1:34" ht="21" x14ac:dyDescent="0.35">
      <c r="A49" s="43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15.75" x14ac:dyDescent="0.25">
      <c r="A50" s="108" t="s">
        <v>0</v>
      </c>
      <c r="B50" s="108" t="s">
        <v>1</v>
      </c>
      <c r="C50" s="110" t="s">
        <v>2</v>
      </c>
      <c r="D50" s="110" t="s">
        <v>3</v>
      </c>
      <c r="E50" s="110" t="s">
        <v>39</v>
      </c>
      <c r="F50" s="110" t="s">
        <v>5</v>
      </c>
      <c r="G50" s="39" t="s">
        <v>6</v>
      </c>
      <c r="H50" s="40"/>
      <c r="I50" s="40"/>
      <c r="J50" s="40"/>
      <c r="K50" s="40"/>
      <c r="L50" s="40"/>
      <c r="M50" s="40"/>
      <c r="N50" s="40"/>
      <c r="O50" s="41"/>
      <c r="P50" s="101" t="s">
        <v>7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3"/>
      <c r="AF50" s="104" t="s">
        <v>8</v>
      </c>
      <c r="AG50" s="106" t="s">
        <v>9</v>
      </c>
      <c r="AH50" s="106" t="s">
        <v>10</v>
      </c>
    </row>
    <row r="51" spans="1:34" ht="41.25" customHeight="1" x14ac:dyDescent="0.25">
      <c r="A51" s="109"/>
      <c r="B51" s="109"/>
      <c r="C51" s="111"/>
      <c r="D51" s="111"/>
      <c r="E51" s="111"/>
      <c r="F51" s="111"/>
      <c r="G51" s="42" t="s">
        <v>11</v>
      </c>
      <c r="H51" s="42" t="s">
        <v>12</v>
      </c>
      <c r="I51" s="42" t="s">
        <v>13</v>
      </c>
      <c r="J51" s="42" t="s">
        <v>14</v>
      </c>
      <c r="K51" s="42" t="s">
        <v>15</v>
      </c>
      <c r="L51" s="42" t="s">
        <v>16</v>
      </c>
      <c r="M51" s="42" t="s">
        <v>17</v>
      </c>
      <c r="N51" s="42" t="s">
        <v>18</v>
      </c>
      <c r="O51" s="42" t="s">
        <v>19</v>
      </c>
      <c r="P51" s="4" t="s">
        <v>20</v>
      </c>
      <c r="Q51" s="4" t="s">
        <v>21</v>
      </c>
      <c r="R51" s="4" t="s">
        <v>22</v>
      </c>
      <c r="S51" s="4" t="s">
        <v>23</v>
      </c>
      <c r="T51" s="4" t="s">
        <v>24</v>
      </c>
      <c r="U51" s="4" t="s">
        <v>25</v>
      </c>
      <c r="V51" s="4" t="s">
        <v>26</v>
      </c>
      <c r="W51" s="4" t="s">
        <v>27</v>
      </c>
      <c r="X51" s="4" t="s">
        <v>28</v>
      </c>
      <c r="Y51" s="4" t="s">
        <v>29</v>
      </c>
      <c r="Z51" s="4" t="s">
        <v>30</v>
      </c>
      <c r="AA51" s="5" t="s">
        <v>31</v>
      </c>
      <c r="AB51" s="5" t="s">
        <v>32</v>
      </c>
      <c r="AC51" s="5" t="s">
        <v>33</v>
      </c>
      <c r="AD51" s="6" t="s">
        <v>34</v>
      </c>
      <c r="AE51" s="4" t="s">
        <v>35</v>
      </c>
      <c r="AF51" s="105"/>
      <c r="AG51" s="107"/>
      <c r="AH51" s="107"/>
    </row>
    <row r="52" spans="1:34" ht="21" x14ac:dyDescent="0.35">
      <c r="A52" s="43">
        <f>+التشغيل!A16</f>
        <v>0</v>
      </c>
      <c r="B52" s="44">
        <f>+التشغيل!B16</f>
        <v>0</v>
      </c>
      <c r="C52" s="45">
        <f>+التشغيل!C16</f>
        <v>0</v>
      </c>
      <c r="D52" s="45">
        <f>+التشغيل!D16</f>
        <v>0</v>
      </c>
      <c r="E52" s="45">
        <f>+التشغيل!E16</f>
        <v>0</v>
      </c>
      <c r="F52" s="46">
        <f>+التشغيل!F16</f>
        <v>0</v>
      </c>
      <c r="G52" s="46">
        <f>+التشغيل!G16</f>
        <v>0</v>
      </c>
      <c r="H52" s="46">
        <f>+التشغيل!H16</f>
        <v>0</v>
      </c>
      <c r="I52" s="46">
        <f>+التشغيل!I16</f>
        <v>0</v>
      </c>
      <c r="J52" s="46">
        <f>+التشغيل!J16</f>
        <v>0</v>
      </c>
      <c r="K52" s="46">
        <f>+التشغيل!K16</f>
        <v>0</v>
      </c>
      <c r="L52" s="46">
        <f>+التشغيل!L16</f>
        <v>0</v>
      </c>
      <c r="M52" s="46">
        <f>+التشغيل!M16</f>
        <v>0</v>
      </c>
      <c r="N52" s="46">
        <f>+التشغيل!N16</f>
        <v>0</v>
      </c>
      <c r="O52" s="46">
        <f>+التشغيل!O16</f>
        <v>0</v>
      </c>
      <c r="P52" s="46">
        <f>+التشغيل!P16</f>
        <v>0</v>
      </c>
      <c r="Q52" s="46">
        <f>+التشغيل!Q16</f>
        <v>0</v>
      </c>
      <c r="R52" s="47">
        <f>+التشغيل!R16</f>
        <v>0</v>
      </c>
      <c r="S52" s="47">
        <f>+التشغيل!S16</f>
        <v>0</v>
      </c>
      <c r="T52" s="46">
        <f>+التشغيل!T16</f>
        <v>0</v>
      </c>
      <c r="U52" s="46">
        <f>+التشغيل!U16</f>
        <v>0</v>
      </c>
      <c r="V52" s="46">
        <f>+التشغيل!V16</f>
        <v>0</v>
      </c>
      <c r="W52" s="46">
        <f>+التشغيل!W16</f>
        <v>0</v>
      </c>
      <c r="X52" s="46">
        <f>+التشغيل!X16</f>
        <v>0</v>
      </c>
      <c r="Y52" s="46">
        <f>+التشغيل!Y16</f>
        <v>0</v>
      </c>
      <c r="Z52" s="46">
        <f>+التشغيل!Z16</f>
        <v>0</v>
      </c>
      <c r="AA52" s="46">
        <f>+التشغيل!AA16</f>
        <v>0</v>
      </c>
      <c r="AB52" s="46">
        <f>+التشغيل!AB16</f>
        <v>0</v>
      </c>
      <c r="AC52" s="46">
        <f>+التشغيل!AC16</f>
        <v>0</v>
      </c>
      <c r="AD52" s="46">
        <f>+التشغيل!AD16</f>
        <v>0</v>
      </c>
      <c r="AE52" s="46">
        <f>+التشغيل!AE16</f>
        <v>0</v>
      </c>
      <c r="AF52" s="46">
        <f>+التشغيل!AF16</f>
        <v>0</v>
      </c>
      <c r="AG52" s="46">
        <f>+التشغيل!AG16</f>
        <v>0</v>
      </c>
      <c r="AH52" s="46">
        <f>+التشغيل!AH16</f>
        <v>0</v>
      </c>
    </row>
    <row r="53" spans="1:34" ht="21" x14ac:dyDescent="0.35">
      <c r="A53" s="43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15.75" x14ac:dyDescent="0.25">
      <c r="A54" s="108" t="s">
        <v>0</v>
      </c>
      <c r="B54" s="108" t="s">
        <v>1</v>
      </c>
      <c r="C54" s="110" t="s">
        <v>2</v>
      </c>
      <c r="D54" s="110" t="s">
        <v>3</v>
      </c>
      <c r="E54" s="110" t="s">
        <v>39</v>
      </c>
      <c r="F54" s="110" t="s">
        <v>5</v>
      </c>
      <c r="G54" s="39" t="s">
        <v>6</v>
      </c>
      <c r="H54" s="40"/>
      <c r="I54" s="40"/>
      <c r="J54" s="40"/>
      <c r="K54" s="40"/>
      <c r="L54" s="40"/>
      <c r="M54" s="40"/>
      <c r="N54" s="40"/>
      <c r="O54" s="41"/>
      <c r="P54" s="101" t="s">
        <v>7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3"/>
      <c r="AF54" s="104" t="s">
        <v>8</v>
      </c>
      <c r="AG54" s="106" t="s">
        <v>9</v>
      </c>
      <c r="AH54" s="106" t="s">
        <v>10</v>
      </c>
    </row>
    <row r="55" spans="1:34" ht="41.25" customHeight="1" x14ac:dyDescent="0.25">
      <c r="A55" s="109"/>
      <c r="B55" s="109"/>
      <c r="C55" s="111"/>
      <c r="D55" s="111"/>
      <c r="E55" s="111"/>
      <c r="F55" s="111"/>
      <c r="G55" s="42" t="s">
        <v>11</v>
      </c>
      <c r="H55" s="42" t="s">
        <v>12</v>
      </c>
      <c r="I55" s="42" t="s">
        <v>13</v>
      </c>
      <c r="J55" s="42" t="s">
        <v>14</v>
      </c>
      <c r="K55" s="42" t="s">
        <v>15</v>
      </c>
      <c r="L55" s="42" t="s">
        <v>16</v>
      </c>
      <c r="M55" s="42" t="s">
        <v>17</v>
      </c>
      <c r="N55" s="42" t="s">
        <v>18</v>
      </c>
      <c r="O55" s="42" t="s">
        <v>19</v>
      </c>
      <c r="P55" s="4" t="s">
        <v>20</v>
      </c>
      <c r="Q55" s="4" t="s">
        <v>21</v>
      </c>
      <c r="R55" s="4" t="s">
        <v>22</v>
      </c>
      <c r="S55" s="4" t="s">
        <v>23</v>
      </c>
      <c r="T55" s="4" t="s">
        <v>24</v>
      </c>
      <c r="U55" s="4" t="s">
        <v>25</v>
      </c>
      <c r="V55" s="4" t="s">
        <v>26</v>
      </c>
      <c r="W55" s="4" t="s">
        <v>27</v>
      </c>
      <c r="X55" s="4" t="s">
        <v>28</v>
      </c>
      <c r="Y55" s="4" t="s">
        <v>29</v>
      </c>
      <c r="Z55" s="4" t="s">
        <v>30</v>
      </c>
      <c r="AA55" s="5" t="s">
        <v>31</v>
      </c>
      <c r="AB55" s="5" t="s">
        <v>32</v>
      </c>
      <c r="AC55" s="5" t="s">
        <v>33</v>
      </c>
      <c r="AD55" s="6" t="s">
        <v>34</v>
      </c>
      <c r="AE55" s="4" t="s">
        <v>35</v>
      </c>
      <c r="AF55" s="105"/>
      <c r="AG55" s="107"/>
      <c r="AH55" s="107"/>
    </row>
    <row r="56" spans="1:34" ht="21" x14ac:dyDescent="0.35">
      <c r="A56" s="43">
        <f>+التشغيل!A17</f>
        <v>0</v>
      </c>
      <c r="B56" s="44">
        <f>+التشغيل!B17</f>
        <v>0</v>
      </c>
      <c r="C56" s="45">
        <f>+التشغيل!C17</f>
        <v>0</v>
      </c>
      <c r="D56" s="45">
        <f>+التشغيل!D17</f>
        <v>0</v>
      </c>
      <c r="E56" s="45">
        <f>+التشغيل!E17</f>
        <v>0</v>
      </c>
      <c r="F56" s="46">
        <f>+التشغيل!F17</f>
        <v>0</v>
      </c>
      <c r="G56" s="46">
        <f>+التشغيل!G17</f>
        <v>0</v>
      </c>
      <c r="H56" s="46">
        <f>+التشغيل!H17</f>
        <v>0</v>
      </c>
      <c r="I56" s="46">
        <f>+التشغيل!I17</f>
        <v>0</v>
      </c>
      <c r="J56" s="46">
        <f>+التشغيل!J17</f>
        <v>0</v>
      </c>
      <c r="K56" s="46">
        <f>+التشغيل!K17</f>
        <v>0</v>
      </c>
      <c r="L56" s="46">
        <f>+التشغيل!L17</f>
        <v>0</v>
      </c>
      <c r="M56" s="46">
        <f>+التشغيل!M17</f>
        <v>0</v>
      </c>
      <c r="N56" s="46">
        <f>+التشغيل!N17</f>
        <v>0</v>
      </c>
      <c r="O56" s="46">
        <f>+التشغيل!O17</f>
        <v>0</v>
      </c>
      <c r="P56" s="46">
        <f>+التشغيل!P17</f>
        <v>0</v>
      </c>
      <c r="Q56" s="46">
        <f>+التشغيل!Q17</f>
        <v>0</v>
      </c>
      <c r="R56" s="47">
        <f>+التشغيل!R17</f>
        <v>0</v>
      </c>
      <c r="S56" s="47">
        <f>+التشغيل!S17</f>
        <v>0</v>
      </c>
      <c r="T56" s="46">
        <f>+التشغيل!T17</f>
        <v>0</v>
      </c>
      <c r="U56" s="46">
        <f>+التشغيل!U17</f>
        <v>0</v>
      </c>
      <c r="V56" s="46">
        <f>+التشغيل!V17</f>
        <v>0</v>
      </c>
      <c r="W56" s="46">
        <f>+التشغيل!W17</f>
        <v>0</v>
      </c>
      <c r="X56" s="46">
        <f>+التشغيل!X17</f>
        <v>0</v>
      </c>
      <c r="Y56" s="46">
        <f>+التشغيل!Y17</f>
        <v>0</v>
      </c>
      <c r="Z56" s="46">
        <f>+التشغيل!Z17</f>
        <v>0</v>
      </c>
      <c r="AA56" s="46">
        <f>+التشغيل!AA17</f>
        <v>0</v>
      </c>
      <c r="AB56" s="46">
        <f>+التشغيل!AB17</f>
        <v>0</v>
      </c>
      <c r="AC56" s="46">
        <f>+التشغيل!AC17</f>
        <v>0</v>
      </c>
      <c r="AD56" s="46">
        <f>+التشغيل!AD17</f>
        <v>0</v>
      </c>
      <c r="AE56" s="46">
        <f>+التشغيل!AE17</f>
        <v>0</v>
      </c>
      <c r="AF56" s="46">
        <f>+التشغيل!AF17</f>
        <v>0</v>
      </c>
      <c r="AG56" s="46">
        <f>+التشغيل!AG17</f>
        <v>0</v>
      </c>
      <c r="AH56" s="46">
        <f>+التشغيل!AH17</f>
        <v>0</v>
      </c>
    </row>
    <row r="57" spans="1:34" ht="21" x14ac:dyDescent="0.35">
      <c r="A57" s="43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15.75" x14ac:dyDescent="0.25">
      <c r="A58" s="108" t="s">
        <v>0</v>
      </c>
      <c r="B58" s="108" t="s">
        <v>1</v>
      </c>
      <c r="C58" s="110" t="s">
        <v>2</v>
      </c>
      <c r="D58" s="110" t="s">
        <v>3</v>
      </c>
      <c r="E58" s="110" t="s">
        <v>39</v>
      </c>
      <c r="F58" s="110" t="s">
        <v>5</v>
      </c>
      <c r="G58" s="39" t="s">
        <v>6</v>
      </c>
      <c r="H58" s="40"/>
      <c r="I58" s="40"/>
      <c r="J58" s="40"/>
      <c r="K58" s="40"/>
      <c r="L58" s="40"/>
      <c r="M58" s="40"/>
      <c r="N58" s="40"/>
      <c r="O58" s="41"/>
      <c r="P58" s="101" t="s">
        <v>7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3"/>
      <c r="AF58" s="104" t="s">
        <v>8</v>
      </c>
      <c r="AG58" s="106" t="s">
        <v>9</v>
      </c>
      <c r="AH58" s="106" t="s">
        <v>10</v>
      </c>
    </row>
    <row r="59" spans="1:34" ht="41.25" customHeight="1" x14ac:dyDescent="0.25">
      <c r="A59" s="109"/>
      <c r="B59" s="109"/>
      <c r="C59" s="111"/>
      <c r="D59" s="111"/>
      <c r="E59" s="111"/>
      <c r="F59" s="111"/>
      <c r="G59" s="42" t="s">
        <v>11</v>
      </c>
      <c r="H59" s="42" t="s">
        <v>12</v>
      </c>
      <c r="I59" s="42" t="s">
        <v>13</v>
      </c>
      <c r="J59" s="42" t="s">
        <v>14</v>
      </c>
      <c r="K59" s="42" t="s">
        <v>15</v>
      </c>
      <c r="L59" s="42" t="s">
        <v>16</v>
      </c>
      <c r="M59" s="42" t="s">
        <v>17</v>
      </c>
      <c r="N59" s="42" t="s">
        <v>18</v>
      </c>
      <c r="O59" s="42" t="s">
        <v>19</v>
      </c>
      <c r="P59" s="4" t="s">
        <v>20</v>
      </c>
      <c r="Q59" s="4" t="s">
        <v>21</v>
      </c>
      <c r="R59" s="4" t="s">
        <v>22</v>
      </c>
      <c r="S59" s="4" t="s">
        <v>23</v>
      </c>
      <c r="T59" s="4" t="s">
        <v>24</v>
      </c>
      <c r="U59" s="4" t="s">
        <v>25</v>
      </c>
      <c r="V59" s="4" t="s">
        <v>26</v>
      </c>
      <c r="W59" s="4" t="s">
        <v>27</v>
      </c>
      <c r="X59" s="4" t="s">
        <v>28</v>
      </c>
      <c r="Y59" s="4" t="s">
        <v>29</v>
      </c>
      <c r="Z59" s="4" t="s">
        <v>30</v>
      </c>
      <c r="AA59" s="5" t="s">
        <v>31</v>
      </c>
      <c r="AB59" s="5" t="s">
        <v>32</v>
      </c>
      <c r="AC59" s="5" t="s">
        <v>33</v>
      </c>
      <c r="AD59" s="6" t="s">
        <v>34</v>
      </c>
      <c r="AE59" s="4" t="s">
        <v>35</v>
      </c>
      <c r="AF59" s="105"/>
      <c r="AG59" s="107"/>
      <c r="AH59" s="107"/>
    </row>
    <row r="60" spans="1:34" ht="21" x14ac:dyDescent="0.35">
      <c r="A60" s="43">
        <f>+التشغيل!A18</f>
        <v>0</v>
      </c>
      <c r="B60" s="44">
        <f>+التشغيل!B18</f>
        <v>0</v>
      </c>
      <c r="C60" s="45">
        <f>+التشغيل!C18</f>
        <v>0</v>
      </c>
      <c r="D60" s="45">
        <f>+التشغيل!D18</f>
        <v>0</v>
      </c>
      <c r="E60" s="45">
        <f>+التشغيل!E18</f>
        <v>0</v>
      </c>
      <c r="F60" s="46">
        <f>+التشغيل!F18</f>
        <v>0</v>
      </c>
      <c r="G60" s="46">
        <f>+التشغيل!G18</f>
        <v>0</v>
      </c>
      <c r="H60" s="46">
        <f>+التشغيل!H18</f>
        <v>0</v>
      </c>
      <c r="I60" s="46">
        <f>+التشغيل!I18</f>
        <v>0</v>
      </c>
      <c r="J60" s="46">
        <f>+التشغيل!J18</f>
        <v>0</v>
      </c>
      <c r="K60" s="46">
        <f>+التشغيل!K18</f>
        <v>0</v>
      </c>
      <c r="L60" s="46">
        <f>+التشغيل!L18</f>
        <v>0</v>
      </c>
      <c r="M60" s="46">
        <f>+التشغيل!M18</f>
        <v>0</v>
      </c>
      <c r="N60" s="46">
        <f>+التشغيل!N18</f>
        <v>0</v>
      </c>
      <c r="O60" s="46">
        <f>+التشغيل!O18</f>
        <v>0</v>
      </c>
      <c r="P60" s="46">
        <f>+التشغيل!P18</f>
        <v>0</v>
      </c>
      <c r="Q60" s="46">
        <f>+التشغيل!Q18</f>
        <v>0</v>
      </c>
      <c r="R60" s="47">
        <f>+التشغيل!R18</f>
        <v>0</v>
      </c>
      <c r="S60" s="47">
        <f>+التشغيل!S18</f>
        <v>0</v>
      </c>
      <c r="T60" s="46">
        <f>+التشغيل!T18</f>
        <v>0</v>
      </c>
      <c r="U60" s="46">
        <f>+التشغيل!U18</f>
        <v>0</v>
      </c>
      <c r="V60" s="46">
        <f>+التشغيل!V18</f>
        <v>0</v>
      </c>
      <c r="W60" s="46">
        <f>+التشغيل!W18</f>
        <v>0</v>
      </c>
      <c r="X60" s="46">
        <f>+التشغيل!X18</f>
        <v>0</v>
      </c>
      <c r="Y60" s="46">
        <f>+التشغيل!Y18</f>
        <v>0</v>
      </c>
      <c r="Z60" s="46">
        <f>+التشغيل!Z18</f>
        <v>0</v>
      </c>
      <c r="AA60" s="46">
        <f>+التشغيل!AA18</f>
        <v>0</v>
      </c>
      <c r="AB60" s="46">
        <f>+التشغيل!AB18</f>
        <v>0</v>
      </c>
      <c r="AC60" s="46">
        <f>+التشغيل!AC18</f>
        <v>0</v>
      </c>
      <c r="AD60" s="46">
        <f>+التشغيل!AD18</f>
        <v>0</v>
      </c>
      <c r="AE60" s="46">
        <f>+التشغيل!AE18</f>
        <v>0</v>
      </c>
      <c r="AF60" s="46">
        <f>+التشغيل!AF18</f>
        <v>0</v>
      </c>
      <c r="AG60" s="46">
        <f>+التشغيل!AG18</f>
        <v>0</v>
      </c>
      <c r="AH60" s="46">
        <f>+التشغيل!AH18</f>
        <v>0</v>
      </c>
    </row>
    <row r="61" spans="1:34" ht="21" x14ac:dyDescent="0.35">
      <c r="A61" s="43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7"/>
      <c r="S61" s="47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15.75" x14ac:dyDescent="0.25">
      <c r="A62" s="108" t="s">
        <v>0</v>
      </c>
      <c r="B62" s="108" t="s">
        <v>1</v>
      </c>
      <c r="C62" s="110" t="s">
        <v>2</v>
      </c>
      <c r="D62" s="110" t="s">
        <v>3</v>
      </c>
      <c r="E62" s="110" t="s">
        <v>39</v>
      </c>
      <c r="F62" s="110" t="s">
        <v>5</v>
      </c>
      <c r="G62" s="39" t="s">
        <v>6</v>
      </c>
      <c r="H62" s="40"/>
      <c r="I62" s="40"/>
      <c r="J62" s="40"/>
      <c r="K62" s="40"/>
      <c r="L62" s="40"/>
      <c r="M62" s="40"/>
      <c r="N62" s="40"/>
      <c r="O62" s="41"/>
      <c r="P62" s="101" t="s">
        <v>7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3"/>
      <c r="AF62" s="104" t="s">
        <v>8</v>
      </c>
      <c r="AG62" s="106" t="s">
        <v>9</v>
      </c>
      <c r="AH62" s="106" t="s">
        <v>10</v>
      </c>
    </row>
    <row r="63" spans="1:34" ht="41.25" customHeight="1" x14ac:dyDescent="0.25">
      <c r="A63" s="109"/>
      <c r="B63" s="109"/>
      <c r="C63" s="111"/>
      <c r="D63" s="111"/>
      <c r="E63" s="111"/>
      <c r="F63" s="111"/>
      <c r="G63" s="42" t="s">
        <v>11</v>
      </c>
      <c r="H63" s="42" t="s">
        <v>12</v>
      </c>
      <c r="I63" s="42" t="s">
        <v>13</v>
      </c>
      <c r="J63" s="42" t="s">
        <v>14</v>
      </c>
      <c r="K63" s="42" t="s">
        <v>15</v>
      </c>
      <c r="L63" s="42" t="s">
        <v>16</v>
      </c>
      <c r="M63" s="42" t="s">
        <v>17</v>
      </c>
      <c r="N63" s="42" t="s">
        <v>18</v>
      </c>
      <c r="O63" s="42" t="s">
        <v>19</v>
      </c>
      <c r="P63" s="4" t="s">
        <v>20</v>
      </c>
      <c r="Q63" s="4" t="s">
        <v>21</v>
      </c>
      <c r="R63" s="4" t="s">
        <v>22</v>
      </c>
      <c r="S63" s="4" t="s">
        <v>23</v>
      </c>
      <c r="T63" s="4" t="s">
        <v>24</v>
      </c>
      <c r="U63" s="4" t="s">
        <v>25</v>
      </c>
      <c r="V63" s="4" t="s">
        <v>26</v>
      </c>
      <c r="W63" s="4" t="s">
        <v>27</v>
      </c>
      <c r="X63" s="4" t="s">
        <v>28</v>
      </c>
      <c r="Y63" s="4" t="s">
        <v>29</v>
      </c>
      <c r="Z63" s="4" t="s">
        <v>30</v>
      </c>
      <c r="AA63" s="5" t="s">
        <v>31</v>
      </c>
      <c r="AB63" s="5" t="s">
        <v>32</v>
      </c>
      <c r="AC63" s="5" t="s">
        <v>33</v>
      </c>
      <c r="AD63" s="6" t="s">
        <v>34</v>
      </c>
      <c r="AE63" s="4" t="s">
        <v>35</v>
      </c>
      <c r="AF63" s="105"/>
      <c r="AG63" s="107"/>
      <c r="AH63" s="107"/>
    </row>
    <row r="64" spans="1:34" ht="21" x14ac:dyDescent="0.35">
      <c r="A64" s="43">
        <f>+التشغيل!A19</f>
        <v>0</v>
      </c>
      <c r="B64" s="44">
        <f>+التشغيل!B19</f>
        <v>0</v>
      </c>
      <c r="C64" s="45">
        <f>+التشغيل!C19</f>
        <v>0</v>
      </c>
      <c r="D64" s="45">
        <f>+التشغيل!D19</f>
        <v>0</v>
      </c>
      <c r="E64" s="45">
        <f>+التشغيل!E19</f>
        <v>0</v>
      </c>
      <c r="F64" s="46">
        <f>+التشغيل!F19</f>
        <v>0</v>
      </c>
      <c r="G64" s="46">
        <f>+التشغيل!G19</f>
        <v>0</v>
      </c>
      <c r="H64" s="46">
        <f>+التشغيل!H19</f>
        <v>0</v>
      </c>
      <c r="I64" s="46">
        <f>+التشغيل!I19</f>
        <v>0</v>
      </c>
      <c r="J64" s="46">
        <f>+التشغيل!J19</f>
        <v>0</v>
      </c>
      <c r="K64" s="46">
        <f>+التشغيل!K19</f>
        <v>0</v>
      </c>
      <c r="L64" s="46">
        <f>+التشغيل!L19</f>
        <v>0</v>
      </c>
      <c r="M64" s="46">
        <f>+التشغيل!M19</f>
        <v>0</v>
      </c>
      <c r="N64" s="46">
        <f>+التشغيل!N19</f>
        <v>0</v>
      </c>
      <c r="O64" s="46">
        <f>+التشغيل!O19</f>
        <v>0</v>
      </c>
      <c r="P64" s="46">
        <f>+التشغيل!P19</f>
        <v>0</v>
      </c>
      <c r="Q64" s="46">
        <f>+التشغيل!Q19</f>
        <v>0</v>
      </c>
      <c r="R64" s="47">
        <f>+التشغيل!R19</f>
        <v>0</v>
      </c>
      <c r="S64" s="47">
        <f>+التشغيل!S19</f>
        <v>0</v>
      </c>
      <c r="T64" s="46">
        <f>+التشغيل!T19</f>
        <v>0</v>
      </c>
      <c r="U64" s="46">
        <f>+التشغيل!U19</f>
        <v>0</v>
      </c>
      <c r="V64" s="46">
        <f>+التشغيل!V19</f>
        <v>0</v>
      </c>
      <c r="W64" s="46">
        <f>+التشغيل!W19</f>
        <v>0</v>
      </c>
      <c r="X64" s="46">
        <f>+التشغيل!X19</f>
        <v>0</v>
      </c>
      <c r="Y64" s="46">
        <f>+التشغيل!Y19</f>
        <v>0</v>
      </c>
      <c r="Z64" s="46">
        <f>+التشغيل!Z19</f>
        <v>0</v>
      </c>
      <c r="AA64" s="46">
        <f>+التشغيل!AA19</f>
        <v>0</v>
      </c>
      <c r="AB64" s="46">
        <f>+التشغيل!AB19</f>
        <v>0</v>
      </c>
      <c r="AC64" s="46">
        <f>+التشغيل!AC19</f>
        <v>0</v>
      </c>
      <c r="AD64" s="46">
        <f>+التشغيل!AD19</f>
        <v>0</v>
      </c>
      <c r="AE64" s="46">
        <f>+التشغيل!AE19</f>
        <v>0</v>
      </c>
      <c r="AF64" s="46">
        <f>+التشغيل!AF19</f>
        <v>0</v>
      </c>
      <c r="AG64" s="46">
        <f>+التشغيل!AG19</f>
        <v>0</v>
      </c>
      <c r="AH64" s="46">
        <f>+التشغيل!AH19</f>
        <v>0</v>
      </c>
    </row>
    <row r="65" spans="1:34" ht="21" x14ac:dyDescent="0.35">
      <c r="A65" s="43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15.75" x14ac:dyDescent="0.25">
      <c r="A66" s="108" t="s">
        <v>0</v>
      </c>
      <c r="B66" s="108" t="s">
        <v>1</v>
      </c>
      <c r="C66" s="110" t="s">
        <v>2</v>
      </c>
      <c r="D66" s="110" t="s">
        <v>3</v>
      </c>
      <c r="E66" s="110" t="s">
        <v>39</v>
      </c>
      <c r="F66" s="110" t="s">
        <v>5</v>
      </c>
      <c r="G66" s="39" t="s">
        <v>6</v>
      </c>
      <c r="H66" s="40"/>
      <c r="I66" s="40"/>
      <c r="J66" s="40"/>
      <c r="K66" s="40"/>
      <c r="L66" s="40"/>
      <c r="M66" s="40"/>
      <c r="N66" s="40"/>
      <c r="O66" s="41"/>
      <c r="P66" s="101" t="s">
        <v>7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3"/>
      <c r="AF66" s="104" t="s">
        <v>8</v>
      </c>
      <c r="AG66" s="106" t="s">
        <v>9</v>
      </c>
      <c r="AH66" s="106" t="s">
        <v>10</v>
      </c>
    </row>
    <row r="67" spans="1:34" ht="41.25" customHeight="1" x14ac:dyDescent="0.25">
      <c r="A67" s="109"/>
      <c r="B67" s="109"/>
      <c r="C67" s="111"/>
      <c r="D67" s="111"/>
      <c r="E67" s="111"/>
      <c r="F67" s="111"/>
      <c r="G67" s="42" t="s">
        <v>11</v>
      </c>
      <c r="H67" s="42" t="s">
        <v>12</v>
      </c>
      <c r="I67" s="42" t="s">
        <v>13</v>
      </c>
      <c r="J67" s="42" t="s">
        <v>14</v>
      </c>
      <c r="K67" s="42" t="s">
        <v>15</v>
      </c>
      <c r="L67" s="42" t="s">
        <v>16</v>
      </c>
      <c r="M67" s="42" t="s">
        <v>17</v>
      </c>
      <c r="N67" s="42" t="s">
        <v>18</v>
      </c>
      <c r="O67" s="42" t="s">
        <v>19</v>
      </c>
      <c r="P67" s="4" t="s">
        <v>20</v>
      </c>
      <c r="Q67" s="4" t="s">
        <v>21</v>
      </c>
      <c r="R67" s="4" t="s">
        <v>22</v>
      </c>
      <c r="S67" s="4" t="s">
        <v>23</v>
      </c>
      <c r="T67" s="4" t="s">
        <v>24</v>
      </c>
      <c r="U67" s="4" t="s">
        <v>25</v>
      </c>
      <c r="V67" s="4" t="s">
        <v>26</v>
      </c>
      <c r="W67" s="4" t="s">
        <v>27</v>
      </c>
      <c r="X67" s="4" t="s">
        <v>28</v>
      </c>
      <c r="Y67" s="4" t="s">
        <v>29</v>
      </c>
      <c r="Z67" s="4" t="s">
        <v>30</v>
      </c>
      <c r="AA67" s="5" t="s">
        <v>31</v>
      </c>
      <c r="AB67" s="5" t="s">
        <v>32</v>
      </c>
      <c r="AC67" s="5" t="s">
        <v>33</v>
      </c>
      <c r="AD67" s="6" t="s">
        <v>34</v>
      </c>
      <c r="AE67" s="4" t="s">
        <v>35</v>
      </c>
      <c r="AF67" s="105"/>
      <c r="AG67" s="107"/>
      <c r="AH67" s="107"/>
    </row>
    <row r="68" spans="1:34" ht="21" x14ac:dyDescent="0.35">
      <c r="A68" s="43">
        <f>+التشغيل!A20</f>
        <v>0</v>
      </c>
      <c r="B68" s="44">
        <f>+التشغيل!B20</f>
        <v>0</v>
      </c>
      <c r="C68" s="45">
        <f>+التشغيل!C20</f>
        <v>0</v>
      </c>
      <c r="D68" s="45">
        <f>+التشغيل!D20</f>
        <v>0</v>
      </c>
      <c r="E68" s="45">
        <f>+التشغيل!E20</f>
        <v>0</v>
      </c>
      <c r="F68" s="46">
        <f>+التشغيل!F20</f>
        <v>0</v>
      </c>
      <c r="G68" s="46">
        <f>+التشغيل!G20</f>
        <v>0</v>
      </c>
      <c r="H68" s="46">
        <f>+التشغيل!H20</f>
        <v>0</v>
      </c>
      <c r="I68" s="46">
        <f>+التشغيل!I20</f>
        <v>0</v>
      </c>
      <c r="J68" s="46">
        <f>+التشغيل!J20</f>
        <v>0</v>
      </c>
      <c r="K68" s="46">
        <f>+التشغيل!K20</f>
        <v>0</v>
      </c>
      <c r="L68" s="46">
        <f>+التشغيل!L20</f>
        <v>0</v>
      </c>
      <c r="M68" s="46">
        <f>+التشغيل!M20</f>
        <v>0</v>
      </c>
      <c r="N68" s="46">
        <f>+التشغيل!N20</f>
        <v>0</v>
      </c>
      <c r="O68" s="46">
        <f>+التشغيل!O20</f>
        <v>0</v>
      </c>
      <c r="P68" s="46">
        <f>+التشغيل!P20</f>
        <v>0</v>
      </c>
      <c r="Q68" s="46">
        <f>+التشغيل!Q20</f>
        <v>0</v>
      </c>
      <c r="R68" s="47">
        <f>+التشغيل!R20</f>
        <v>0</v>
      </c>
      <c r="S68" s="47">
        <f>+التشغيل!S20</f>
        <v>0</v>
      </c>
      <c r="T68" s="46">
        <f>+التشغيل!T20</f>
        <v>0</v>
      </c>
      <c r="U68" s="46">
        <f>+التشغيل!U20</f>
        <v>0</v>
      </c>
      <c r="V68" s="46">
        <f>+التشغيل!V20</f>
        <v>0</v>
      </c>
      <c r="W68" s="46">
        <f>+التشغيل!W20</f>
        <v>0</v>
      </c>
      <c r="X68" s="46">
        <f>+التشغيل!X20</f>
        <v>0</v>
      </c>
      <c r="Y68" s="46">
        <f>+التشغيل!Y20</f>
        <v>0</v>
      </c>
      <c r="Z68" s="46">
        <f>+التشغيل!Z20</f>
        <v>0</v>
      </c>
      <c r="AA68" s="46">
        <f>+التشغيل!AA20</f>
        <v>0</v>
      </c>
      <c r="AB68" s="46">
        <f>+التشغيل!AB20</f>
        <v>0</v>
      </c>
      <c r="AC68" s="46">
        <f>+التشغيل!AC20</f>
        <v>0</v>
      </c>
      <c r="AD68" s="46">
        <f>+التشغيل!AD20</f>
        <v>0</v>
      </c>
      <c r="AE68" s="46">
        <f>+التشغيل!AE20</f>
        <v>0</v>
      </c>
      <c r="AF68" s="46">
        <f>+التشغيل!AF20</f>
        <v>0</v>
      </c>
      <c r="AG68" s="46">
        <f>+التشغيل!AG20</f>
        <v>0</v>
      </c>
      <c r="AH68" s="46">
        <f>+التشغيل!AH20</f>
        <v>0</v>
      </c>
    </row>
    <row r="69" spans="1:34" ht="21" x14ac:dyDescent="0.35">
      <c r="A69" s="43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4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15.75" x14ac:dyDescent="0.25">
      <c r="A70" s="108" t="s">
        <v>0</v>
      </c>
      <c r="B70" s="108" t="s">
        <v>1</v>
      </c>
      <c r="C70" s="110" t="s">
        <v>2</v>
      </c>
      <c r="D70" s="110" t="s">
        <v>3</v>
      </c>
      <c r="E70" s="110" t="s">
        <v>39</v>
      </c>
      <c r="F70" s="110" t="s">
        <v>5</v>
      </c>
      <c r="G70" s="39" t="s">
        <v>6</v>
      </c>
      <c r="H70" s="40"/>
      <c r="I70" s="40"/>
      <c r="J70" s="40"/>
      <c r="K70" s="40"/>
      <c r="L70" s="40"/>
      <c r="M70" s="40"/>
      <c r="N70" s="40"/>
      <c r="O70" s="41"/>
      <c r="P70" s="101" t="s">
        <v>7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3"/>
      <c r="AF70" s="104" t="s">
        <v>8</v>
      </c>
      <c r="AG70" s="106" t="s">
        <v>9</v>
      </c>
      <c r="AH70" s="106" t="s">
        <v>10</v>
      </c>
    </row>
    <row r="71" spans="1:34" ht="41.25" customHeight="1" x14ac:dyDescent="0.25">
      <c r="A71" s="109"/>
      <c r="B71" s="109"/>
      <c r="C71" s="111"/>
      <c r="D71" s="111"/>
      <c r="E71" s="111"/>
      <c r="F71" s="111"/>
      <c r="G71" s="42" t="s">
        <v>11</v>
      </c>
      <c r="H71" s="42" t="s">
        <v>12</v>
      </c>
      <c r="I71" s="42" t="s">
        <v>13</v>
      </c>
      <c r="J71" s="42" t="s">
        <v>14</v>
      </c>
      <c r="K71" s="42" t="s">
        <v>15</v>
      </c>
      <c r="L71" s="42" t="s">
        <v>16</v>
      </c>
      <c r="M71" s="42" t="s">
        <v>17</v>
      </c>
      <c r="N71" s="42" t="s">
        <v>18</v>
      </c>
      <c r="O71" s="42" t="s">
        <v>19</v>
      </c>
      <c r="P71" s="4" t="s">
        <v>20</v>
      </c>
      <c r="Q71" s="4" t="s">
        <v>21</v>
      </c>
      <c r="R71" s="4" t="s">
        <v>22</v>
      </c>
      <c r="S71" s="4" t="s">
        <v>23</v>
      </c>
      <c r="T71" s="4" t="s">
        <v>24</v>
      </c>
      <c r="U71" s="4" t="s">
        <v>25</v>
      </c>
      <c r="V71" s="4" t="s">
        <v>26</v>
      </c>
      <c r="W71" s="4" t="s">
        <v>27</v>
      </c>
      <c r="X71" s="4" t="s">
        <v>28</v>
      </c>
      <c r="Y71" s="4" t="s">
        <v>29</v>
      </c>
      <c r="Z71" s="4" t="s">
        <v>30</v>
      </c>
      <c r="AA71" s="5" t="s">
        <v>31</v>
      </c>
      <c r="AB71" s="5" t="s">
        <v>32</v>
      </c>
      <c r="AC71" s="5" t="s">
        <v>33</v>
      </c>
      <c r="AD71" s="6" t="s">
        <v>34</v>
      </c>
      <c r="AE71" s="4" t="s">
        <v>35</v>
      </c>
      <c r="AF71" s="105"/>
      <c r="AG71" s="107"/>
      <c r="AH71" s="107"/>
    </row>
    <row r="72" spans="1:34" ht="21" x14ac:dyDescent="0.35">
      <c r="A72" s="43">
        <f>+التشغيل!A21</f>
        <v>0</v>
      </c>
      <c r="B72" s="44">
        <f>+التشغيل!B21</f>
        <v>0</v>
      </c>
      <c r="C72" s="45">
        <f>+التشغيل!C21</f>
        <v>0</v>
      </c>
      <c r="D72" s="45">
        <f>+التشغيل!D21</f>
        <v>0</v>
      </c>
      <c r="E72" s="45">
        <f>+التشغيل!E21</f>
        <v>0</v>
      </c>
      <c r="F72" s="46">
        <f>+التشغيل!F21</f>
        <v>0</v>
      </c>
      <c r="G72" s="46">
        <f>+التشغيل!G21</f>
        <v>0</v>
      </c>
      <c r="H72" s="46">
        <f>+التشغيل!H21</f>
        <v>0</v>
      </c>
      <c r="I72" s="46">
        <f>+التشغيل!I21</f>
        <v>0</v>
      </c>
      <c r="J72" s="46">
        <f>+التشغيل!J21</f>
        <v>0</v>
      </c>
      <c r="K72" s="46">
        <f>+التشغيل!K21</f>
        <v>0</v>
      </c>
      <c r="L72" s="46">
        <f>+التشغيل!L21</f>
        <v>0</v>
      </c>
      <c r="M72" s="46">
        <f>+التشغيل!M21</f>
        <v>0</v>
      </c>
      <c r="N72" s="46">
        <f>+التشغيل!N21</f>
        <v>0</v>
      </c>
      <c r="O72" s="46">
        <f>+التشغيل!O21</f>
        <v>0</v>
      </c>
      <c r="P72" s="46">
        <f>+التشغيل!P21</f>
        <v>0</v>
      </c>
      <c r="Q72" s="46">
        <f>+التشغيل!Q21</f>
        <v>0</v>
      </c>
      <c r="R72" s="47">
        <f>+التشغيل!R21</f>
        <v>0</v>
      </c>
      <c r="S72" s="47">
        <f>+التشغيل!S21</f>
        <v>0</v>
      </c>
      <c r="T72" s="46">
        <f>+التشغيل!T21</f>
        <v>0</v>
      </c>
      <c r="U72" s="46">
        <f>+التشغيل!U21</f>
        <v>0</v>
      </c>
      <c r="V72" s="46">
        <f>+التشغيل!V21</f>
        <v>0</v>
      </c>
      <c r="W72" s="46">
        <f>+التشغيل!W21</f>
        <v>0</v>
      </c>
      <c r="X72" s="46">
        <f>+التشغيل!X21</f>
        <v>0</v>
      </c>
      <c r="Y72" s="46">
        <f>+التشغيل!Y21</f>
        <v>0</v>
      </c>
      <c r="Z72" s="46">
        <f>+التشغيل!Z21</f>
        <v>0</v>
      </c>
      <c r="AA72" s="46">
        <f>+التشغيل!AA21</f>
        <v>0</v>
      </c>
      <c r="AB72" s="46">
        <f>+التشغيل!AB21</f>
        <v>0</v>
      </c>
      <c r="AC72" s="46">
        <f>+التشغيل!AC21</f>
        <v>0</v>
      </c>
      <c r="AD72" s="46">
        <f>+التشغيل!AD21</f>
        <v>0</v>
      </c>
      <c r="AE72" s="46">
        <f>+التشغيل!AE21</f>
        <v>0</v>
      </c>
      <c r="AF72" s="46">
        <f>+التشغيل!AF21</f>
        <v>0</v>
      </c>
      <c r="AG72" s="46">
        <f>+التشغيل!AG21</f>
        <v>0</v>
      </c>
      <c r="AH72" s="46">
        <f>+التشغيل!AH21</f>
        <v>0</v>
      </c>
    </row>
    <row r="73" spans="1:34" ht="21" x14ac:dyDescent="0.35">
      <c r="A73" s="43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15.75" x14ac:dyDescent="0.25">
      <c r="A74" s="108" t="s">
        <v>0</v>
      </c>
      <c r="B74" s="108" t="s">
        <v>1</v>
      </c>
      <c r="C74" s="110" t="s">
        <v>2</v>
      </c>
      <c r="D74" s="110" t="s">
        <v>3</v>
      </c>
      <c r="E74" s="110" t="s">
        <v>39</v>
      </c>
      <c r="F74" s="110" t="s">
        <v>5</v>
      </c>
      <c r="G74" s="39" t="s">
        <v>6</v>
      </c>
      <c r="H74" s="40"/>
      <c r="I74" s="40"/>
      <c r="J74" s="40"/>
      <c r="K74" s="40"/>
      <c r="L74" s="40"/>
      <c r="M74" s="40"/>
      <c r="N74" s="40"/>
      <c r="O74" s="41"/>
      <c r="P74" s="101" t="s">
        <v>7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3"/>
      <c r="AF74" s="104" t="s">
        <v>8</v>
      </c>
      <c r="AG74" s="106" t="s">
        <v>9</v>
      </c>
      <c r="AH74" s="106" t="s">
        <v>10</v>
      </c>
    </row>
    <row r="75" spans="1:34" ht="41.25" customHeight="1" x14ac:dyDescent="0.25">
      <c r="A75" s="109"/>
      <c r="B75" s="109"/>
      <c r="C75" s="111"/>
      <c r="D75" s="111"/>
      <c r="E75" s="111"/>
      <c r="F75" s="111"/>
      <c r="G75" s="42" t="s">
        <v>11</v>
      </c>
      <c r="H75" s="42" t="s">
        <v>12</v>
      </c>
      <c r="I75" s="42" t="s">
        <v>13</v>
      </c>
      <c r="J75" s="42" t="s">
        <v>14</v>
      </c>
      <c r="K75" s="42" t="s">
        <v>15</v>
      </c>
      <c r="L75" s="42" t="s">
        <v>16</v>
      </c>
      <c r="M75" s="42" t="s">
        <v>17</v>
      </c>
      <c r="N75" s="42" t="s">
        <v>18</v>
      </c>
      <c r="O75" s="42" t="s">
        <v>19</v>
      </c>
      <c r="P75" s="4" t="s">
        <v>20</v>
      </c>
      <c r="Q75" s="4" t="s">
        <v>21</v>
      </c>
      <c r="R75" s="4" t="s">
        <v>22</v>
      </c>
      <c r="S75" s="4" t="s">
        <v>23</v>
      </c>
      <c r="T75" s="4" t="s">
        <v>24</v>
      </c>
      <c r="U75" s="4" t="s">
        <v>25</v>
      </c>
      <c r="V75" s="4" t="s">
        <v>26</v>
      </c>
      <c r="W75" s="4" t="s">
        <v>27</v>
      </c>
      <c r="X75" s="4" t="s">
        <v>28</v>
      </c>
      <c r="Y75" s="4" t="s">
        <v>29</v>
      </c>
      <c r="Z75" s="4" t="s">
        <v>30</v>
      </c>
      <c r="AA75" s="5" t="s">
        <v>31</v>
      </c>
      <c r="AB75" s="5" t="s">
        <v>32</v>
      </c>
      <c r="AC75" s="5" t="s">
        <v>33</v>
      </c>
      <c r="AD75" s="6" t="s">
        <v>34</v>
      </c>
      <c r="AE75" s="4" t="s">
        <v>35</v>
      </c>
      <c r="AF75" s="105"/>
      <c r="AG75" s="107"/>
      <c r="AH75" s="107"/>
    </row>
    <row r="76" spans="1:34" ht="21" x14ac:dyDescent="0.35">
      <c r="A76" s="43">
        <f>+التشغيل!A22</f>
        <v>0</v>
      </c>
      <c r="B76" s="44">
        <f>+التشغيل!B22</f>
        <v>0</v>
      </c>
      <c r="C76" s="45">
        <f>+التشغيل!C22</f>
        <v>0</v>
      </c>
      <c r="D76" s="45">
        <f>+التشغيل!D22</f>
        <v>0</v>
      </c>
      <c r="E76" s="45">
        <f>+التشغيل!E22</f>
        <v>0</v>
      </c>
      <c r="F76" s="46">
        <f>+التشغيل!F22</f>
        <v>0</v>
      </c>
      <c r="G76" s="46">
        <f>+التشغيل!G22</f>
        <v>0</v>
      </c>
      <c r="H76" s="46">
        <f>+التشغيل!H22</f>
        <v>0</v>
      </c>
      <c r="I76" s="46">
        <f>+التشغيل!I22</f>
        <v>0</v>
      </c>
      <c r="J76" s="46">
        <f>+التشغيل!J22</f>
        <v>0</v>
      </c>
      <c r="K76" s="46">
        <f>+التشغيل!K22</f>
        <v>0</v>
      </c>
      <c r="L76" s="46">
        <f>+التشغيل!L22</f>
        <v>0</v>
      </c>
      <c r="M76" s="46">
        <f>+التشغيل!M22</f>
        <v>0</v>
      </c>
      <c r="N76" s="46">
        <f>+التشغيل!N22</f>
        <v>0</v>
      </c>
      <c r="O76" s="46">
        <f>+التشغيل!O22</f>
        <v>0</v>
      </c>
      <c r="P76" s="46">
        <f>+التشغيل!P22</f>
        <v>0</v>
      </c>
      <c r="Q76" s="46">
        <f>+التشغيل!Q22</f>
        <v>0</v>
      </c>
      <c r="R76" s="47">
        <f>+التشغيل!R22</f>
        <v>0</v>
      </c>
      <c r="S76" s="47">
        <f>+التشغيل!S22</f>
        <v>0</v>
      </c>
      <c r="T76" s="46">
        <f>+التشغيل!T22</f>
        <v>0</v>
      </c>
      <c r="U76" s="46">
        <f>+التشغيل!U22</f>
        <v>0</v>
      </c>
      <c r="V76" s="46">
        <f>+التشغيل!V22</f>
        <v>0</v>
      </c>
      <c r="W76" s="46">
        <f>+التشغيل!W22</f>
        <v>0</v>
      </c>
      <c r="X76" s="46">
        <f>+التشغيل!X22</f>
        <v>0</v>
      </c>
      <c r="Y76" s="46">
        <f>+التشغيل!Y22</f>
        <v>0</v>
      </c>
      <c r="Z76" s="46">
        <f>+التشغيل!Z22</f>
        <v>0</v>
      </c>
      <c r="AA76" s="46">
        <f>+التشغيل!AA22</f>
        <v>0</v>
      </c>
      <c r="AB76" s="46">
        <f>+التشغيل!AB22</f>
        <v>0</v>
      </c>
      <c r="AC76" s="46">
        <f>+التشغيل!AC22</f>
        <v>0</v>
      </c>
      <c r="AD76" s="46">
        <f>+التشغيل!AD22</f>
        <v>0</v>
      </c>
      <c r="AE76" s="46">
        <f>+التشغيل!AE22</f>
        <v>0</v>
      </c>
      <c r="AF76" s="46">
        <f>+التشغيل!AF22</f>
        <v>0</v>
      </c>
      <c r="AG76" s="46">
        <f>+التشغيل!AG22</f>
        <v>0</v>
      </c>
      <c r="AH76" s="46">
        <f>+التشغيل!AH22</f>
        <v>0</v>
      </c>
    </row>
    <row r="77" spans="1:34" ht="21" x14ac:dyDescent="0.35">
      <c r="A77" s="43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15.75" x14ac:dyDescent="0.25">
      <c r="A78" s="108" t="s">
        <v>0</v>
      </c>
      <c r="B78" s="108" t="s">
        <v>1</v>
      </c>
      <c r="C78" s="110" t="s">
        <v>2</v>
      </c>
      <c r="D78" s="110" t="s">
        <v>3</v>
      </c>
      <c r="E78" s="110" t="s">
        <v>39</v>
      </c>
      <c r="F78" s="110" t="s">
        <v>5</v>
      </c>
      <c r="G78" s="39" t="s">
        <v>6</v>
      </c>
      <c r="H78" s="40"/>
      <c r="I78" s="40"/>
      <c r="J78" s="40"/>
      <c r="K78" s="40"/>
      <c r="L78" s="40"/>
      <c r="M78" s="40"/>
      <c r="N78" s="40"/>
      <c r="O78" s="41"/>
      <c r="P78" s="101" t="s">
        <v>7</v>
      </c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3"/>
      <c r="AF78" s="104" t="s">
        <v>8</v>
      </c>
      <c r="AG78" s="106" t="s">
        <v>9</v>
      </c>
      <c r="AH78" s="106" t="s">
        <v>10</v>
      </c>
    </row>
    <row r="79" spans="1:34" ht="41.25" customHeight="1" x14ac:dyDescent="0.25">
      <c r="A79" s="109"/>
      <c r="B79" s="109"/>
      <c r="C79" s="111"/>
      <c r="D79" s="111"/>
      <c r="E79" s="111"/>
      <c r="F79" s="111"/>
      <c r="G79" s="42" t="s">
        <v>11</v>
      </c>
      <c r="H79" s="42" t="s">
        <v>12</v>
      </c>
      <c r="I79" s="42" t="s">
        <v>13</v>
      </c>
      <c r="J79" s="42" t="s">
        <v>14</v>
      </c>
      <c r="K79" s="42" t="s">
        <v>15</v>
      </c>
      <c r="L79" s="42" t="s">
        <v>16</v>
      </c>
      <c r="M79" s="42" t="s">
        <v>17</v>
      </c>
      <c r="N79" s="42" t="s">
        <v>18</v>
      </c>
      <c r="O79" s="42" t="s">
        <v>19</v>
      </c>
      <c r="P79" s="4" t="s">
        <v>20</v>
      </c>
      <c r="Q79" s="4" t="s">
        <v>21</v>
      </c>
      <c r="R79" s="4" t="s">
        <v>22</v>
      </c>
      <c r="S79" s="4" t="s">
        <v>23</v>
      </c>
      <c r="T79" s="4" t="s">
        <v>24</v>
      </c>
      <c r="U79" s="4" t="s">
        <v>25</v>
      </c>
      <c r="V79" s="4" t="s">
        <v>26</v>
      </c>
      <c r="W79" s="4" t="s">
        <v>27</v>
      </c>
      <c r="X79" s="4" t="s">
        <v>28</v>
      </c>
      <c r="Y79" s="4" t="s">
        <v>29</v>
      </c>
      <c r="Z79" s="4" t="s">
        <v>30</v>
      </c>
      <c r="AA79" s="5" t="s">
        <v>31</v>
      </c>
      <c r="AB79" s="5" t="s">
        <v>32</v>
      </c>
      <c r="AC79" s="5" t="s">
        <v>33</v>
      </c>
      <c r="AD79" s="6" t="s">
        <v>34</v>
      </c>
      <c r="AE79" s="4" t="s">
        <v>35</v>
      </c>
      <c r="AF79" s="105"/>
      <c r="AG79" s="107"/>
      <c r="AH79" s="107"/>
    </row>
    <row r="80" spans="1:34" ht="21" x14ac:dyDescent="0.35">
      <c r="A80" s="43">
        <f>+التشغيل!A23</f>
        <v>0</v>
      </c>
      <c r="B80" s="44">
        <f>+التشغيل!B23</f>
        <v>0</v>
      </c>
      <c r="C80" s="45">
        <f>+التشغيل!C23</f>
        <v>0</v>
      </c>
      <c r="D80" s="45">
        <f>+التشغيل!D23</f>
        <v>0</v>
      </c>
      <c r="E80" s="45">
        <f>+التشغيل!E23</f>
        <v>0</v>
      </c>
      <c r="F80" s="46">
        <f>+التشغيل!F23</f>
        <v>0</v>
      </c>
      <c r="G80" s="46">
        <f>+التشغيل!G23</f>
        <v>0</v>
      </c>
      <c r="H80" s="46">
        <f>+التشغيل!H23</f>
        <v>0</v>
      </c>
      <c r="I80" s="46">
        <f>+التشغيل!I23</f>
        <v>0</v>
      </c>
      <c r="J80" s="46">
        <f>+التشغيل!J23</f>
        <v>0</v>
      </c>
      <c r="K80" s="46">
        <f>+التشغيل!K23</f>
        <v>0</v>
      </c>
      <c r="L80" s="46">
        <f>+التشغيل!L23</f>
        <v>0</v>
      </c>
      <c r="M80" s="46">
        <f>+التشغيل!M23</f>
        <v>0</v>
      </c>
      <c r="N80" s="46">
        <f>+التشغيل!N23</f>
        <v>0</v>
      </c>
      <c r="O80" s="46">
        <f>+التشغيل!O23</f>
        <v>0</v>
      </c>
      <c r="P80" s="46">
        <f>+التشغيل!P23</f>
        <v>0</v>
      </c>
      <c r="Q80" s="46">
        <f>+التشغيل!Q23</f>
        <v>0</v>
      </c>
      <c r="R80" s="47">
        <f>+التشغيل!R23</f>
        <v>0</v>
      </c>
      <c r="S80" s="47">
        <f>+التشغيل!S23</f>
        <v>0</v>
      </c>
      <c r="T80" s="46">
        <f>+التشغيل!T23</f>
        <v>0</v>
      </c>
      <c r="U80" s="46">
        <f>+التشغيل!U23</f>
        <v>0</v>
      </c>
      <c r="V80" s="46">
        <f>+التشغيل!V23</f>
        <v>0</v>
      </c>
      <c r="W80" s="46">
        <f>+التشغيل!W23</f>
        <v>0</v>
      </c>
      <c r="X80" s="46">
        <f>+التشغيل!X23</f>
        <v>0</v>
      </c>
      <c r="Y80" s="46">
        <f>+التشغيل!Y23</f>
        <v>0</v>
      </c>
      <c r="Z80" s="46">
        <f>+التشغيل!Z23</f>
        <v>0</v>
      </c>
      <c r="AA80" s="46">
        <f>+التشغيل!AA23</f>
        <v>0</v>
      </c>
      <c r="AB80" s="46">
        <f>+التشغيل!AB23</f>
        <v>0</v>
      </c>
      <c r="AC80" s="46">
        <f>+التشغيل!AC23</f>
        <v>0</v>
      </c>
      <c r="AD80" s="46">
        <f>+التشغيل!AD23</f>
        <v>0</v>
      </c>
      <c r="AE80" s="46">
        <f>+التشغيل!AE23</f>
        <v>0</v>
      </c>
      <c r="AF80" s="46">
        <f>+التشغيل!AF23</f>
        <v>0</v>
      </c>
      <c r="AG80" s="46">
        <f>+التشغيل!AG23</f>
        <v>0</v>
      </c>
      <c r="AH80" s="46">
        <f>+التشغيل!AH23</f>
        <v>0</v>
      </c>
    </row>
    <row r="81" spans="1:34" ht="21" x14ac:dyDescent="0.35">
      <c r="A81" s="43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15.75" x14ac:dyDescent="0.25">
      <c r="A82" s="108" t="s">
        <v>0</v>
      </c>
      <c r="B82" s="108" t="s">
        <v>1</v>
      </c>
      <c r="C82" s="110" t="s">
        <v>2</v>
      </c>
      <c r="D82" s="110" t="s">
        <v>3</v>
      </c>
      <c r="E82" s="110" t="s">
        <v>39</v>
      </c>
      <c r="F82" s="110" t="s">
        <v>5</v>
      </c>
      <c r="G82" s="39" t="s">
        <v>6</v>
      </c>
      <c r="H82" s="40"/>
      <c r="I82" s="40"/>
      <c r="J82" s="40"/>
      <c r="K82" s="40"/>
      <c r="L82" s="40"/>
      <c r="M82" s="40"/>
      <c r="N82" s="40"/>
      <c r="O82" s="41"/>
      <c r="P82" s="101" t="s">
        <v>7</v>
      </c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3"/>
      <c r="AF82" s="104" t="s">
        <v>8</v>
      </c>
      <c r="AG82" s="106" t="s">
        <v>9</v>
      </c>
      <c r="AH82" s="106" t="s">
        <v>10</v>
      </c>
    </row>
    <row r="83" spans="1:34" ht="41.25" customHeight="1" x14ac:dyDescent="0.25">
      <c r="A83" s="109"/>
      <c r="B83" s="109"/>
      <c r="C83" s="111"/>
      <c r="D83" s="111"/>
      <c r="E83" s="111"/>
      <c r="F83" s="111"/>
      <c r="G83" s="42" t="s">
        <v>11</v>
      </c>
      <c r="H83" s="42" t="s">
        <v>12</v>
      </c>
      <c r="I83" s="42" t="s">
        <v>13</v>
      </c>
      <c r="J83" s="42" t="s">
        <v>14</v>
      </c>
      <c r="K83" s="42" t="s">
        <v>15</v>
      </c>
      <c r="L83" s="42" t="s">
        <v>16</v>
      </c>
      <c r="M83" s="42" t="s">
        <v>17</v>
      </c>
      <c r="N83" s="42" t="s">
        <v>18</v>
      </c>
      <c r="O83" s="42" t="s">
        <v>19</v>
      </c>
      <c r="P83" s="4" t="s">
        <v>20</v>
      </c>
      <c r="Q83" s="4" t="s">
        <v>21</v>
      </c>
      <c r="R83" s="4" t="s">
        <v>22</v>
      </c>
      <c r="S83" s="4" t="s">
        <v>23</v>
      </c>
      <c r="T83" s="4" t="s">
        <v>24</v>
      </c>
      <c r="U83" s="4" t="s">
        <v>25</v>
      </c>
      <c r="V83" s="4" t="s">
        <v>26</v>
      </c>
      <c r="W83" s="4" t="s">
        <v>27</v>
      </c>
      <c r="X83" s="4" t="s">
        <v>28</v>
      </c>
      <c r="Y83" s="4" t="s">
        <v>29</v>
      </c>
      <c r="Z83" s="4" t="s">
        <v>30</v>
      </c>
      <c r="AA83" s="5" t="s">
        <v>31</v>
      </c>
      <c r="AB83" s="5" t="s">
        <v>32</v>
      </c>
      <c r="AC83" s="5" t="s">
        <v>33</v>
      </c>
      <c r="AD83" s="6" t="s">
        <v>34</v>
      </c>
      <c r="AE83" s="4" t="s">
        <v>35</v>
      </c>
      <c r="AF83" s="105"/>
      <c r="AG83" s="107"/>
      <c r="AH83" s="107"/>
    </row>
    <row r="84" spans="1:34" ht="21" x14ac:dyDescent="0.35">
      <c r="A84" s="43">
        <v>2</v>
      </c>
      <c r="B84" s="44">
        <v>5</v>
      </c>
      <c r="C84" s="45">
        <v>4</v>
      </c>
      <c r="D84" s="45">
        <v>1</v>
      </c>
      <c r="E84" s="45">
        <v>11</v>
      </c>
      <c r="F84" s="46">
        <v>11</v>
      </c>
      <c r="G84" s="46">
        <v>11</v>
      </c>
      <c r="H84" s="46">
        <v>1</v>
      </c>
      <c r="I84" s="46">
        <v>1</v>
      </c>
      <c r="J84" s="46">
        <v>1</v>
      </c>
      <c r="K84" s="46">
        <v>1</v>
      </c>
      <c r="L84" s="46">
        <f>+التشغيل!L24</f>
        <v>0</v>
      </c>
      <c r="M84" s="46">
        <v>1</v>
      </c>
      <c r="N84" s="46">
        <v>1</v>
      </c>
      <c r="O84" s="46">
        <v>1</v>
      </c>
      <c r="P84" s="46">
        <v>1</v>
      </c>
      <c r="Q84" s="46">
        <v>2</v>
      </c>
      <c r="R84" s="47">
        <v>3</v>
      </c>
      <c r="S84" s="47">
        <v>3</v>
      </c>
      <c r="T84" s="46">
        <v>2</v>
      </c>
      <c r="U84" s="46">
        <v>2</v>
      </c>
      <c r="V84" s="46">
        <v>3</v>
      </c>
      <c r="W84" s="46">
        <f>+التشغيل!W24</f>
        <v>0</v>
      </c>
      <c r="X84" s="46">
        <f>+التشغيل!X24</f>
        <v>0</v>
      </c>
      <c r="Y84" s="46">
        <f>+التشغيل!Y24</f>
        <v>0</v>
      </c>
      <c r="Z84" s="46">
        <f>+التشغيل!Z24</f>
        <v>0</v>
      </c>
      <c r="AA84" s="46">
        <f>+التشغيل!AA24</f>
        <v>0</v>
      </c>
      <c r="AB84" s="46">
        <f>+التشغيل!AB24</f>
        <v>0</v>
      </c>
      <c r="AC84" s="46">
        <f>+التشغيل!AC24</f>
        <v>0</v>
      </c>
      <c r="AD84" s="46">
        <f>+التشغيل!AD24</f>
        <v>0</v>
      </c>
      <c r="AE84" s="46">
        <f>+التشغيل!AE24</f>
        <v>0</v>
      </c>
      <c r="AF84" s="46">
        <f>+التشغيل!AF24</f>
        <v>0</v>
      </c>
      <c r="AG84" s="46">
        <f>+التشغيل!AG24</f>
        <v>0</v>
      </c>
      <c r="AH84" s="46">
        <f>+التشغيل!AH24</f>
        <v>0</v>
      </c>
    </row>
    <row r="85" spans="1:34" ht="21" x14ac:dyDescent="0.35">
      <c r="A85" s="43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15.75" x14ac:dyDescent="0.25">
      <c r="A86" s="108" t="s">
        <v>0</v>
      </c>
      <c r="B86" s="108" t="s">
        <v>1</v>
      </c>
      <c r="C86" s="110" t="s">
        <v>2</v>
      </c>
      <c r="D86" s="110" t="s">
        <v>3</v>
      </c>
      <c r="E86" s="110" t="s">
        <v>39</v>
      </c>
      <c r="F86" s="110" t="s">
        <v>5</v>
      </c>
      <c r="G86" s="39" t="s">
        <v>6</v>
      </c>
      <c r="H86" s="40"/>
      <c r="I86" s="40"/>
      <c r="J86" s="40"/>
      <c r="K86" s="40"/>
      <c r="L86" s="40"/>
      <c r="M86" s="40"/>
      <c r="N86" s="40"/>
      <c r="O86" s="41"/>
      <c r="P86" s="101" t="s">
        <v>7</v>
      </c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/>
      <c r="AF86" s="104" t="s">
        <v>8</v>
      </c>
      <c r="AG86" s="106" t="s">
        <v>9</v>
      </c>
      <c r="AH86" s="106" t="s">
        <v>10</v>
      </c>
    </row>
    <row r="87" spans="1:34" ht="41.25" customHeight="1" x14ac:dyDescent="0.25">
      <c r="A87" s="109"/>
      <c r="B87" s="109"/>
      <c r="C87" s="111"/>
      <c r="D87" s="111"/>
      <c r="E87" s="111"/>
      <c r="F87" s="111"/>
      <c r="G87" s="42" t="s">
        <v>11</v>
      </c>
      <c r="H87" s="42" t="s">
        <v>12</v>
      </c>
      <c r="I87" s="42" t="s">
        <v>13</v>
      </c>
      <c r="J87" s="42" t="s">
        <v>14</v>
      </c>
      <c r="K87" s="42" t="s">
        <v>15</v>
      </c>
      <c r="L87" s="42" t="s">
        <v>16</v>
      </c>
      <c r="M87" s="42" t="s">
        <v>17</v>
      </c>
      <c r="N87" s="42" t="s">
        <v>18</v>
      </c>
      <c r="O87" s="42" t="s">
        <v>19</v>
      </c>
      <c r="P87" s="4" t="s">
        <v>20</v>
      </c>
      <c r="Q87" s="4" t="s">
        <v>21</v>
      </c>
      <c r="R87" s="4" t="s">
        <v>22</v>
      </c>
      <c r="S87" s="4" t="s">
        <v>23</v>
      </c>
      <c r="T87" s="4" t="s">
        <v>24</v>
      </c>
      <c r="U87" s="4" t="s">
        <v>25</v>
      </c>
      <c r="V87" s="4" t="s">
        <v>26</v>
      </c>
      <c r="W87" s="4" t="s">
        <v>27</v>
      </c>
      <c r="X87" s="4" t="s">
        <v>28</v>
      </c>
      <c r="Y87" s="4" t="s">
        <v>29</v>
      </c>
      <c r="Z87" s="4" t="s">
        <v>30</v>
      </c>
      <c r="AA87" s="5" t="s">
        <v>31</v>
      </c>
      <c r="AB87" s="5" t="s">
        <v>32</v>
      </c>
      <c r="AC87" s="5" t="s">
        <v>33</v>
      </c>
      <c r="AD87" s="6" t="s">
        <v>34</v>
      </c>
      <c r="AE87" s="4" t="s">
        <v>35</v>
      </c>
      <c r="AF87" s="105"/>
      <c r="AG87" s="107"/>
      <c r="AH87" s="107"/>
    </row>
    <row r="88" spans="1:34" ht="21" x14ac:dyDescent="0.35">
      <c r="A88" s="43">
        <f>+التشغيل!A25</f>
        <v>0</v>
      </c>
      <c r="B88" s="44">
        <f>+التشغيل!B25</f>
        <v>0</v>
      </c>
      <c r="C88" s="45">
        <f>+التشغيل!C25</f>
        <v>0</v>
      </c>
      <c r="D88" s="45">
        <f>+التشغيل!D25</f>
        <v>0</v>
      </c>
      <c r="E88" s="45">
        <f>+التشغيل!E25</f>
        <v>0</v>
      </c>
      <c r="F88" s="46">
        <f>+التشغيل!F25</f>
        <v>0</v>
      </c>
      <c r="G88" s="46">
        <f>+التشغيل!G25</f>
        <v>0</v>
      </c>
      <c r="H88" s="46">
        <f>+التشغيل!H25</f>
        <v>0</v>
      </c>
      <c r="I88" s="46">
        <f>+التشغيل!I25</f>
        <v>0</v>
      </c>
      <c r="J88" s="46">
        <f>+التشغيل!J25</f>
        <v>0</v>
      </c>
      <c r="K88" s="46">
        <f>+التشغيل!K25</f>
        <v>0</v>
      </c>
      <c r="L88" s="46">
        <f>+التشغيل!L25</f>
        <v>0</v>
      </c>
      <c r="M88" s="46">
        <f>+التشغيل!M25</f>
        <v>0</v>
      </c>
      <c r="N88" s="46">
        <f>+التشغيل!N25</f>
        <v>0</v>
      </c>
      <c r="O88" s="46">
        <f>+التشغيل!O25</f>
        <v>0</v>
      </c>
      <c r="P88" s="46">
        <f>+التشغيل!P25</f>
        <v>0</v>
      </c>
      <c r="Q88" s="46">
        <f>+التشغيل!Q25</f>
        <v>0</v>
      </c>
      <c r="R88" s="47">
        <f>+التشغيل!R25</f>
        <v>0</v>
      </c>
      <c r="S88" s="47">
        <f>+التشغيل!S25</f>
        <v>0</v>
      </c>
      <c r="T88" s="46">
        <f>+التشغيل!T25</f>
        <v>0</v>
      </c>
      <c r="U88" s="46">
        <f>+التشغيل!U25</f>
        <v>0</v>
      </c>
      <c r="V88" s="46">
        <f>+التشغيل!V25</f>
        <v>0</v>
      </c>
      <c r="W88" s="46">
        <f>+التشغيل!W25</f>
        <v>0</v>
      </c>
      <c r="X88" s="46">
        <f>+التشغيل!X25</f>
        <v>0</v>
      </c>
      <c r="Y88" s="46">
        <f>+التشغيل!Y25</f>
        <v>0</v>
      </c>
      <c r="Z88" s="46">
        <f>+التشغيل!Z25</f>
        <v>0</v>
      </c>
      <c r="AA88" s="46">
        <f>+التشغيل!AA25</f>
        <v>0</v>
      </c>
      <c r="AB88" s="46">
        <f>+التشغيل!AB25</f>
        <v>0</v>
      </c>
      <c r="AC88" s="46">
        <f>+التشغيل!AC25</f>
        <v>0</v>
      </c>
      <c r="AD88" s="46">
        <f>+التشغيل!AD25</f>
        <v>0</v>
      </c>
      <c r="AE88" s="46">
        <f>+التشغيل!AE25</f>
        <v>0</v>
      </c>
      <c r="AF88" s="46">
        <f>+التشغيل!AF25</f>
        <v>0</v>
      </c>
      <c r="AG88" s="46">
        <f>+التشغيل!AG25</f>
        <v>0</v>
      </c>
      <c r="AH88" s="46">
        <f>+التشغيل!AH25</f>
        <v>0</v>
      </c>
    </row>
    <row r="89" spans="1:34" ht="21" x14ac:dyDescent="0.35">
      <c r="A89" s="43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15.75" x14ac:dyDescent="0.25">
      <c r="A90" s="108" t="s">
        <v>0</v>
      </c>
      <c r="B90" s="108" t="s">
        <v>1</v>
      </c>
      <c r="C90" s="110" t="s">
        <v>2</v>
      </c>
      <c r="D90" s="110" t="s">
        <v>3</v>
      </c>
      <c r="E90" s="110" t="s">
        <v>39</v>
      </c>
      <c r="F90" s="110" t="s">
        <v>5</v>
      </c>
      <c r="G90" s="39" t="s">
        <v>6</v>
      </c>
      <c r="H90" s="40"/>
      <c r="I90" s="40"/>
      <c r="J90" s="40"/>
      <c r="K90" s="40"/>
      <c r="L90" s="40"/>
      <c r="M90" s="40"/>
      <c r="N90" s="40"/>
      <c r="O90" s="41"/>
      <c r="P90" s="101" t="s">
        <v>7</v>
      </c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3"/>
      <c r="AF90" s="104" t="s">
        <v>8</v>
      </c>
      <c r="AG90" s="106" t="s">
        <v>9</v>
      </c>
      <c r="AH90" s="106" t="s">
        <v>10</v>
      </c>
    </row>
    <row r="91" spans="1:34" ht="41.25" customHeight="1" x14ac:dyDescent="0.25">
      <c r="A91" s="109"/>
      <c r="B91" s="109"/>
      <c r="C91" s="111"/>
      <c r="D91" s="111"/>
      <c r="E91" s="111"/>
      <c r="F91" s="111"/>
      <c r="G91" s="42" t="s">
        <v>11</v>
      </c>
      <c r="H91" s="42" t="s">
        <v>12</v>
      </c>
      <c r="I91" s="42" t="s">
        <v>13</v>
      </c>
      <c r="J91" s="42" t="s">
        <v>14</v>
      </c>
      <c r="K91" s="42" t="s">
        <v>15</v>
      </c>
      <c r="L91" s="42" t="s">
        <v>16</v>
      </c>
      <c r="M91" s="42" t="s">
        <v>17</v>
      </c>
      <c r="N91" s="42" t="s">
        <v>18</v>
      </c>
      <c r="O91" s="42" t="s">
        <v>19</v>
      </c>
      <c r="P91" s="4" t="s">
        <v>20</v>
      </c>
      <c r="Q91" s="4" t="s">
        <v>21</v>
      </c>
      <c r="R91" s="4" t="s">
        <v>22</v>
      </c>
      <c r="S91" s="4" t="s">
        <v>23</v>
      </c>
      <c r="T91" s="4" t="s">
        <v>24</v>
      </c>
      <c r="U91" s="4" t="s">
        <v>25</v>
      </c>
      <c r="V91" s="4" t="s">
        <v>26</v>
      </c>
      <c r="W91" s="4" t="s">
        <v>27</v>
      </c>
      <c r="X91" s="4" t="s">
        <v>28</v>
      </c>
      <c r="Y91" s="4" t="s">
        <v>29</v>
      </c>
      <c r="Z91" s="4" t="s">
        <v>30</v>
      </c>
      <c r="AA91" s="5" t="s">
        <v>31</v>
      </c>
      <c r="AB91" s="5" t="s">
        <v>32</v>
      </c>
      <c r="AC91" s="5" t="s">
        <v>33</v>
      </c>
      <c r="AD91" s="6" t="s">
        <v>34</v>
      </c>
      <c r="AE91" s="4" t="s">
        <v>35</v>
      </c>
      <c r="AF91" s="105"/>
      <c r="AG91" s="107"/>
      <c r="AH91" s="107"/>
    </row>
    <row r="92" spans="1:34" ht="21" x14ac:dyDescent="0.35">
      <c r="A92" s="43">
        <f>+التشغيل!A26</f>
        <v>0</v>
      </c>
      <c r="B92" s="44">
        <f>+التشغيل!B26</f>
        <v>0</v>
      </c>
      <c r="C92" s="45">
        <f>+التشغيل!C26</f>
        <v>0</v>
      </c>
      <c r="D92" s="45">
        <f>+التشغيل!D26</f>
        <v>0</v>
      </c>
      <c r="E92" s="45">
        <f>+التشغيل!E26</f>
        <v>0</v>
      </c>
      <c r="F92" s="46">
        <f>+التشغيل!F26</f>
        <v>0</v>
      </c>
      <c r="G92" s="46">
        <f>+التشغيل!G26</f>
        <v>0</v>
      </c>
      <c r="H92" s="46">
        <f>+التشغيل!H26</f>
        <v>0</v>
      </c>
      <c r="I92" s="46">
        <f>+التشغيل!I26</f>
        <v>0</v>
      </c>
      <c r="J92" s="46">
        <f>+التشغيل!J26</f>
        <v>0</v>
      </c>
      <c r="K92" s="46">
        <f>+التشغيل!K26</f>
        <v>0</v>
      </c>
      <c r="L92" s="46">
        <f>+التشغيل!L26</f>
        <v>0</v>
      </c>
      <c r="M92" s="46">
        <f>+التشغيل!M26</f>
        <v>0</v>
      </c>
      <c r="N92" s="46">
        <f>+التشغيل!N26</f>
        <v>0</v>
      </c>
      <c r="O92" s="46">
        <f>+التشغيل!O26</f>
        <v>0</v>
      </c>
      <c r="P92" s="46">
        <f>+التشغيل!P26</f>
        <v>0</v>
      </c>
      <c r="Q92" s="46">
        <f>+التشغيل!Q26</f>
        <v>0</v>
      </c>
      <c r="R92" s="47">
        <f>+التشغيل!R26</f>
        <v>0</v>
      </c>
      <c r="S92" s="47">
        <f>+التشغيل!S26</f>
        <v>0</v>
      </c>
      <c r="T92" s="46">
        <f>+التشغيل!T26</f>
        <v>0</v>
      </c>
      <c r="U92" s="46">
        <f>+التشغيل!U26</f>
        <v>0</v>
      </c>
      <c r="V92" s="46">
        <f>+التشغيل!V26</f>
        <v>0</v>
      </c>
      <c r="W92" s="46">
        <f>+التشغيل!W26</f>
        <v>0</v>
      </c>
      <c r="X92" s="46">
        <f>+التشغيل!X26</f>
        <v>0</v>
      </c>
      <c r="Y92" s="46">
        <f>+التشغيل!Y26</f>
        <v>0</v>
      </c>
      <c r="Z92" s="46">
        <f>+التشغيل!Z26</f>
        <v>0</v>
      </c>
      <c r="AA92" s="46">
        <f>+التشغيل!AA26</f>
        <v>0</v>
      </c>
      <c r="AB92" s="46">
        <f>+التشغيل!AB26</f>
        <v>0</v>
      </c>
      <c r="AC92" s="46">
        <f>+التشغيل!AC26</f>
        <v>0</v>
      </c>
      <c r="AD92" s="46">
        <f>+التشغيل!AD26</f>
        <v>0</v>
      </c>
      <c r="AE92" s="46">
        <f>+التشغيل!AE26</f>
        <v>0</v>
      </c>
      <c r="AF92" s="46">
        <f>+التشغيل!AF26</f>
        <v>0</v>
      </c>
      <c r="AG92" s="46">
        <f>+التشغيل!AG26</f>
        <v>0</v>
      </c>
      <c r="AH92" s="46">
        <f>+التشغيل!AH26</f>
        <v>0</v>
      </c>
    </row>
    <row r="93" spans="1:34" ht="21" x14ac:dyDescent="0.35">
      <c r="A93" s="43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15.75" x14ac:dyDescent="0.25">
      <c r="A94" s="108" t="s">
        <v>0</v>
      </c>
      <c r="B94" s="108" t="s">
        <v>1</v>
      </c>
      <c r="C94" s="110" t="s">
        <v>2</v>
      </c>
      <c r="D94" s="110" t="s">
        <v>3</v>
      </c>
      <c r="E94" s="110" t="s">
        <v>39</v>
      </c>
      <c r="F94" s="110" t="s">
        <v>5</v>
      </c>
      <c r="G94" s="39" t="s">
        <v>6</v>
      </c>
      <c r="H94" s="40"/>
      <c r="I94" s="40"/>
      <c r="J94" s="40"/>
      <c r="K94" s="40"/>
      <c r="L94" s="40"/>
      <c r="M94" s="40"/>
      <c r="N94" s="40"/>
      <c r="O94" s="41"/>
      <c r="P94" s="101" t="s">
        <v>7</v>
      </c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3"/>
      <c r="AF94" s="104" t="s">
        <v>8</v>
      </c>
      <c r="AG94" s="106" t="s">
        <v>9</v>
      </c>
      <c r="AH94" s="106" t="s">
        <v>10</v>
      </c>
    </row>
    <row r="95" spans="1:34" ht="41.25" customHeight="1" x14ac:dyDescent="0.25">
      <c r="A95" s="109"/>
      <c r="B95" s="109"/>
      <c r="C95" s="111"/>
      <c r="D95" s="111"/>
      <c r="E95" s="111"/>
      <c r="F95" s="111"/>
      <c r="G95" s="42" t="s">
        <v>11</v>
      </c>
      <c r="H95" s="42" t="s">
        <v>12</v>
      </c>
      <c r="I95" s="42" t="s">
        <v>13</v>
      </c>
      <c r="J95" s="42" t="s">
        <v>14</v>
      </c>
      <c r="K95" s="42" t="s">
        <v>15</v>
      </c>
      <c r="L95" s="42" t="s">
        <v>16</v>
      </c>
      <c r="M95" s="42" t="s">
        <v>17</v>
      </c>
      <c r="N95" s="42" t="s">
        <v>18</v>
      </c>
      <c r="O95" s="42" t="s">
        <v>19</v>
      </c>
      <c r="P95" s="4" t="s">
        <v>20</v>
      </c>
      <c r="Q95" s="4" t="s">
        <v>21</v>
      </c>
      <c r="R95" s="4" t="s">
        <v>22</v>
      </c>
      <c r="S95" s="4" t="s">
        <v>23</v>
      </c>
      <c r="T95" s="4" t="s">
        <v>24</v>
      </c>
      <c r="U95" s="4" t="s">
        <v>25</v>
      </c>
      <c r="V95" s="4" t="s">
        <v>26</v>
      </c>
      <c r="W95" s="4" t="s">
        <v>27</v>
      </c>
      <c r="X95" s="4" t="s">
        <v>28</v>
      </c>
      <c r="Y95" s="4" t="s">
        <v>29</v>
      </c>
      <c r="Z95" s="4" t="s">
        <v>30</v>
      </c>
      <c r="AA95" s="5" t="s">
        <v>31</v>
      </c>
      <c r="AB95" s="5" t="s">
        <v>32</v>
      </c>
      <c r="AC95" s="5" t="s">
        <v>33</v>
      </c>
      <c r="AD95" s="6" t="s">
        <v>34</v>
      </c>
      <c r="AE95" s="4" t="s">
        <v>35</v>
      </c>
      <c r="AF95" s="105"/>
      <c r="AG95" s="107"/>
      <c r="AH95" s="107"/>
    </row>
    <row r="96" spans="1:34" ht="21" x14ac:dyDescent="0.35">
      <c r="A96" s="43">
        <f>+التشغيل!A27</f>
        <v>0</v>
      </c>
      <c r="B96" s="44">
        <f>+التشغيل!B27</f>
        <v>0</v>
      </c>
      <c r="C96" s="45">
        <f>+التشغيل!C27</f>
        <v>0</v>
      </c>
      <c r="D96" s="45">
        <f>+التشغيل!D27</f>
        <v>0</v>
      </c>
      <c r="E96" s="45">
        <f>+التشغيل!E27</f>
        <v>0</v>
      </c>
      <c r="F96" s="46">
        <f>+التشغيل!F27</f>
        <v>0</v>
      </c>
      <c r="G96" s="46">
        <f>+التشغيل!G27</f>
        <v>0</v>
      </c>
      <c r="H96" s="46">
        <f>+التشغيل!H27</f>
        <v>0</v>
      </c>
      <c r="I96" s="46">
        <f>+التشغيل!I27</f>
        <v>0</v>
      </c>
      <c r="J96" s="46">
        <f>+التشغيل!J27</f>
        <v>0</v>
      </c>
      <c r="K96" s="46">
        <f>+التشغيل!K27</f>
        <v>0</v>
      </c>
      <c r="L96" s="46">
        <f>+التشغيل!L27</f>
        <v>0</v>
      </c>
      <c r="M96" s="46">
        <f>+التشغيل!M27</f>
        <v>0</v>
      </c>
      <c r="N96" s="46">
        <f>+التشغيل!N27</f>
        <v>0</v>
      </c>
      <c r="O96" s="46">
        <f>+التشغيل!O27</f>
        <v>0</v>
      </c>
      <c r="P96" s="46">
        <f>+التشغيل!P27</f>
        <v>0</v>
      </c>
      <c r="Q96" s="46">
        <f>+التشغيل!Q27</f>
        <v>0</v>
      </c>
      <c r="R96" s="47">
        <f>+التشغيل!R27</f>
        <v>0</v>
      </c>
      <c r="S96" s="47">
        <f>+التشغيل!S27</f>
        <v>0</v>
      </c>
      <c r="T96" s="46">
        <f>+التشغيل!T27</f>
        <v>0</v>
      </c>
      <c r="U96" s="46">
        <f>+التشغيل!U27</f>
        <v>0</v>
      </c>
      <c r="V96" s="46">
        <f>+التشغيل!V27</f>
        <v>0</v>
      </c>
      <c r="W96" s="46">
        <f>+التشغيل!W27</f>
        <v>0</v>
      </c>
      <c r="X96" s="46">
        <f>+التشغيل!X27</f>
        <v>0</v>
      </c>
      <c r="Y96" s="46">
        <f>+التشغيل!Y27</f>
        <v>0</v>
      </c>
      <c r="Z96" s="46">
        <f>+التشغيل!Z27</f>
        <v>0</v>
      </c>
      <c r="AA96" s="46">
        <f>+التشغيل!AA27</f>
        <v>0</v>
      </c>
      <c r="AB96" s="46">
        <f>+التشغيل!AB27</f>
        <v>0</v>
      </c>
      <c r="AC96" s="46">
        <f>+التشغيل!AC27</f>
        <v>0</v>
      </c>
      <c r="AD96" s="46">
        <f>+التشغيل!AD27</f>
        <v>0</v>
      </c>
      <c r="AE96" s="46">
        <f>+التشغيل!AE27</f>
        <v>0</v>
      </c>
      <c r="AF96" s="46">
        <f>+التشغيل!AF27</f>
        <v>0</v>
      </c>
      <c r="AG96" s="46">
        <f>+التشغيل!AG27</f>
        <v>0</v>
      </c>
      <c r="AH96" s="46">
        <f>+التشغيل!AH27</f>
        <v>0</v>
      </c>
    </row>
    <row r="97" spans="1:34" ht="21" x14ac:dyDescent="0.35">
      <c r="A97" s="43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15.75" x14ac:dyDescent="0.25">
      <c r="A98" s="108" t="s">
        <v>0</v>
      </c>
      <c r="B98" s="108" t="s">
        <v>1</v>
      </c>
      <c r="C98" s="110" t="s">
        <v>2</v>
      </c>
      <c r="D98" s="110" t="s">
        <v>3</v>
      </c>
      <c r="E98" s="110" t="s">
        <v>39</v>
      </c>
      <c r="F98" s="110" t="s">
        <v>5</v>
      </c>
      <c r="G98" s="39" t="s">
        <v>6</v>
      </c>
      <c r="H98" s="40"/>
      <c r="I98" s="40"/>
      <c r="J98" s="40"/>
      <c r="K98" s="40"/>
      <c r="L98" s="40"/>
      <c r="M98" s="40"/>
      <c r="N98" s="40"/>
      <c r="O98" s="41"/>
      <c r="P98" s="101" t="s">
        <v>7</v>
      </c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3"/>
      <c r="AF98" s="104" t="s">
        <v>8</v>
      </c>
      <c r="AG98" s="106" t="s">
        <v>9</v>
      </c>
      <c r="AH98" s="106" t="s">
        <v>10</v>
      </c>
    </row>
    <row r="99" spans="1:34" ht="41.25" customHeight="1" x14ac:dyDescent="0.25">
      <c r="A99" s="109"/>
      <c r="B99" s="109"/>
      <c r="C99" s="111"/>
      <c r="D99" s="111"/>
      <c r="E99" s="111"/>
      <c r="F99" s="111"/>
      <c r="G99" s="42" t="s">
        <v>11</v>
      </c>
      <c r="H99" s="42" t="s">
        <v>12</v>
      </c>
      <c r="I99" s="42" t="s">
        <v>13</v>
      </c>
      <c r="J99" s="42" t="s">
        <v>14</v>
      </c>
      <c r="K99" s="42" t="s">
        <v>15</v>
      </c>
      <c r="L99" s="42" t="s">
        <v>16</v>
      </c>
      <c r="M99" s="42" t="s">
        <v>17</v>
      </c>
      <c r="N99" s="42" t="s">
        <v>18</v>
      </c>
      <c r="O99" s="42" t="s">
        <v>19</v>
      </c>
      <c r="P99" s="4" t="s">
        <v>20</v>
      </c>
      <c r="Q99" s="4" t="s">
        <v>21</v>
      </c>
      <c r="R99" s="4" t="s">
        <v>22</v>
      </c>
      <c r="S99" s="4" t="s">
        <v>23</v>
      </c>
      <c r="T99" s="4" t="s">
        <v>24</v>
      </c>
      <c r="U99" s="4" t="s">
        <v>25</v>
      </c>
      <c r="V99" s="4" t="s">
        <v>26</v>
      </c>
      <c r="W99" s="4" t="s">
        <v>27</v>
      </c>
      <c r="X99" s="4" t="s">
        <v>28</v>
      </c>
      <c r="Y99" s="4" t="s">
        <v>29</v>
      </c>
      <c r="Z99" s="4" t="s">
        <v>30</v>
      </c>
      <c r="AA99" s="5" t="s">
        <v>31</v>
      </c>
      <c r="AB99" s="5" t="s">
        <v>32</v>
      </c>
      <c r="AC99" s="5" t="s">
        <v>33</v>
      </c>
      <c r="AD99" s="6" t="s">
        <v>34</v>
      </c>
      <c r="AE99" s="4" t="s">
        <v>35</v>
      </c>
      <c r="AF99" s="105"/>
      <c r="AG99" s="107"/>
      <c r="AH99" s="107"/>
    </row>
    <row r="100" spans="1:34" ht="21" x14ac:dyDescent="0.35">
      <c r="A100" s="43">
        <f>+التشغيل!A28</f>
        <v>0</v>
      </c>
      <c r="B100" s="44">
        <f>+التشغيل!B28</f>
        <v>0</v>
      </c>
      <c r="C100" s="45">
        <f>+التشغيل!C28</f>
        <v>0</v>
      </c>
      <c r="D100" s="45">
        <f>+التشغيل!D28</f>
        <v>0</v>
      </c>
      <c r="E100" s="45">
        <f>+التشغيل!E28</f>
        <v>0</v>
      </c>
      <c r="F100" s="46">
        <f>+التشغيل!F28</f>
        <v>0</v>
      </c>
      <c r="G100" s="46">
        <f>+التشغيل!G28</f>
        <v>0</v>
      </c>
      <c r="H100" s="46">
        <f>+التشغيل!H28</f>
        <v>0</v>
      </c>
      <c r="I100" s="46">
        <f>+التشغيل!I28</f>
        <v>0</v>
      </c>
      <c r="J100" s="46">
        <f>+التشغيل!J28</f>
        <v>0</v>
      </c>
      <c r="K100" s="46">
        <f>+التشغيل!K28</f>
        <v>0</v>
      </c>
      <c r="L100" s="46">
        <f>+التشغيل!L28</f>
        <v>0</v>
      </c>
      <c r="M100" s="46">
        <f>+التشغيل!M28</f>
        <v>0</v>
      </c>
      <c r="N100" s="46">
        <f>+التشغيل!N28</f>
        <v>0</v>
      </c>
      <c r="O100" s="46">
        <f>+التشغيل!O28</f>
        <v>0</v>
      </c>
      <c r="P100" s="46">
        <f>+التشغيل!P28</f>
        <v>0</v>
      </c>
      <c r="Q100" s="46">
        <f>+التشغيل!Q28</f>
        <v>0</v>
      </c>
      <c r="R100" s="47">
        <f>+التشغيل!R28</f>
        <v>0</v>
      </c>
      <c r="S100" s="47">
        <f>+التشغيل!S28</f>
        <v>0</v>
      </c>
      <c r="T100" s="46">
        <f>+التشغيل!T28</f>
        <v>0</v>
      </c>
      <c r="U100" s="46">
        <f>+التشغيل!U28</f>
        <v>0</v>
      </c>
      <c r="V100" s="46">
        <f>+التشغيل!V28</f>
        <v>0</v>
      </c>
      <c r="W100" s="46">
        <f>+التشغيل!W28</f>
        <v>0</v>
      </c>
      <c r="X100" s="46">
        <f>+التشغيل!X28</f>
        <v>0</v>
      </c>
      <c r="Y100" s="46">
        <f>+التشغيل!Y28</f>
        <v>0</v>
      </c>
      <c r="Z100" s="46">
        <f>+التشغيل!Z28</f>
        <v>0</v>
      </c>
      <c r="AA100" s="46">
        <f>+التشغيل!AA28</f>
        <v>0</v>
      </c>
      <c r="AB100" s="46">
        <f>+التشغيل!AB28</f>
        <v>0</v>
      </c>
      <c r="AC100" s="46">
        <f>+التشغيل!AC28</f>
        <v>0</v>
      </c>
      <c r="AD100" s="46">
        <f>+التشغيل!AD28</f>
        <v>0</v>
      </c>
      <c r="AE100" s="46">
        <f>+التشغيل!AE28</f>
        <v>0</v>
      </c>
      <c r="AF100" s="46">
        <f>+التشغيل!AF28</f>
        <v>0</v>
      </c>
      <c r="AG100" s="46">
        <f>+التشغيل!AG28</f>
        <v>0</v>
      </c>
      <c r="AH100" s="46">
        <f>+التشغيل!AH28</f>
        <v>0</v>
      </c>
    </row>
    <row r="101" spans="1:34" ht="21" x14ac:dyDescent="0.35">
      <c r="A101" s="43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15.75" x14ac:dyDescent="0.25">
      <c r="A102" s="108" t="s">
        <v>0</v>
      </c>
      <c r="B102" s="108" t="s">
        <v>1</v>
      </c>
      <c r="C102" s="110" t="s">
        <v>2</v>
      </c>
      <c r="D102" s="110" t="s">
        <v>3</v>
      </c>
      <c r="E102" s="110" t="s">
        <v>39</v>
      </c>
      <c r="F102" s="110" t="s">
        <v>5</v>
      </c>
      <c r="G102" s="39" t="s">
        <v>6</v>
      </c>
      <c r="H102" s="40"/>
      <c r="I102" s="40"/>
      <c r="J102" s="40"/>
      <c r="K102" s="40"/>
      <c r="L102" s="40"/>
      <c r="M102" s="40"/>
      <c r="N102" s="40"/>
      <c r="O102" s="41"/>
      <c r="P102" s="101" t="s">
        <v>7</v>
      </c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4" t="s">
        <v>8</v>
      </c>
      <c r="AG102" s="106" t="s">
        <v>9</v>
      </c>
      <c r="AH102" s="106" t="s">
        <v>10</v>
      </c>
    </row>
    <row r="103" spans="1:34" ht="41.25" customHeight="1" x14ac:dyDescent="0.25">
      <c r="A103" s="109"/>
      <c r="B103" s="109"/>
      <c r="C103" s="111"/>
      <c r="D103" s="111"/>
      <c r="E103" s="111"/>
      <c r="F103" s="111"/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  <c r="L103" s="42" t="s">
        <v>16</v>
      </c>
      <c r="M103" s="42" t="s">
        <v>17</v>
      </c>
      <c r="N103" s="42" t="s">
        <v>18</v>
      </c>
      <c r="O103" s="42" t="s">
        <v>19</v>
      </c>
      <c r="P103" s="4" t="s">
        <v>20</v>
      </c>
      <c r="Q103" s="4" t="s">
        <v>21</v>
      </c>
      <c r="R103" s="4" t="s">
        <v>22</v>
      </c>
      <c r="S103" s="4" t="s">
        <v>23</v>
      </c>
      <c r="T103" s="4" t="s">
        <v>24</v>
      </c>
      <c r="U103" s="4" t="s">
        <v>25</v>
      </c>
      <c r="V103" s="4" t="s">
        <v>26</v>
      </c>
      <c r="W103" s="4" t="s">
        <v>27</v>
      </c>
      <c r="X103" s="4" t="s">
        <v>28</v>
      </c>
      <c r="Y103" s="4" t="s">
        <v>29</v>
      </c>
      <c r="Z103" s="4" t="s">
        <v>30</v>
      </c>
      <c r="AA103" s="5" t="s">
        <v>31</v>
      </c>
      <c r="AB103" s="5" t="s">
        <v>32</v>
      </c>
      <c r="AC103" s="5" t="s">
        <v>33</v>
      </c>
      <c r="AD103" s="6" t="s">
        <v>34</v>
      </c>
      <c r="AE103" s="4" t="s">
        <v>35</v>
      </c>
      <c r="AF103" s="105"/>
      <c r="AG103" s="107"/>
      <c r="AH103" s="107"/>
    </row>
    <row r="104" spans="1:34" ht="21" x14ac:dyDescent="0.35">
      <c r="A104" s="43">
        <f>+التشغيل!A29</f>
        <v>0</v>
      </c>
      <c r="B104" s="44">
        <f>+التشغيل!B29</f>
        <v>0</v>
      </c>
      <c r="C104" s="45">
        <f>+التشغيل!C29</f>
        <v>0</v>
      </c>
      <c r="D104" s="45">
        <f>+التشغيل!D29</f>
        <v>0</v>
      </c>
      <c r="E104" s="45">
        <f>+التشغيل!E29</f>
        <v>0</v>
      </c>
      <c r="F104" s="46">
        <f>+التشغيل!F29</f>
        <v>0</v>
      </c>
      <c r="G104" s="46">
        <f>+التشغيل!G29</f>
        <v>0</v>
      </c>
      <c r="H104" s="46">
        <f>+التشغيل!H29</f>
        <v>0</v>
      </c>
      <c r="I104" s="46">
        <f>+التشغيل!I29</f>
        <v>0</v>
      </c>
      <c r="J104" s="46">
        <f>+التشغيل!J29</f>
        <v>0</v>
      </c>
      <c r="K104" s="46">
        <f>+التشغيل!K29</f>
        <v>0</v>
      </c>
      <c r="L104" s="46">
        <f>+التشغيل!L29</f>
        <v>0</v>
      </c>
      <c r="M104" s="46">
        <f>+التشغيل!M29</f>
        <v>0</v>
      </c>
      <c r="N104" s="46">
        <f>+التشغيل!N29</f>
        <v>0</v>
      </c>
      <c r="O104" s="46">
        <f>+التشغيل!O29</f>
        <v>0</v>
      </c>
      <c r="P104" s="46">
        <f>+التشغيل!P29</f>
        <v>0</v>
      </c>
      <c r="Q104" s="46">
        <f>+التشغيل!Q29</f>
        <v>0</v>
      </c>
      <c r="R104" s="47">
        <f>+التشغيل!R29</f>
        <v>0</v>
      </c>
      <c r="S104" s="47">
        <f>+التشغيل!S29</f>
        <v>0</v>
      </c>
      <c r="T104" s="46">
        <f>+التشغيل!T29</f>
        <v>0</v>
      </c>
      <c r="U104" s="46">
        <f>+التشغيل!U29</f>
        <v>0</v>
      </c>
      <c r="V104" s="46">
        <f>+التشغيل!V29</f>
        <v>0</v>
      </c>
      <c r="W104" s="46">
        <f>+التشغيل!W29</f>
        <v>0</v>
      </c>
      <c r="X104" s="46">
        <f>+التشغيل!X29</f>
        <v>0</v>
      </c>
      <c r="Y104" s="46">
        <f>+التشغيل!Y29</f>
        <v>0</v>
      </c>
      <c r="Z104" s="46">
        <f>+التشغيل!Z29</f>
        <v>0</v>
      </c>
      <c r="AA104" s="46">
        <f>+التشغيل!AA29</f>
        <v>0</v>
      </c>
      <c r="AB104" s="46">
        <f>+التشغيل!AB29</f>
        <v>0</v>
      </c>
      <c r="AC104" s="46">
        <f>+التشغيل!AC29</f>
        <v>0</v>
      </c>
      <c r="AD104" s="46">
        <f>+التشغيل!AD29</f>
        <v>0</v>
      </c>
      <c r="AE104" s="46">
        <f>+التشغيل!AE29</f>
        <v>0</v>
      </c>
      <c r="AF104" s="46">
        <f>+التشغيل!AF29</f>
        <v>0</v>
      </c>
      <c r="AG104" s="46">
        <f>+التشغيل!AG29</f>
        <v>0</v>
      </c>
      <c r="AH104" s="46">
        <f>+التشغيل!AH29</f>
        <v>0</v>
      </c>
    </row>
    <row r="105" spans="1:34" ht="21" x14ac:dyDescent="0.35">
      <c r="A105" s="43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15.75" x14ac:dyDescent="0.25">
      <c r="A106" s="108" t="s">
        <v>0</v>
      </c>
      <c r="B106" s="108" t="s">
        <v>1</v>
      </c>
      <c r="C106" s="110" t="s">
        <v>2</v>
      </c>
      <c r="D106" s="110" t="s">
        <v>3</v>
      </c>
      <c r="E106" s="110" t="s">
        <v>39</v>
      </c>
      <c r="F106" s="110" t="s">
        <v>5</v>
      </c>
      <c r="G106" s="39" t="s">
        <v>6</v>
      </c>
      <c r="H106" s="40"/>
      <c r="I106" s="40"/>
      <c r="J106" s="40"/>
      <c r="K106" s="40"/>
      <c r="L106" s="40"/>
      <c r="M106" s="40"/>
      <c r="N106" s="40"/>
      <c r="O106" s="41"/>
      <c r="P106" s="101" t="s">
        <v>7</v>
      </c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3"/>
      <c r="AF106" s="104" t="s">
        <v>8</v>
      </c>
      <c r="AG106" s="106" t="s">
        <v>9</v>
      </c>
      <c r="AH106" s="106" t="s">
        <v>10</v>
      </c>
    </row>
    <row r="107" spans="1:34" ht="41.25" customHeight="1" x14ac:dyDescent="0.25">
      <c r="A107" s="109"/>
      <c r="B107" s="109"/>
      <c r="C107" s="111"/>
      <c r="D107" s="111"/>
      <c r="E107" s="111"/>
      <c r="F107" s="111"/>
      <c r="G107" s="42" t="s">
        <v>11</v>
      </c>
      <c r="H107" s="42" t="s">
        <v>12</v>
      </c>
      <c r="I107" s="42" t="s">
        <v>13</v>
      </c>
      <c r="J107" s="42" t="s">
        <v>14</v>
      </c>
      <c r="K107" s="42" t="s">
        <v>15</v>
      </c>
      <c r="L107" s="42" t="s">
        <v>16</v>
      </c>
      <c r="M107" s="42" t="s">
        <v>17</v>
      </c>
      <c r="N107" s="42" t="s">
        <v>18</v>
      </c>
      <c r="O107" s="42" t="s">
        <v>19</v>
      </c>
      <c r="P107" s="4" t="s">
        <v>20</v>
      </c>
      <c r="Q107" s="4" t="s">
        <v>21</v>
      </c>
      <c r="R107" s="4" t="s">
        <v>22</v>
      </c>
      <c r="S107" s="4" t="s">
        <v>23</v>
      </c>
      <c r="T107" s="4" t="s">
        <v>24</v>
      </c>
      <c r="U107" s="4" t="s">
        <v>25</v>
      </c>
      <c r="V107" s="4" t="s">
        <v>26</v>
      </c>
      <c r="W107" s="4" t="s">
        <v>27</v>
      </c>
      <c r="X107" s="4" t="s">
        <v>28</v>
      </c>
      <c r="Y107" s="4" t="s">
        <v>29</v>
      </c>
      <c r="Z107" s="4" t="s">
        <v>30</v>
      </c>
      <c r="AA107" s="5" t="s">
        <v>31</v>
      </c>
      <c r="AB107" s="5" t="s">
        <v>32</v>
      </c>
      <c r="AC107" s="5" t="s">
        <v>33</v>
      </c>
      <c r="AD107" s="6" t="s">
        <v>34</v>
      </c>
      <c r="AE107" s="4" t="s">
        <v>35</v>
      </c>
      <c r="AF107" s="105"/>
      <c r="AG107" s="107"/>
      <c r="AH107" s="107"/>
    </row>
    <row r="108" spans="1:34" ht="21.75" customHeight="1" x14ac:dyDescent="0.35">
      <c r="A108" s="43">
        <f>+التشغيل!A30</f>
        <v>0</v>
      </c>
      <c r="B108" s="44">
        <f>+التشغيل!B30</f>
        <v>0</v>
      </c>
      <c r="C108" s="45">
        <f>+التشغيل!C30</f>
        <v>0</v>
      </c>
      <c r="D108" s="45">
        <f>+التشغيل!D30</f>
        <v>0</v>
      </c>
      <c r="E108" s="45">
        <f>+التشغيل!E30</f>
        <v>0</v>
      </c>
      <c r="F108" s="46">
        <f>+التشغيل!F30</f>
        <v>0</v>
      </c>
      <c r="G108" s="46">
        <f>+التشغيل!G30</f>
        <v>0</v>
      </c>
      <c r="H108" s="46">
        <f>+التشغيل!H30</f>
        <v>0</v>
      </c>
      <c r="I108" s="46">
        <f>+التشغيل!I30</f>
        <v>0</v>
      </c>
      <c r="J108" s="46">
        <f>+التشغيل!J30</f>
        <v>0</v>
      </c>
      <c r="K108" s="46">
        <f>+التشغيل!K30</f>
        <v>0</v>
      </c>
      <c r="L108" s="46">
        <f>+التشغيل!L30</f>
        <v>0</v>
      </c>
      <c r="M108" s="46">
        <f>+التشغيل!M30</f>
        <v>0</v>
      </c>
      <c r="N108" s="46">
        <f>+التشغيل!N30</f>
        <v>0</v>
      </c>
      <c r="O108" s="46">
        <f>+التشغيل!O30</f>
        <v>0</v>
      </c>
      <c r="P108" s="46">
        <f>+التشغيل!P30</f>
        <v>0</v>
      </c>
      <c r="Q108" s="46">
        <f>+التشغيل!Q30</f>
        <v>0</v>
      </c>
      <c r="R108" s="47">
        <f>+التشغيل!R30</f>
        <v>0</v>
      </c>
      <c r="S108" s="47">
        <f>+التشغيل!S30</f>
        <v>0</v>
      </c>
      <c r="T108" s="46">
        <f>+التشغيل!T30</f>
        <v>0</v>
      </c>
      <c r="U108" s="46">
        <f>+التشغيل!U30</f>
        <v>0</v>
      </c>
      <c r="V108" s="46">
        <f>+التشغيل!V30</f>
        <v>0</v>
      </c>
      <c r="W108" s="46">
        <f>+التشغيل!W30</f>
        <v>0</v>
      </c>
      <c r="X108" s="46">
        <f>+التشغيل!X30</f>
        <v>0</v>
      </c>
      <c r="Y108" s="46">
        <f>+التشغيل!Y30</f>
        <v>0</v>
      </c>
      <c r="Z108" s="46">
        <f>+التشغيل!Z30</f>
        <v>0</v>
      </c>
      <c r="AA108" s="46">
        <f>+التشغيل!AA30</f>
        <v>0</v>
      </c>
      <c r="AB108" s="46">
        <f>+التشغيل!AB30</f>
        <v>0</v>
      </c>
      <c r="AC108" s="46">
        <f>+التشغيل!AC30</f>
        <v>0</v>
      </c>
      <c r="AD108" s="46">
        <f>+التشغيل!AD30</f>
        <v>0</v>
      </c>
      <c r="AE108" s="46">
        <f>+التشغيل!AE30</f>
        <v>0</v>
      </c>
      <c r="AF108" s="46">
        <f>+التشغيل!AF30</f>
        <v>0</v>
      </c>
      <c r="AG108" s="46">
        <f>+التشغيل!AG30</f>
        <v>0</v>
      </c>
      <c r="AH108" s="46">
        <f>+التشغيل!AH30</f>
        <v>0</v>
      </c>
    </row>
    <row r="109" spans="1:34" ht="21" x14ac:dyDescent="0.35">
      <c r="A109" s="43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7"/>
      <c r="S109" s="47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15.75" x14ac:dyDescent="0.25">
      <c r="A110" s="108" t="s">
        <v>0</v>
      </c>
      <c r="B110" s="108" t="s">
        <v>1</v>
      </c>
      <c r="C110" s="110" t="s">
        <v>2</v>
      </c>
      <c r="D110" s="110" t="s">
        <v>3</v>
      </c>
      <c r="E110" s="110" t="s">
        <v>39</v>
      </c>
      <c r="F110" s="110" t="s">
        <v>5</v>
      </c>
      <c r="G110" s="39" t="s">
        <v>6</v>
      </c>
      <c r="H110" s="40"/>
      <c r="I110" s="40"/>
      <c r="J110" s="40"/>
      <c r="K110" s="40"/>
      <c r="L110" s="40"/>
      <c r="M110" s="40"/>
      <c r="N110" s="40"/>
      <c r="O110" s="41"/>
      <c r="P110" s="101" t="s">
        <v>7</v>
      </c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3"/>
      <c r="AF110" s="104" t="s">
        <v>8</v>
      </c>
      <c r="AG110" s="106" t="s">
        <v>9</v>
      </c>
      <c r="AH110" s="106" t="s">
        <v>10</v>
      </c>
    </row>
    <row r="111" spans="1:34" ht="41.25" customHeight="1" x14ac:dyDescent="0.25">
      <c r="A111" s="109"/>
      <c r="B111" s="109"/>
      <c r="C111" s="111"/>
      <c r="D111" s="111"/>
      <c r="E111" s="111"/>
      <c r="F111" s="111"/>
      <c r="G111" s="42" t="s">
        <v>11</v>
      </c>
      <c r="H111" s="42" t="s">
        <v>12</v>
      </c>
      <c r="I111" s="42" t="s">
        <v>13</v>
      </c>
      <c r="J111" s="42" t="s">
        <v>14</v>
      </c>
      <c r="K111" s="42" t="s">
        <v>15</v>
      </c>
      <c r="L111" s="42" t="s">
        <v>16</v>
      </c>
      <c r="M111" s="42" t="s">
        <v>17</v>
      </c>
      <c r="N111" s="42" t="s">
        <v>18</v>
      </c>
      <c r="O111" s="42" t="s">
        <v>19</v>
      </c>
      <c r="P111" s="4" t="s">
        <v>20</v>
      </c>
      <c r="Q111" s="4" t="s">
        <v>21</v>
      </c>
      <c r="R111" s="4" t="s">
        <v>22</v>
      </c>
      <c r="S111" s="4" t="s">
        <v>23</v>
      </c>
      <c r="T111" s="4" t="s">
        <v>24</v>
      </c>
      <c r="U111" s="4" t="s">
        <v>25</v>
      </c>
      <c r="V111" s="4" t="s">
        <v>26</v>
      </c>
      <c r="W111" s="4" t="s">
        <v>27</v>
      </c>
      <c r="X111" s="4" t="s">
        <v>28</v>
      </c>
      <c r="Y111" s="4" t="s">
        <v>29</v>
      </c>
      <c r="Z111" s="4" t="s">
        <v>30</v>
      </c>
      <c r="AA111" s="5" t="s">
        <v>31</v>
      </c>
      <c r="AB111" s="5" t="s">
        <v>32</v>
      </c>
      <c r="AC111" s="5" t="s">
        <v>33</v>
      </c>
      <c r="AD111" s="6" t="s">
        <v>34</v>
      </c>
      <c r="AE111" s="4" t="s">
        <v>35</v>
      </c>
      <c r="AF111" s="105"/>
      <c r="AG111" s="107"/>
      <c r="AH111" s="107"/>
    </row>
    <row r="112" spans="1:34" ht="21" x14ac:dyDescent="0.35">
      <c r="A112" s="43">
        <f>+التشغيل!A31</f>
        <v>0</v>
      </c>
      <c r="B112" s="44">
        <f>+التشغيل!B31</f>
        <v>0</v>
      </c>
      <c r="C112" s="45">
        <f>+التشغيل!C31</f>
        <v>0</v>
      </c>
      <c r="D112" s="45">
        <f>+التشغيل!D31</f>
        <v>0</v>
      </c>
      <c r="E112" s="45">
        <f>+التشغيل!E31</f>
        <v>0</v>
      </c>
      <c r="F112" s="46">
        <f>+التشغيل!F31</f>
        <v>0</v>
      </c>
      <c r="G112" s="46">
        <f>+التشغيل!G31</f>
        <v>0</v>
      </c>
      <c r="H112" s="46">
        <f>+التشغيل!H31</f>
        <v>0</v>
      </c>
      <c r="I112" s="46">
        <f>+التشغيل!I31</f>
        <v>0</v>
      </c>
      <c r="J112" s="46">
        <f>+التشغيل!J31</f>
        <v>0</v>
      </c>
      <c r="K112" s="46">
        <f>+التشغيل!K31</f>
        <v>0</v>
      </c>
      <c r="L112" s="46">
        <f>+التشغيل!L31</f>
        <v>0</v>
      </c>
      <c r="M112" s="46">
        <f>+التشغيل!M31</f>
        <v>0</v>
      </c>
      <c r="N112" s="46">
        <f>+التشغيل!N31</f>
        <v>0</v>
      </c>
      <c r="O112" s="46">
        <f>+التشغيل!O31</f>
        <v>0</v>
      </c>
      <c r="P112" s="46">
        <f>+التشغيل!P31</f>
        <v>0</v>
      </c>
      <c r="Q112" s="46">
        <f>+التشغيل!Q31</f>
        <v>0</v>
      </c>
      <c r="R112" s="47">
        <f>+التشغيل!R31</f>
        <v>0</v>
      </c>
      <c r="S112" s="47">
        <f>+التشغيل!S31</f>
        <v>0</v>
      </c>
      <c r="T112" s="46">
        <f>+التشغيل!T31</f>
        <v>0</v>
      </c>
      <c r="U112" s="46">
        <f>+التشغيل!U31</f>
        <v>0</v>
      </c>
      <c r="V112" s="46">
        <f>+التشغيل!V31</f>
        <v>0</v>
      </c>
      <c r="W112" s="46">
        <f>+التشغيل!W31</f>
        <v>0</v>
      </c>
      <c r="X112" s="46">
        <f>+التشغيل!X31</f>
        <v>0</v>
      </c>
      <c r="Y112" s="46">
        <f>+التشغيل!Y31</f>
        <v>0</v>
      </c>
      <c r="Z112" s="46">
        <f>+التشغيل!Z31</f>
        <v>0</v>
      </c>
      <c r="AA112" s="46">
        <f>+التشغيل!AA31</f>
        <v>0</v>
      </c>
      <c r="AB112" s="46">
        <f>+التشغيل!AB31</f>
        <v>0</v>
      </c>
      <c r="AC112" s="46">
        <f>+التشغيل!AC31</f>
        <v>0</v>
      </c>
      <c r="AD112" s="46">
        <f>+التشغيل!AD31</f>
        <v>0</v>
      </c>
      <c r="AE112" s="46">
        <f>+التشغيل!AE31</f>
        <v>0</v>
      </c>
      <c r="AF112" s="46">
        <f>+التشغيل!AF31</f>
        <v>0</v>
      </c>
      <c r="AG112" s="46">
        <f>+التشغيل!AG31</f>
        <v>0</v>
      </c>
      <c r="AH112" s="46">
        <f>+التشغيل!AH31</f>
        <v>0</v>
      </c>
    </row>
    <row r="113" spans="1:34" ht="21" x14ac:dyDescent="0.35">
      <c r="A113" s="43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15.75" x14ac:dyDescent="0.25">
      <c r="A114" s="108" t="s">
        <v>0</v>
      </c>
      <c r="B114" s="108" t="s">
        <v>1</v>
      </c>
      <c r="C114" s="110" t="s">
        <v>2</v>
      </c>
      <c r="D114" s="110" t="s">
        <v>3</v>
      </c>
      <c r="E114" s="110" t="s">
        <v>39</v>
      </c>
      <c r="F114" s="110" t="s">
        <v>5</v>
      </c>
      <c r="G114" s="39" t="s">
        <v>6</v>
      </c>
      <c r="H114" s="40"/>
      <c r="I114" s="40"/>
      <c r="J114" s="40"/>
      <c r="K114" s="40"/>
      <c r="L114" s="40"/>
      <c r="M114" s="40"/>
      <c r="N114" s="40"/>
      <c r="O114" s="41"/>
      <c r="P114" s="101" t="s">
        <v>7</v>
      </c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3"/>
      <c r="AF114" s="104" t="s">
        <v>8</v>
      </c>
      <c r="AG114" s="106" t="s">
        <v>9</v>
      </c>
      <c r="AH114" s="106" t="s">
        <v>10</v>
      </c>
    </row>
    <row r="115" spans="1:34" ht="41.25" customHeight="1" x14ac:dyDescent="0.25">
      <c r="A115" s="109"/>
      <c r="B115" s="109"/>
      <c r="C115" s="111"/>
      <c r="D115" s="111"/>
      <c r="E115" s="111"/>
      <c r="F115" s="111"/>
      <c r="G115" s="42" t="s">
        <v>11</v>
      </c>
      <c r="H115" s="42" t="s">
        <v>12</v>
      </c>
      <c r="I115" s="42" t="s">
        <v>13</v>
      </c>
      <c r="J115" s="42" t="s">
        <v>14</v>
      </c>
      <c r="K115" s="42" t="s">
        <v>15</v>
      </c>
      <c r="L115" s="42" t="s">
        <v>16</v>
      </c>
      <c r="M115" s="42" t="s">
        <v>17</v>
      </c>
      <c r="N115" s="42" t="s">
        <v>18</v>
      </c>
      <c r="O115" s="42" t="s">
        <v>19</v>
      </c>
      <c r="P115" s="4" t="s">
        <v>20</v>
      </c>
      <c r="Q115" s="4" t="s">
        <v>21</v>
      </c>
      <c r="R115" s="4" t="s">
        <v>22</v>
      </c>
      <c r="S115" s="4" t="s">
        <v>23</v>
      </c>
      <c r="T115" s="4" t="s">
        <v>24</v>
      </c>
      <c r="U115" s="4" t="s">
        <v>25</v>
      </c>
      <c r="V115" s="4" t="s">
        <v>26</v>
      </c>
      <c r="W115" s="4" t="s">
        <v>27</v>
      </c>
      <c r="X115" s="4" t="s">
        <v>28</v>
      </c>
      <c r="Y115" s="4" t="s">
        <v>29</v>
      </c>
      <c r="Z115" s="4" t="s">
        <v>30</v>
      </c>
      <c r="AA115" s="5" t="s">
        <v>31</v>
      </c>
      <c r="AB115" s="5" t="s">
        <v>32</v>
      </c>
      <c r="AC115" s="5" t="s">
        <v>33</v>
      </c>
      <c r="AD115" s="6" t="s">
        <v>34</v>
      </c>
      <c r="AE115" s="4" t="s">
        <v>35</v>
      </c>
      <c r="AF115" s="105"/>
      <c r="AG115" s="107"/>
      <c r="AH115" s="107"/>
    </row>
    <row r="116" spans="1:34" ht="21" x14ac:dyDescent="0.35">
      <c r="A116" s="43">
        <f>+التشغيل!A32</f>
        <v>0</v>
      </c>
      <c r="B116" s="44">
        <f>+التشغيل!B32</f>
        <v>0</v>
      </c>
      <c r="C116" s="45">
        <f>+التشغيل!C32</f>
        <v>0</v>
      </c>
      <c r="D116" s="45">
        <f>+التشغيل!D32</f>
        <v>0</v>
      </c>
      <c r="E116" s="45">
        <f>+التشغيل!E32</f>
        <v>0</v>
      </c>
      <c r="F116" s="46">
        <f>+التشغيل!F32</f>
        <v>0</v>
      </c>
      <c r="G116" s="46">
        <f>+التشغيل!G32</f>
        <v>0</v>
      </c>
      <c r="H116" s="46">
        <f>+التشغيل!H32</f>
        <v>0</v>
      </c>
      <c r="I116" s="46">
        <f>+التشغيل!I32</f>
        <v>0</v>
      </c>
      <c r="J116" s="46">
        <f>+التشغيل!J32</f>
        <v>0</v>
      </c>
      <c r="K116" s="46">
        <f>+التشغيل!K32</f>
        <v>0</v>
      </c>
      <c r="L116" s="46">
        <f>+التشغيل!L32</f>
        <v>0</v>
      </c>
      <c r="M116" s="46">
        <f>+التشغيل!M32</f>
        <v>0</v>
      </c>
      <c r="N116" s="46">
        <f>+التشغيل!N32</f>
        <v>0</v>
      </c>
      <c r="O116" s="46">
        <f>+التشغيل!O32</f>
        <v>0</v>
      </c>
      <c r="P116" s="46">
        <f>+التشغيل!P32</f>
        <v>0</v>
      </c>
      <c r="Q116" s="46">
        <f>+التشغيل!Q32</f>
        <v>0</v>
      </c>
      <c r="R116" s="47">
        <f>+التشغيل!R32</f>
        <v>0</v>
      </c>
      <c r="S116" s="47">
        <f>+التشغيل!S32</f>
        <v>0</v>
      </c>
      <c r="T116" s="46">
        <f>+التشغيل!T32</f>
        <v>0</v>
      </c>
      <c r="U116" s="46">
        <f>+التشغيل!U32</f>
        <v>0</v>
      </c>
      <c r="V116" s="46">
        <f>+التشغيل!V32</f>
        <v>0</v>
      </c>
      <c r="W116" s="46">
        <f>+التشغيل!W32</f>
        <v>0</v>
      </c>
      <c r="X116" s="46">
        <f>+التشغيل!X32</f>
        <v>0</v>
      </c>
      <c r="Y116" s="46">
        <f>+التشغيل!Y32</f>
        <v>0</v>
      </c>
      <c r="Z116" s="46">
        <f>+التشغيل!Z32</f>
        <v>0</v>
      </c>
      <c r="AA116" s="46">
        <f>+التشغيل!AA32</f>
        <v>0</v>
      </c>
      <c r="AB116" s="46">
        <f>+التشغيل!AB32</f>
        <v>0</v>
      </c>
      <c r="AC116" s="46">
        <f>+التشغيل!AC32</f>
        <v>0</v>
      </c>
      <c r="AD116" s="46">
        <f>+التشغيل!AD32</f>
        <v>0</v>
      </c>
      <c r="AE116" s="46">
        <f>+التشغيل!AE32</f>
        <v>0</v>
      </c>
      <c r="AF116" s="46">
        <f>+التشغيل!AF32</f>
        <v>0</v>
      </c>
      <c r="AG116" s="46">
        <f>+التشغيل!AG32</f>
        <v>0</v>
      </c>
      <c r="AH116" s="46">
        <f>+التشغيل!AH32</f>
        <v>0</v>
      </c>
    </row>
    <row r="117" spans="1:34" ht="21" x14ac:dyDescent="0.35">
      <c r="A117" s="43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15.75" x14ac:dyDescent="0.25">
      <c r="A118" s="108" t="s">
        <v>0</v>
      </c>
      <c r="B118" s="108" t="s">
        <v>1</v>
      </c>
      <c r="C118" s="110" t="s">
        <v>2</v>
      </c>
      <c r="D118" s="110" t="s">
        <v>3</v>
      </c>
      <c r="E118" s="110" t="s">
        <v>39</v>
      </c>
      <c r="F118" s="110" t="s">
        <v>5</v>
      </c>
      <c r="G118" s="39" t="s">
        <v>6</v>
      </c>
      <c r="H118" s="40"/>
      <c r="I118" s="40"/>
      <c r="J118" s="40"/>
      <c r="K118" s="40"/>
      <c r="L118" s="40"/>
      <c r="M118" s="40"/>
      <c r="N118" s="40"/>
      <c r="O118" s="41"/>
      <c r="P118" s="101" t="s">
        <v>7</v>
      </c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3"/>
      <c r="AF118" s="104" t="s">
        <v>8</v>
      </c>
      <c r="AG118" s="106" t="s">
        <v>9</v>
      </c>
      <c r="AH118" s="106" t="s">
        <v>10</v>
      </c>
    </row>
    <row r="119" spans="1:34" ht="41.25" customHeight="1" x14ac:dyDescent="0.25">
      <c r="A119" s="109"/>
      <c r="B119" s="109"/>
      <c r="C119" s="111"/>
      <c r="D119" s="111"/>
      <c r="E119" s="111"/>
      <c r="F119" s="111"/>
      <c r="G119" s="42" t="s">
        <v>11</v>
      </c>
      <c r="H119" s="42" t="s">
        <v>12</v>
      </c>
      <c r="I119" s="42" t="s">
        <v>13</v>
      </c>
      <c r="J119" s="42" t="s">
        <v>14</v>
      </c>
      <c r="K119" s="42" t="s">
        <v>15</v>
      </c>
      <c r="L119" s="42" t="s">
        <v>16</v>
      </c>
      <c r="M119" s="42" t="s">
        <v>17</v>
      </c>
      <c r="N119" s="42" t="s">
        <v>18</v>
      </c>
      <c r="O119" s="42" t="s">
        <v>19</v>
      </c>
      <c r="P119" s="4" t="s">
        <v>20</v>
      </c>
      <c r="Q119" s="4" t="s">
        <v>21</v>
      </c>
      <c r="R119" s="4" t="s">
        <v>22</v>
      </c>
      <c r="S119" s="4" t="s">
        <v>23</v>
      </c>
      <c r="T119" s="4" t="s">
        <v>24</v>
      </c>
      <c r="U119" s="4" t="s">
        <v>25</v>
      </c>
      <c r="V119" s="4" t="s">
        <v>26</v>
      </c>
      <c r="W119" s="4" t="s">
        <v>27</v>
      </c>
      <c r="X119" s="4" t="s">
        <v>28</v>
      </c>
      <c r="Y119" s="4" t="s">
        <v>29</v>
      </c>
      <c r="Z119" s="4" t="s">
        <v>30</v>
      </c>
      <c r="AA119" s="5" t="s">
        <v>31</v>
      </c>
      <c r="AB119" s="5" t="s">
        <v>32</v>
      </c>
      <c r="AC119" s="5" t="s">
        <v>33</v>
      </c>
      <c r="AD119" s="6" t="s">
        <v>34</v>
      </c>
      <c r="AE119" s="4" t="s">
        <v>35</v>
      </c>
      <c r="AF119" s="105"/>
      <c r="AG119" s="107"/>
      <c r="AH119" s="107"/>
    </row>
    <row r="120" spans="1:34" ht="21" x14ac:dyDescent="0.35">
      <c r="A120" s="43">
        <f>+التشغيل!A33</f>
        <v>0</v>
      </c>
      <c r="B120" s="44">
        <f>+التشغيل!B33</f>
        <v>0</v>
      </c>
      <c r="C120" s="45">
        <f>+التشغيل!C33</f>
        <v>0</v>
      </c>
      <c r="D120" s="45">
        <f>+التشغيل!D33</f>
        <v>0</v>
      </c>
      <c r="E120" s="45">
        <f>+التشغيل!E33</f>
        <v>0</v>
      </c>
      <c r="F120" s="46">
        <f>+التشغيل!F33</f>
        <v>0</v>
      </c>
      <c r="G120" s="46">
        <f>+التشغيل!G33</f>
        <v>0</v>
      </c>
      <c r="H120" s="46">
        <f>+التشغيل!H33</f>
        <v>0</v>
      </c>
      <c r="I120" s="46">
        <f>+التشغيل!I33</f>
        <v>0</v>
      </c>
      <c r="J120" s="46">
        <f>+التشغيل!J33</f>
        <v>0</v>
      </c>
      <c r="K120" s="46">
        <f>+التشغيل!K33</f>
        <v>0</v>
      </c>
      <c r="L120" s="46">
        <f>+التشغيل!L33</f>
        <v>0</v>
      </c>
      <c r="M120" s="46">
        <f>+التشغيل!M33</f>
        <v>0</v>
      </c>
      <c r="N120" s="46">
        <f>+التشغيل!N33</f>
        <v>0</v>
      </c>
      <c r="O120" s="46">
        <f>+التشغيل!O33</f>
        <v>0</v>
      </c>
      <c r="P120" s="46">
        <f>+التشغيل!P33</f>
        <v>0</v>
      </c>
      <c r="Q120" s="46">
        <f>+التشغيل!Q33</f>
        <v>0</v>
      </c>
      <c r="R120" s="47">
        <f>+التشغيل!R33</f>
        <v>0</v>
      </c>
      <c r="S120" s="47">
        <f>+التشغيل!S33</f>
        <v>0</v>
      </c>
      <c r="T120" s="46">
        <f>+التشغيل!T33</f>
        <v>0</v>
      </c>
      <c r="U120" s="46">
        <f>+التشغيل!U33</f>
        <v>0</v>
      </c>
      <c r="V120" s="46">
        <f>+التشغيل!V33</f>
        <v>0</v>
      </c>
      <c r="W120" s="46">
        <f>+التشغيل!W33</f>
        <v>0</v>
      </c>
      <c r="X120" s="46">
        <f>+التشغيل!X33</f>
        <v>0</v>
      </c>
      <c r="Y120" s="46">
        <f>+التشغيل!Y33</f>
        <v>0</v>
      </c>
      <c r="Z120" s="46">
        <f>+التشغيل!Z33</f>
        <v>0</v>
      </c>
      <c r="AA120" s="46">
        <f>+التشغيل!AA33</f>
        <v>0</v>
      </c>
      <c r="AB120" s="46">
        <f>+التشغيل!AB33</f>
        <v>0</v>
      </c>
      <c r="AC120" s="46">
        <f>+التشغيل!AC33</f>
        <v>0</v>
      </c>
      <c r="AD120" s="46">
        <f>+التشغيل!AD33</f>
        <v>0</v>
      </c>
      <c r="AE120" s="46">
        <f>+التشغيل!AE33</f>
        <v>0</v>
      </c>
      <c r="AF120" s="46">
        <f>+التشغيل!AF33</f>
        <v>0</v>
      </c>
      <c r="AG120" s="46">
        <f>+التشغيل!AG33</f>
        <v>0</v>
      </c>
      <c r="AH120" s="46">
        <f>+التشغيل!AH33</f>
        <v>0</v>
      </c>
    </row>
    <row r="121" spans="1:34" ht="21" x14ac:dyDescent="0.35">
      <c r="A121" s="43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7"/>
      <c r="S121" s="47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15.75" x14ac:dyDescent="0.25">
      <c r="A122" s="108" t="s">
        <v>0</v>
      </c>
      <c r="B122" s="108" t="s">
        <v>1</v>
      </c>
      <c r="C122" s="110" t="s">
        <v>2</v>
      </c>
      <c r="D122" s="110" t="s">
        <v>3</v>
      </c>
      <c r="E122" s="110" t="s">
        <v>39</v>
      </c>
      <c r="F122" s="110" t="s">
        <v>5</v>
      </c>
      <c r="G122" s="39" t="s">
        <v>6</v>
      </c>
      <c r="H122" s="40"/>
      <c r="I122" s="40"/>
      <c r="J122" s="40"/>
      <c r="K122" s="40"/>
      <c r="L122" s="40"/>
      <c r="M122" s="40"/>
      <c r="N122" s="40"/>
      <c r="O122" s="41"/>
      <c r="P122" s="101" t="s">
        <v>7</v>
      </c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/>
      <c r="AF122" s="104" t="s">
        <v>8</v>
      </c>
      <c r="AG122" s="106" t="s">
        <v>9</v>
      </c>
      <c r="AH122" s="106" t="s">
        <v>10</v>
      </c>
    </row>
    <row r="123" spans="1:34" ht="41.25" customHeight="1" x14ac:dyDescent="0.25">
      <c r="A123" s="109"/>
      <c r="B123" s="109"/>
      <c r="C123" s="111"/>
      <c r="D123" s="111"/>
      <c r="E123" s="111"/>
      <c r="F123" s="111"/>
      <c r="G123" s="42" t="s">
        <v>11</v>
      </c>
      <c r="H123" s="42" t="s">
        <v>12</v>
      </c>
      <c r="I123" s="42" t="s">
        <v>13</v>
      </c>
      <c r="J123" s="42" t="s">
        <v>14</v>
      </c>
      <c r="K123" s="42" t="s">
        <v>15</v>
      </c>
      <c r="L123" s="42" t="s">
        <v>16</v>
      </c>
      <c r="M123" s="42" t="s">
        <v>17</v>
      </c>
      <c r="N123" s="42" t="s">
        <v>18</v>
      </c>
      <c r="O123" s="42" t="s">
        <v>19</v>
      </c>
      <c r="P123" s="4" t="s">
        <v>20</v>
      </c>
      <c r="Q123" s="4" t="s">
        <v>21</v>
      </c>
      <c r="R123" s="4" t="s">
        <v>22</v>
      </c>
      <c r="S123" s="4" t="s">
        <v>23</v>
      </c>
      <c r="T123" s="4" t="s">
        <v>24</v>
      </c>
      <c r="U123" s="4" t="s">
        <v>25</v>
      </c>
      <c r="V123" s="4" t="s">
        <v>26</v>
      </c>
      <c r="W123" s="4" t="s">
        <v>27</v>
      </c>
      <c r="X123" s="4" t="s">
        <v>28</v>
      </c>
      <c r="Y123" s="4" t="s">
        <v>29</v>
      </c>
      <c r="Z123" s="4" t="s">
        <v>30</v>
      </c>
      <c r="AA123" s="5" t="s">
        <v>31</v>
      </c>
      <c r="AB123" s="5" t="s">
        <v>32</v>
      </c>
      <c r="AC123" s="5" t="s">
        <v>33</v>
      </c>
      <c r="AD123" s="6" t="s">
        <v>34</v>
      </c>
      <c r="AE123" s="4" t="s">
        <v>35</v>
      </c>
      <c r="AF123" s="105"/>
      <c r="AG123" s="107"/>
      <c r="AH123" s="107"/>
    </row>
    <row r="124" spans="1:34" ht="21" x14ac:dyDescent="0.35">
      <c r="A124" s="43">
        <f>+التشغيل!A34</f>
        <v>0</v>
      </c>
      <c r="B124" s="44">
        <f>+التشغيل!B34</f>
        <v>0</v>
      </c>
      <c r="C124" s="45">
        <f>+التشغيل!C34</f>
        <v>0</v>
      </c>
      <c r="D124" s="45">
        <f>+التشغيل!D34</f>
        <v>0</v>
      </c>
      <c r="E124" s="45">
        <f>+التشغيل!E34</f>
        <v>0</v>
      </c>
      <c r="F124" s="46">
        <f>+التشغيل!F34</f>
        <v>0</v>
      </c>
      <c r="G124" s="46">
        <f>+التشغيل!G34</f>
        <v>0</v>
      </c>
      <c r="H124" s="46">
        <f>+التشغيل!H34</f>
        <v>0</v>
      </c>
      <c r="I124" s="46">
        <f>+التشغيل!I34</f>
        <v>0</v>
      </c>
      <c r="J124" s="46">
        <f>+التشغيل!J34</f>
        <v>0</v>
      </c>
      <c r="K124" s="46">
        <f>+التشغيل!K34</f>
        <v>0</v>
      </c>
      <c r="L124" s="46">
        <f>+التشغيل!L34</f>
        <v>0</v>
      </c>
      <c r="M124" s="46">
        <f>+التشغيل!M34</f>
        <v>0</v>
      </c>
      <c r="N124" s="46">
        <f>+التشغيل!N34</f>
        <v>0</v>
      </c>
      <c r="O124" s="46">
        <f>+التشغيل!O34</f>
        <v>0</v>
      </c>
      <c r="P124" s="46">
        <f>+التشغيل!P34</f>
        <v>0</v>
      </c>
      <c r="Q124" s="46">
        <f>+التشغيل!Q34</f>
        <v>0</v>
      </c>
      <c r="R124" s="47">
        <f>+التشغيل!R34</f>
        <v>0</v>
      </c>
      <c r="S124" s="47">
        <f>+التشغيل!S34</f>
        <v>0</v>
      </c>
      <c r="T124" s="46">
        <f>+التشغيل!T34</f>
        <v>0</v>
      </c>
      <c r="U124" s="46">
        <f>+التشغيل!U34</f>
        <v>0</v>
      </c>
      <c r="V124" s="46">
        <f>+التشغيل!V34</f>
        <v>0</v>
      </c>
      <c r="W124" s="46">
        <f>+التشغيل!W34</f>
        <v>0</v>
      </c>
      <c r="X124" s="46">
        <f>+التشغيل!X34</f>
        <v>0</v>
      </c>
      <c r="Y124" s="46">
        <f>+التشغيل!Y34</f>
        <v>0</v>
      </c>
      <c r="Z124" s="46">
        <f>+التشغيل!Z34</f>
        <v>0</v>
      </c>
      <c r="AA124" s="46">
        <f>+التشغيل!AA34</f>
        <v>0</v>
      </c>
      <c r="AB124" s="46">
        <f>+التشغيل!AB34</f>
        <v>0</v>
      </c>
      <c r="AC124" s="46">
        <f>+التشغيل!AC34</f>
        <v>0</v>
      </c>
      <c r="AD124" s="46">
        <f>+التشغيل!AD34</f>
        <v>0</v>
      </c>
      <c r="AE124" s="46">
        <f>+التشغيل!AE34</f>
        <v>0</v>
      </c>
      <c r="AF124" s="46">
        <f>+التشغيل!AF34</f>
        <v>0</v>
      </c>
      <c r="AG124" s="46">
        <f>+التشغيل!AG34</f>
        <v>0</v>
      </c>
      <c r="AH124" s="46">
        <f>+التشغيل!AH34</f>
        <v>0</v>
      </c>
    </row>
    <row r="125" spans="1:34" ht="21" x14ac:dyDescent="0.35">
      <c r="A125" s="43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15.75" x14ac:dyDescent="0.25">
      <c r="A126" s="108" t="s">
        <v>0</v>
      </c>
      <c r="B126" s="108" t="s">
        <v>1</v>
      </c>
      <c r="C126" s="110" t="s">
        <v>2</v>
      </c>
      <c r="D126" s="110" t="s">
        <v>3</v>
      </c>
      <c r="E126" s="110" t="s">
        <v>39</v>
      </c>
      <c r="F126" s="110" t="s">
        <v>5</v>
      </c>
      <c r="G126" s="39" t="s">
        <v>6</v>
      </c>
      <c r="H126" s="40"/>
      <c r="I126" s="40"/>
      <c r="J126" s="40"/>
      <c r="K126" s="40"/>
      <c r="L126" s="40"/>
      <c r="M126" s="40"/>
      <c r="N126" s="40"/>
      <c r="O126" s="41"/>
      <c r="P126" s="101" t="s">
        <v>7</v>
      </c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3"/>
      <c r="AF126" s="104" t="s">
        <v>8</v>
      </c>
      <c r="AG126" s="106" t="s">
        <v>9</v>
      </c>
      <c r="AH126" s="106" t="s">
        <v>10</v>
      </c>
    </row>
    <row r="127" spans="1:34" ht="41.25" customHeight="1" x14ac:dyDescent="0.25">
      <c r="A127" s="109"/>
      <c r="B127" s="109"/>
      <c r="C127" s="111"/>
      <c r="D127" s="111"/>
      <c r="E127" s="111"/>
      <c r="F127" s="111"/>
      <c r="G127" s="42" t="s">
        <v>11</v>
      </c>
      <c r="H127" s="42" t="s">
        <v>12</v>
      </c>
      <c r="I127" s="42" t="s">
        <v>13</v>
      </c>
      <c r="J127" s="42" t="s">
        <v>14</v>
      </c>
      <c r="K127" s="42" t="s">
        <v>15</v>
      </c>
      <c r="L127" s="42" t="s">
        <v>16</v>
      </c>
      <c r="M127" s="42" t="s">
        <v>17</v>
      </c>
      <c r="N127" s="42" t="s">
        <v>18</v>
      </c>
      <c r="O127" s="42" t="s">
        <v>19</v>
      </c>
      <c r="P127" s="4" t="s">
        <v>20</v>
      </c>
      <c r="Q127" s="4" t="s">
        <v>21</v>
      </c>
      <c r="R127" s="4" t="s">
        <v>22</v>
      </c>
      <c r="S127" s="4" t="s">
        <v>23</v>
      </c>
      <c r="T127" s="4" t="s">
        <v>24</v>
      </c>
      <c r="U127" s="4" t="s">
        <v>25</v>
      </c>
      <c r="V127" s="4" t="s">
        <v>26</v>
      </c>
      <c r="W127" s="4" t="s">
        <v>27</v>
      </c>
      <c r="X127" s="4" t="s">
        <v>28</v>
      </c>
      <c r="Y127" s="4" t="s">
        <v>29</v>
      </c>
      <c r="Z127" s="4" t="s">
        <v>30</v>
      </c>
      <c r="AA127" s="5" t="s">
        <v>31</v>
      </c>
      <c r="AB127" s="5" t="s">
        <v>32</v>
      </c>
      <c r="AC127" s="5" t="s">
        <v>33</v>
      </c>
      <c r="AD127" s="6" t="s">
        <v>34</v>
      </c>
      <c r="AE127" s="4" t="s">
        <v>35</v>
      </c>
      <c r="AF127" s="105"/>
      <c r="AG127" s="107"/>
      <c r="AH127" s="107"/>
    </row>
    <row r="128" spans="1:34" ht="21" x14ac:dyDescent="0.35">
      <c r="A128" s="43">
        <f>+التشغيل!A35</f>
        <v>0</v>
      </c>
      <c r="B128" s="44">
        <f>+التشغيل!B35</f>
        <v>0</v>
      </c>
      <c r="C128" s="45">
        <f>+التشغيل!C35</f>
        <v>0</v>
      </c>
      <c r="D128" s="45">
        <f>+التشغيل!D35</f>
        <v>0</v>
      </c>
      <c r="E128" s="45">
        <f>+التشغيل!E35</f>
        <v>0</v>
      </c>
      <c r="F128" s="46">
        <f>+التشغيل!F35</f>
        <v>0</v>
      </c>
      <c r="G128" s="46">
        <f>+التشغيل!G35</f>
        <v>0</v>
      </c>
      <c r="H128" s="46">
        <f>+التشغيل!H35</f>
        <v>0</v>
      </c>
      <c r="I128" s="46">
        <f>+التشغيل!I35</f>
        <v>0</v>
      </c>
      <c r="J128" s="46">
        <f>+التشغيل!J35</f>
        <v>0</v>
      </c>
      <c r="K128" s="46">
        <f>+التشغيل!K35</f>
        <v>0</v>
      </c>
      <c r="L128" s="46">
        <f>+التشغيل!L35</f>
        <v>0</v>
      </c>
      <c r="M128" s="46">
        <f>+التشغيل!M35</f>
        <v>0</v>
      </c>
      <c r="N128" s="46">
        <f>+التشغيل!N35</f>
        <v>0</v>
      </c>
      <c r="O128" s="46">
        <f>+التشغيل!O35</f>
        <v>0</v>
      </c>
      <c r="P128" s="46">
        <f>+التشغيل!P35</f>
        <v>0</v>
      </c>
      <c r="Q128" s="46">
        <f>+التشغيل!Q35</f>
        <v>0</v>
      </c>
      <c r="R128" s="47">
        <f>+التشغيل!R35</f>
        <v>0</v>
      </c>
      <c r="S128" s="47">
        <f>+التشغيل!S35</f>
        <v>0</v>
      </c>
      <c r="T128" s="46">
        <f>+التشغيل!T35</f>
        <v>0</v>
      </c>
      <c r="U128" s="46">
        <f>+التشغيل!U35</f>
        <v>0</v>
      </c>
      <c r="V128" s="46">
        <f>+التشغيل!V35</f>
        <v>0</v>
      </c>
      <c r="W128" s="46">
        <f>+التشغيل!W35</f>
        <v>0</v>
      </c>
      <c r="X128" s="46">
        <f>+التشغيل!X35</f>
        <v>0</v>
      </c>
      <c r="Y128" s="46">
        <f>+التشغيل!Y35</f>
        <v>0</v>
      </c>
      <c r="Z128" s="46">
        <f>+التشغيل!Z35</f>
        <v>0</v>
      </c>
      <c r="AA128" s="46">
        <f>+التشغيل!AA35</f>
        <v>0</v>
      </c>
      <c r="AB128" s="46">
        <f>+التشغيل!AB35</f>
        <v>0</v>
      </c>
      <c r="AC128" s="46">
        <f>+التشغيل!AC35</f>
        <v>0</v>
      </c>
      <c r="AD128" s="46">
        <f>+التشغيل!AD35</f>
        <v>0</v>
      </c>
      <c r="AE128" s="46">
        <f>+التشغيل!AE35</f>
        <v>0</v>
      </c>
      <c r="AF128" s="46">
        <f>+التشغيل!AF35</f>
        <v>0</v>
      </c>
      <c r="AG128" s="46">
        <f>+التشغيل!AG35</f>
        <v>0</v>
      </c>
      <c r="AH128" s="46">
        <f>+التشغيل!AH35</f>
        <v>0</v>
      </c>
    </row>
    <row r="129" spans="1:34" ht="21" x14ac:dyDescent="0.35">
      <c r="A129" s="43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7"/>
      <c r="S129" s="47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15.75" x14ac:dyDescent="0.25">
      <c r="A130" s="108" t="s">
        <v>0</v>
      </c>
      <c r="B130" s="108" t="s">
        <v>1</v>
      </c>
      <c r="C130" s="110" t="s">
        <v>2</v>
      </c>
      <c r="D130" s="110" t="s">
        <v>3</v>
      </c>
      <c r="E130" s="110" t="s">
        <v>39</v>
      </c>
      <c r="F130" s="110" t="s">
        <v>5</v>
      </c>
      <c r="G130" s="39" t="s">
        <v>6</v>
      </c>
      <c r="H130" s="40"/>
      <c r="I130" s="40"/>
      <c r="J130" s="40"/>
      <c r="K130" s="40"/>
      <c r="L130" s="40"/>
      <c r="M130" s="40"/>
      <c r="N130" s="40"/>
      <c r="O130" s="41"/>
      <c r="P130" s="101" t="s">
        <v>7</v>
      </c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3"/>
      <c r="AF130" s="104" t="s">
        <v>8</v>
      </c>
      <c r="AG130" s="106" t="s">
        <v>9</v>
      </c>
      <c r="AH130" s="106" t="s">
        <v>10</v>
      </c>
    </row>
    <row r="131" spans="1:34" ht="41.25" customHeight="1" x14ac:dyDescent="0.25">
      <c r="A131" s="109"/>
      <c r="B131" s="109"/>
      <c r="C131" s="111"/>
      <c r="D131" s="111"/>
      <c r="E131" s="111"/>
      <c r="F131" s="111"/>
      <c r="G131" s="42" t="s">
        <v>11</v>
      </c>
      <c r="H131" s="42" t="s">
        <v>12</v>
      </c>
      <c r="I131" s="42" t="s">
        <v>13</v>
      </c>
      <c r="J131" s="42" t="s">
        <v>14</v>
      </c>
      <c r="K131" s="42" t="s">
        <v>15</v>
      </c>
      <c r="L131" s="42" t="s">
        <v>16</v>
      </c>
      <c r="M131" s="42" t="s">
        <v>17</v>
      </c>
      <c r="N131" s="42" t="s">
        <v>18</v>
      </c>
      <c r="O131" s="42" t="s">
        <v>19</v>
      </c>
      <c r="P131" s="4" t="s">
        <v>20</v>
      </c>
      <c r="Q131" s="4" t="s">
        <v>21</v>
      </c>
      <c r="R131" s="4" t="s">
        <v>22</v>
      </c>
      <c r="S131" s="4" t="s">
        <v>23</v>
      </c>
      <c r="T131" s="4" t="s">
        <v>24</v>
      </c>
      <c r="U131" s="4" t="s">
        <v>25</v>
      </c>
      <c r="V131" s="4" t="s">
        <v>26</v>
      </c>
      <c r="W131" s="4" t="s">
        <v>27</v>
      </c>
      <c r="X131" s="4" t="s">
        <v>28</v>
      </c>
      <c r="Y131" s="4" t="s">
        <v>29</v>
      </c>
      <c r="Z131" s="4" t="s">
        <v>30</v>
      </c>
      <c r="AA131" s="5" t="s">
        <v>31</v>
      </c>
      <c r="AB131" s="5" t="s">
        <v>32</v>
      </c>
      <c r="AC131" s="5" t="s">
        <v>33</v>
      </c>
      <c r="AD131" s="6" t="s">
        <v>34</v>
      </c>
      <c r="AE131" s="4" t="s">
        <v>35</v>
      </c>
      <c r="AF131" s="105"/>
      <c r="AG131" s="107"/>
      <c r="AH131" s="107"/>
    </row>
    <row r="132" spans="1:34" ht="21" x14ac:dyDescent="0.35">
      <c r="A132" s="43">
        <f>+التشغيل!A36</f>
        <v>0</v>
      </c>
      <c r="B132" s="44">
        <f>+التشغيل!B36</f>
        <v>0</v>
      </c>
      <c r="C132" s="45">
        <f>+التشغيل!C36</f>
        <v>0</v>
      </c>
      <c r="D132" s="45">
        <f>+التشغيل!D36</f>
        <v>0</v>
      </c>
      <c r="E132" s="45">
        <f>+التشغيل!E36</f>
        <v>0</v>
      </c>
      <c r="F132" s="46">
        <f>+التشغيل!F36</f>
        <v>0</v>
      </c>
      <c r="G132" s="46">
        <f>+التشغيل!G36</f>
        <v>0</v>
      </c>
      <c r="H132" s="46">
        <f>+التشغيل!H36</f>
        <v>0</v>
      </c>
      <c r="I132" s="46">
        <f>+التشغيل!I36</f>
        <v>0</v>
      </c>
      <c r="J132" s="46">
        <f>+التشغيل!J36</f>
        <v>0</v>
      </c>
      <c r="K132" s="46">
        <f>+التشغيل!K36</f>
        <v>0</v>
      </c>
      <c r="L132" s="46">
        <f>+التشغيل!L36</f>
        <v>0</v>
      </c>
      <c r="M132" s="46">
        <f>+التشغيل!M36</f>
        <v>0</v>
      </c>
      <c r="N132" s="46">
        <f>+التشغيل!N36</f>
        <v>0</v>
      </c>
      <c r="O132" s="46">
        <f>+التشغيل!O36</f>
        <v>0</v>
      </c>
      <c r="P132" s="46">
        <f>+التشغيل!P36</f>
        <v>0</v>
      </c>
      <c r="Q132" s="46">
        <f>+التشغيل!Q36</f>
        <v>0</v>
      </c>
      <c r="R132" s="47">
        <f>+التشغيل!R36</f>
        <v>0</v>
      </c>
      <c r="S132" s="47">
        <f>+التشغيل!S36</f>
        <v>0</v>
      </c>
      <c r="T132" s="46">
        <f>+التشغيل!T36</f>
        <v>0</v>
      </c>
      <c r="U132" s="46">
        <f>+التشغيل!U36</f>
        <v>0</v>
      </c>
      <c r="V132" s="46">
        <f>+التشغيل!V36</f>
        <v>0</v>
      </c>
      <c r="W132" s="46">
        <f>+التشغيل!W36</f>
        <v>0</v>
      </c>
      <c r="X132" s="46">
        <f>+التشغيل!X36</f>
        <v>0</v>
      </c>
      <c r="Y132" s="46">
        <f>+التشغيل!Y36</f>
        <v>0</v>
      </c>
      <c r="Z132" s="46">
        <f>+التشغيل!Z36</f>
        <v>0</v>
      </c>
      <c r="AA132" s="46">
        <f>+التشغيل!AA36</f>
        <v>0</v>
      </c>
      <c r="AB132" s="46">
        <f>+التشغيل!AB36</f>
        <v>0</v>
      </c>
      <c r="AC132" s="46">
        <f>+التشغيل!AC36</f>
        <v>0</v>
      </c>
      <c r="AD132" s="46">
        <f>+التشغيل!AD36</f>
        <v>0</v>
      </c>
      <c r="AE132" s="46">
        <f>+التشغيل!AE36</f>
        <v>0</v>
      </c>
      <c r="AF132" s="46">
        <f>+التشغيل!AF36</f>
        <v>0</v>
      </c>
      <c r="AG132" s="46">
        <f>+التشغيل!AG36</f>
        <v>0</v>
      </c>
      <c r="AH132" s="46">
        <f>+التشغيل!AH36</f>
        <v>0</v>
      </c>
    </row>
    <row r="133" spans="1:34" ht="21" x14ac:dyDescent="0.35">
      <c r="A133" s="43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15.75" x14ac:dyDescent="0.25">
      <c r="A134" s="108" t="s">
        <v>0</v>
      </c>
      <c r="B134" s="108" t="s">
        <v>1</v>
      </c>
      <c r="C134" s="110" t="s">
        <v>2</v>
      </c>
      <c r="D134" s="110" t="s">
        <v>3</v>
      </c>
      <c r="E134" s="110" t="s">
        <v>39</v>
      </c>
      <c r="F134" s="110" t="s">
        <v>5</v>
      </c>
      <c r="G134" s="39" t="s">
        <v>6</v>
      </c>
      <c r="H134" s="40"/>
      <c r="I134" s="40"/>
      <c r="J134" s="40"/>
      <c r="K134" s="40"/>
      <c r="L134" s="40"/>
      <c r="M134" s="40"/>
      <c r="N134" s="40"/>
      <c r="O134" s="41"/>
      <c r="P134" s="101" t="s">
        <v>7</v>
      </c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3"/>
      <c r="AF134" s="104" t="s">
        <v>8</v>
      </c>
      <c r="AG134" s="106" t="s">
        <v>9</v>
      </c>
      <c r="AH134" s="106" t="s">
        <v>10</v>
      </c>
    </row>
    <row r="135" spans="1:34" ht="41.25" customHeight="1" x14ac:dyDescent="0.25">
      <c r="A135" s="109"/>
      <c r="B135" s="109"/>
      <c r="C135" s="111"/>
      <c r="D135" s="111"/>
      <c r="E135" s="111"/>
      <c r="F135" s="111"/>
      <c r="G135" s="42" t="s">
        <v>11</v>
      </c>
      <c r="H135" s="42" t="s">
        <v>12</v>
      </c>
      <c r="I135" s="42" t="s">
        <v>13</v>
      </c>
      <c r="J135" s="42" t="s">
        <v>14</v>
      </c>
      <c r="K135" s="42" t="s">
        <v>15</v>
      </c>
      <c r="L135" s="42" t="s">
        <v>16</v>
      </c>
      <c r="M135" s="42" t="s">
        <v>17</v>
      </c>
      <c r="N135" s="42" t="s">
        <v>18</v>
      </c>
      <c r="O135" s="42" t="s">
        <v>19</v>
      </c>
      <c r="P135" s="4" t="s">
        <v>20</v>
      </c>
      <c r="Q135" s="4" t="s">
        <v>21</v>
      </c>
      <c r="R135" s="4" t="s">
        <v>22</v>
      </c>
      <c r="S135" s="4" t="s">
        <v>23</v>
      </c>
      <c r="T135" s="4" t="s">
        <v>24</v>
      </c>
      <c r="U135" s="4" t="s">
        <v>25</v>
      </c>
      <c r="V135" s="4" t="s">
        <v>26</v>
      </c>
      <c r="W135" s="4" t="s">
        <v>27</v>
      </c>
      <c r="X135" s="4" t="s">
        <v>28</v>
      </c>
      <c r="Y135" s="4" t="s">
        <v>29</v>
      </c>
      <c r="Z135" s="4" t="s">
        <v>30</v>
      </c>
      <c r="AA135" s="5" t="s">
        <v>31</v>
      </c>
      <c r="AB135" s="5" t="s">
        <v>32</v>
      </c>
      <c r="AC135" s="5" t="s">
        <v>33</v>
      </c>
      <c r="AD135" s="6" t="s">
        <v>34</v>
      </c>
      <c r="AE135" s="4" t="s">
        <v>35</v>
      </c>
      <c r="AF135" s="105"/>
      <c r="AG135" s="107"/>
      <c r="AH135" s="107"/>
    </row>
    <row r="136" spans="1:34" ht="21" x14ac:dyDescent="0.35">
      <c r="A136" s="43">
        <f>+التشغيل!A37</f>
        <v>0</v>
      </c>
      <c r="B136" s="44">
        <f>+التشغيل!B37</f>
        <v>0</v>
      </c>
      <c r="C136" s="45">
        <f>+التشغيل!C37</f>
        <v>0</v>
      </c>
      <c r="D136" s="45">
        <f>+التشغيل!D37</f>
        <v>0</v>
      </c>
      <c r="E136" s="45">
        <f>+التشغيل!E37</f>
        <v>0</v>
      </c>
      <c r="F136" s="46">
        <f>+التشغيل!F37</f>
        <v>0</v>
      </c>
      <c r="G136" s="46">
        <f>+التشغيل!G37</f>
        <v>0</v>
      </c>
      <c r="H136" s="46">
        <f>+التشغيل!H37</f>
        <v>0</v>
      </c>
      <c r="I136" s="46">
        <f>+التشغيل!I37</f>
        <v>0</v>
      </c>
      <c r="J136" s="46">
        <f>+التشغيل!J37</f>
        <v>0</v>
      </c>
      <c r="K136" s="46">
        <f>+التشغيل!K37</f>
        <v>0</v>
      </c>
      <c r="L136" s="46">
        <f>+التشغيل!L37</f>
        <v>0</v>
      </c>
      <c r="M136" s="46">
        <f>+التشغيل!M37</f>
        <v>0</v>
      </c>
      <c r="N136" s="46">
        <f>+التشغيل!N37</f>
        <v>0</v>
      </c>
      <c r="O136" s="46">
        <f>+التشغيل!O37</f>
        <v>0</v>
      </c>
      <c r="P136" s="46">
        <f>+التشغيل!P37</f>
        <v>0</v>
      </c>
      <c r="Q136" s="46">
        <f>+التشغيل!Q37</f>
        <v>0</v>
      </c>
      <c r="R136" s="47">
        <f>+التشغيل!R37</f>
        <v>0</v>
      </c>
      <c r="S136" s="47">
        <f>+التشغيل!S37</f>
        <v>0</v>
      </c>
      <c r="T136" s="46">
        <f>+التشغيل!T37</f>
        <v>0</v>
      </c>
      <c r="U136" s="46">
        <f>+التشغيل!U37</f>
        <v>0</v>
      </c>
      <c r="V136" s="46">
        <f>+التشغيل!V37</f>
        <v>0</v>
      </c>
      <c r="W136" s="46">
        <f>+التشغيل!W37</f>
        <v>0</v>
      </c>
      <c r="X136" s="46">
        <f>+التشغيل!X37</f>
        <v>0</v>
      </c>
      <c r="Y136" s="46">
        <f>+التشغيل!Y37</f>
        <v>0</v>
      </c>
      <c r="Z136" s="46">
        <f>+التشغيل!Z37</f>
        <v>0</v>
      </c>
      <c r="AA136" s="46">
        <f>+التشغيل!AA37</f>
        <v>0</v>
      </c>
      <c r="AB136" s="46">
        <f>+التشغيل!AB37</f>
        <v>0</v>
      </c>
      <c r="AC136" s="46">
        <f>+التشغيل!AC37</f>
        <v>0</v>
      </c>
      <c r="AD136" s="46">
        <f>+التشغيل!AD37</f>
        <v>0</v>
      </c>
      <c r="AE136" s="46">
        <f>+التشغيل!AE37</f>
        <v>0</v>
      </c>
      <c r="AF136" s="46">
        <f>+التشغيل!AF37</f>
        <v>0</v>
      </c>
      <c r="AG136" s="46">
        <f>+التشغيل!AG37</f>
        <v>0</v>
      </c>
      <c r="AH136" s="46">
        <f>+التشغيل!AH37</f>
        <v>0</v>
      </c>
    </row>
    <row r="137" spans="1:34" ht="21" x14ac:dyDescent="0.35">
      <c r="A137" s="43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7"/>
      <c r="S137" s="47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15.75" x14ac:dyDescent="0.25">
      <c r="A138" s="108" t="s">
        <v>0</v>
      </c>
      <c r="B138" s="108" t="s">
        <v>1</v>
      </c>
      <c r="C138" s="110" t="s">
        <v>2</v>
      </c>
      <c r="D138" s="110" t="s">
        <v>3</v>
      </c>
      <c r="E138" s="110" t="s">
        <v>39</v>
      </c>
      <c r="F138" s="110" t="s">
        <v>5</v>
      </c>
      <c r="G138" s="39" t="s">
        <v>6</v>
      </c>
      <c r="H138" s="40"/>
      <c r="I138" s="40"/>
      <c r="J138" s="40"/>
      <c r="K138" s="40"/>
      <c r="L138" s="40"/>
      <c r="M138" s="40"/>
      <c r="N138" s="40"/>
      <c r="O138" s="41"/>
      <c r="P138" s="101" t="s">
        <v>7</v>
      </c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3"/>
      <c r="AF138" s="104" t="s">
        <v>8</v>
      </c>
      <c r="AG138" s="106" t="s">
        <v>9</v>
      </c>
      <c r="AH138" s="106" t="s">
        <v>10</v>
      </c>
    </row>
    <row r="139" spans="1:34" ht="41.25" customHeight="1" x14ac:dyDescent="0.25">
      <c r="A139" s="109"/>
      <c r="B139" s="109"/>
      <c r="C139" s="111"/>
      <c r="D139" s="111"/>
      <c r="E139" s="111"/>
      <c r="F139" s="111"/>
      <c r="G139" s="42" t="s">
        <v>11</v>
      </c>
      <c r="H139" s="42" t="s">
        <v>12</v>
      </c>
      <c r="I139" s="42" t="s">
        <v>13</v>
      </c>
      <c r="J139" s="42" t="s">
        <v>14</v>
      </c>
      <c r="K139" s="42" t="s">
        <v>15</v>
      </c>
      <c r="L139" s="42" t="s">
        <v>16</v>
      </c>
      <c r="M139" s="42" t="s">
        <v>17</v>
      </c>
      <c r="N139" s="42" t="s">
        <v>18</v>
      </c>
      <c r="O139" s="42" t="s">
        <v>19</v>
      </c>
      <c r="P139" s="4" t="s">
        <v>20</v>
      </c>
      <c r="Q139" s="4" t="s">
        <v>21</v>
      </c>
      <c r="R139" s="4" t="s">
        <v>22</v>
      </c>
      <c r="S139" s="4" t="s">
        <v>23</v>
      </c>
      <c r="T139" s="4" t="s">
        <v>24</v>
      </c>
      <c r="U139" s="4" t="s">
        <v>25</v>
      </c>
      <c r="V139" s="4" t="s">
        <v>26</v>
      </c>
      <c r="W139" s="4" t="s">
        <v>27</v>
      </c>
      <c r="X139" s="4" t="s">
        <v>28</v>
      </c>
      <c r="Y139" s="4" t="s">
        <v>29</v>
      </c>
      <c r="Z139" s="4" t="s">
        <v>30</v>
      </c>
      <c r="AA139" s="5" t="s">
        <v>31</v>
      </c>
      <c r="AB139" s="5" t="s">
        <v>32</v>
      </c>
      <c r="AC139" s="5" t="s">
        <v>33</v>
      </c>
      <c r="AD139" s="6" t="s">
        <v>34</v>
      </c>
      <c r="AE139" s="4" t="s">
        <v>35</v>
      </c>
      <c r="AF139" s="105"/>
      <c r="AG139" s="107"/>
      <c r="AH139" s="107"/>
    </row>
    <row r="140" spans="1:34" ht="21" x14ac:dyDescent="0.35">
      <c r="A140" s="43">
        <f>+التشغيل!A38</f>
        <v>0</v>
      </c>
      <c r="B140" s="44">
        <f>+التشغيل!B38</f>
        <v>0</v>
      </c>
      <c r="C140" s="45">
        <f>+التشغيل!C38</f>
        <v>0</v>
      </c>
      <c r="D140" s="45">
        <f>+التشغيل!D38</f>
        <v>0</v>
      </c>
      <c r="E140" s="45">
        <f>+التشغيل!E38</f>
        <v>0</v>
      </c>
      <c r="F140" s="46">
        <f>+التشغيل!F38</f>
        <v>0</v>
      </c>
      <c r="G140" s="46">
        <f>+التشغيل!G38</f>
        <v>0</v>
      </c>
      <c r="H140" s="46">
        <f>+التشغيل!H38</f>
        <v>0</v>
      </c>
      <c r="I140" s="46">
        <f>+التشغيل!I38</f>
        <v>0</v>
      </c>
      <c r="J140" s="46">
        <f>+التشغيل!J38</f>
        <v>0</v>
      </c>
      <c r="K140" s="46">
        <f>+التشغيل!K38</f>
        <v>0</v>
      </c>
      <c r="L140" s="46">
        <f>+التشغيل!L38</f>
        <v>0</v>
      </c>
      <c r="M140" s="46">
        <f>+التشغيل!M38</f>
        <v>0</v>
      </c>
      <c r="N140" s="46">
        <f>+التشغيل!N38</f>
        <v>0</v>
      </c>
      <c r="O140" s="46">
        <f>+التشغيل!O38</f>
        <v>0</v>
      </c>
      <c r="P140" s="46">
        <f>+التشغيل!P38</f>
        <v>0</v>
      </c>
      <c r="Q140" s="46">
        <f>+التشغيل!Q38</f>
        <v>0</v>
      </c>
      <c r="R140" s="47">
        <f>+التشغيل!R38</f>
        <v>0</v>
      </c>
      <c r="S140" s="47">
        <f>+التشغيل!S38</f>
        <v>0</v>
      </c>
      <c r="T140" s="46">
        <f>+التشغيل!T38</f>
        <v>0</v>
      </c>
      <c r="U140" s="46">
        <f>+التشغيل!U38</f>
        <v>0</v>
      </c>
      <c r="V140" s="46">
        <f>+التشغيل!V38</f>
        <v>0</v>
      </c>
      <c r="W140" s="46">
        <f>+التشغيل!W38</f>
        <v>0</v>
      </c>
      <c r="X140" s="46">
        <f>+التشغيل!X38</f>
        <v>0</v>
      </c>
      <c r="Y140" s="46">
        <f>+التشغيل!Y38</f>
        <v>0</v>
      </c>
      <c r="Z140" s="46">
        <f>+التشغيل!Z38</f>
        <v>0</v>
      </c>
      <c r="AA140" s="46">
        <f>+التشغيل!AA38</f>
        <v>0</v>
      </c>
      <c r="AB140" s="46">
        <f>+التشغيل!AB38</f>
        <v>0</v>
      </c>
      <c r="AC140" s="46">
        <f>+التشغيل!AC38</f>
        <v>0</v>
      </c>
      <c r="AD140" s="46">
        <f>+التشغيل!AD38</f>
        <v>0</v>
      </c>
      <c r="AE140" s="46">
        <f>+التشغيل!AE38</f>
        <v>0</v>
      </c>
      <c r="AF140" s="46">
        <f>+التشغيل!AF38</f>
        <v>0</v>
      </c>
      <c r="AG140" s="46">
        <f>+التشغيل!AG38</f>
        <v>0</v>
      </c>
      <c r="AH140" s="46">
        <f>+التشغيل!AH38</f>
        <v>0</v>
      </c>
    </row>
    <row r="141" spans="1:34" ht="21" x14ac:dyDescent="0.35">
      <c r="A141" s="43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15.75" x14ac:dyDescent="0.25">
      <c r="A142" s="108" t="s">
        <v>0</v>
      </c>
      <c r="B142" s="108" t="s">
        <v>1</v>
      </c>
      <c r="C142" s="110" t="s">
        <v>2</v>
      </c>
      <c r="D142" s="110" t="s">
        <v>3</v>
      </c>
      <c r="E142" s="110" t="s">
        <v>39</v>
      </c>
      <c r="F142" s="110" t="s">
        <v>5</v>
      </c>
      <c r="G142" s="39" t="s">
        <v>6</v>
      </c>
      <c r="H142" s="40"/>
      <c r="I142" s="40"/>
      <c r="J142" s="40"/>
      <c r="K142" s="40"/>
      <c r="L142" s="40"/>
      <c r="M142" s="40"/>
      <c r="N142" s="40"/>
      <c r="O142" s="41"/>
      <c r="P142" s="101" t="s">
        <v>7</v>
      </c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3"/>
      <c r="AF142" s="104" t="s">
        <v>8</v>
      </c>
      <c r="AG142" s="106" t="s">
        <v>9</v>
      </c>
      <c r="AH142" s="106" t="s">
        <v>10</v>
      </c>
    </row>
    <row r="143" spans="1:34" ht="41.25" customHeight="1" x14ac:dyDescent="0.25">
      <c r="A143" s="109"/>
      <c r="B143" s="109"/>
      <c r="C143" s="111"/>
      <c r="D143" s="111"/>
      <c r="E143" s="111"/>
      <c r="F143" s="111"/>
      <c r="G143" s="42" t="s">
        <v>11</v>
      </c>
      <c r="H143" s="42" t="s">
        <v>12</v>
      </c>
      <c r="I143" s="42" t="s">
        <v>13</v>
      </c>
      <c r="J143" s="42" t="s">
        <v>14</v>
      </c>
      <c r="K143" s="42" t="s">
        <v>15</v>
      </c>
      <c r="L143" s="42" t="s">
        <v>16</v>
      </c>
      <c r="M143" s="42" t="s">
        <v>17</v>
      </c>
      <c r="N143" s="42" t="s">
        <v>18</v>
      </c>
      <c r="O143" s="42" t="s">
        <v>19</v>
      </c>
      <c r="P143" s="4" t="s">
        <v>20</v>
      </c>
      <c r="Q143" s="4" t="s">
        <v>21</v>
      </c>
      <c r="R143" s="4" t="s">
        <v>22</v>
      </c>
      <c r="S143" s="4" t="s">
        <v>23</v>
      </c>
      <c r="T143" s="4" t="s">
        <v>24</v>
      </c>
      <c r="U143" s="4" t="s">
        <v>25</v>
      </c>
      <c r="V143" s="4" t="s">
        <v>26</v>
      </c>
      <c r="W143" s="4" t="s">
        <v>27</v>
      </c>
      <c r="X143" s="4" t="s">
        <v>28</v>
      </c>
      <c r="Y143" s="4" t="s">
        <v>29</v>
      </c>
      <c r="Z143" s="4" t="s">
        <v>30</v>
      </c>
      <c r="AA143" s="5" t="s">
        <v>31</v>
      </c>
      <c r="AB143" s="5" t="s">
        <v>32</v>
      </c>
      <c r="AC143" s="5" t="s">
        <v>33</v>
      </c>
      <c r="AD143" s="6" t="s">
        <v>34</v>
      </c>
      <c r="AE143" s="4" t="s">
        <v>35</v>
      </c>
      <c r="AF143" s="105"/>
      <c r="AG143" s="107"/>
      <c r="AH143" s="107"/>
    </row>
    <row r="144" spans="1:34" ht="21" x14ac:dyDescent="0.35">
      <c r="A144" s="43">
        <f>+التشغيل!A39</f>
        <v>0</v>
      </c>
      <c r="B144" s="44">
        <f>+التشغيل!B39</f>
        <v>0</v>
      </c>
      <c r="C144" s="45">
        <f>+التشغيل!C39</f>
        <v>0</v>
      </c>
      <c r="D144" s="45">
        <f>+التشغيل!D39</f>
        <v>0</v>
      </c>
      <c r="E144" s="45">
        <f>+التشغيل!E39</f>
        <v>0</v>
      </c>
      <c r="F144" s="46">
        <f>+التشغيل!F39</f>
        <v>0</v>
      </c>
      <c r="G144" s="46">
        <f>+التشغيل!G39</f>
        <v>0</v>
      </c>
      <c r="H144" s="46">
        <f>+التشغيل!H39</f>
        <v>0</v>
      </c>
      <c r="I144" s="46">
        <f>+التشغيل!I39</f>
        <v>0</v>
      </c>
      <c r="J144" s="46">
        <f>+التشغيل!J39</f>
        <v>0</v>
      </c>
      <c r="K144" s="46">
        <f>+التشغيل!K39</f>
        <v>0</v>
      </c>
      <c r="L144" s="46">
        <f>+التشغيل!L39</f>
        <v>0</v>
      </c>
      <c r="M144" s="46">
        <f>+التشغيل!M39</f>
        <v>0</v>
      </c>
      <c r="N144" s="46">
        <f>+التشغيل!N39</f>
        <v>0</v>
      </c>
      <c r="O144" s="46">
        <f>+التشغيل!O39</f>
        <v>0</v>
      </c>
      <c r="P144" s="46">
        <f>+التشغيل!P39</f>
        <v>0</v>
      </c>
      <c r="Q144" s="46">
        <f>+التشغيل!Q39</f>
        <v>0</v>
      </c>
      <c r="R144" s="47">
        <f>+التشغيل!R39</f>
        <v>0</v>
      </c>
      <c r="S144" s="47">
        <f>+التشغيل!S39</f>
        <v>0</v>
      </c>
      <c r="T144" s="46">
        <f>+التشغيل!T39</f>
        <v>0</v>
      </c>
      <c r="U144" s="46">
        <f>+التشغيل!U39</f>
        <v>0</v>
      </c>
      <c r="V144" s="46">
        <f>+التشغيل!V39</f>
        <v>0</v>
      </c>
      <c r="W144" s="46">
        <f>+التشغيل!W39</f>
        <v>0</v>
      </c>
      <c r="X144" s="46">
        <f>+التشغيل!X39</f>
        <v>0</v>
      </c>
      <c r="Y144" s="46">
        <f>+التشغيل!Y39</f>
        <v>0</v>
      </c>
      <c r="Z144" s="46">
        <f>+التشغيل!Z39</f>
        <v>0</v>
      </c>
      <c r="AA144" s="46">
        <f>+التشغيل!AA39</f>
        <v>0</v>
      </c>
      <c r="AB144" s="46">
        <f>+التشغيل!AB39</f>
        <v>0</v>
      </c>
      <c r="AC144" s="46">
        <f>+التشغيل!AC39</f>
        <v>0</v>
      </c>
      <c r="AD144" s="46">
        <f>+التشغيل!AD39</f>
        <v>0</v>
      </c>
      <c r="AE144" s="46">
        <f>+التشغيل!AE39</f>
        <v>0</v>
      </c>
      <c r="AF144" s="46">
        <f>+التشغيل!AF39</f>
        <v>0</v>
      </c>
      <c r="AG144" s="46">
        <f>+التشغيل!AG39</f>
        <v>0</v>
      </c>
      <c r="AH144" s="46">
        <f>+التشغيل!AH39</f>
        <v>0</v>
      </c>
    </row>
    <row r="145" spans="1:34" ht="21" x14ac:dyDescent="0.35">
      <c r="A145" s="43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7"/>
      <c r="S145" s="47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15.75" x14ac:dyDescent="0.25">
      <c r="A146" s="108" t="s">
        <v>0</v>
      </c>
      <c r="B146" s="108" t="s">
        <v>1</v>
      </c>
      <c r="C146" s="110" t="s">
        <v>2</v>
      </c>
      <c r="D146" s="110" t="s">
        <v>3</v>
      </c>
      <c r="E146" s="110" t="s">
        <v>39</v>
      </c>
      <c r="F146" s="110" t="s">
        <v>5</v>
      </c>
      <c r="G146" s="39" t="s">
        <v>6</v>
      </c>
      <c r="H146" s="40"/>
      <c r="I146" s="40"/>
      <c r="J146" s="40"/>
      <c r="K146" s="40"/>
      <c r="L146" s="40"/>
      <c r="M146" s="40"/>
      <c r="N146" s="40"/>
      <c r="O146" s="41"/>
      <c r="P146" s="101" t="s">
        <v>7</v>
      </c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3"/>
      <c r="AF146" s="104" t="s">
        <v>8</v>
      </c>
      <c r="AG146" s="106" t="s">
        <v>9</v>
      </c>
      <c r="AH146" s="106" t="s">
        <v>10</v>
      </c>
    </row>
    <row r="147" spans="1:34" ht="41.25" customHeight="1" x14ac:dyDescent="0.25">
      <c r="A147" s="109"/>
      <c r="B147" s="109"/>
      <c r="C147" s="111"/>
      <c r="D147" s="111"/>
      <c r="E147" s="111"/>
      <c r="F147" s="111"/>
      <c r="G147" s="42" t="s">
        <v>11</v>
      </c>
      <c r="H147" s="42" t="s">
        <v>12</v>
      </c>
      <c r="I147" s="42" t="s">
        <v>13</v>
      </c>
      <c r="J147" s="42" t="s">
        <v>14</v>
      </c>
      <c r="K147" s="42" t="s">
        <v>15</v>
      </c>
      <c r="L147" s="42" t="s">
        <v>16</v>
      </c>
      <c r="M147" s="42" t="s">
        <v>17</v>
      </c>
      <c r="N147" s="42" t="s">
        <v>18</v>
      </c>
      <c r="O147" s="42" t="s">
        <v>19</v>
      </c>
      <c r="P147" s="4" t="s">
        <v>20</v>
      </c>
      <c r="Q147" s="4" t="s">
        <v>21</v>
      </c>
      <c r="R147" s="4" t="s">
        <v>22</v>
      </c>
      <c r="S147" s="4" t="s">
        <v>23</v>
      </c>
      <c r="T147" s="4" t="s">
        <v>24</v>
      </c>
      <c r="U147" s="4" t="s">
        <v>25</v>
      </c>
      <c r="V147" s="4" t="s">
        <v>26</v>
      </c>
      <c r="W147" s="4" t="s">
        <v>27</v>
      </c>
      <c r="X147" s="4" t="s">
        <v>28</v>
      </c>
      <c r="Y147" s="4" t="s">
        <v>29</v>
      </c>
      <c r="Z147" s="4" t="s">
        <v>30</v>
      </c>
      <c r="AA147" s="5" t="s">
        <v>31</v>
      </c>
      <c r="AB147" s="5" t="s">
        <v>32</v>
      </c>
      <c r="AC147" s="5" t="s">
        <v>33</v>
      </c>
      <c r="AD147" s="6" t="s">
        <v>34</v>
      </c>
      <c r="AE147" s="4" t="s">
        <v>35</v>
      </c>
      <c r="AF147" s="105"/>
      <c r="AG147" s="107"/>
      <c r="AH147" s="107"/>
    </row>
    <row r="148" spans="1:34" ht="21" x14ac:dyDescent="0.35">
      <c r="A148" s="43">
        <f>+التشغيل!A40</f>
        <v>0</v>
      </c>
      <c r="B148" s="44">
        <f>+التشغيل!B40</f>
        <v>0</v>
      </c>
      <c r="C148" s="45">
        <f>+التشغيل!C40</f>
        <v>0</v>
      </c>
      <c r="D148" s="45">
        <f>+التشغيل!D40</f>
        <v>0</v>
      </c>
      <c r="E148" s="45">
        <f>+التشغيل!E40</f>
        <v>0</v>
      </c>
      <c r="F148" s="46">
        <f>+التشغيل!F40</f>
        <v>0</v>
      </c>
      <c r="G148" s="46">
        <f>+التشغيل!G40</f>
        <v>0</v>
      </c>
      <c r="H148" s="46">
        <f>+التشغيل!H40</f>
        <v>0</v>
      </c>
      <c r="I148" s="46">
        <f>+التشغيل!I40</f>
        <v>0</v>
      </c>
      <c r="J148" s="46">
        <f>+التشغيل!J40</f>
        <v>0</v>
      </c>
      <c r="K148" s="46">
        <f>+التشغيل!K40</f>
        <v>0</v>
      </c>
      <c r="L148" s="46">
        <f>+التشغيل!L40</f>
        <v>0</v>
      </c>
      <c r="M148" s="46">
        <f>+التشغيل!M40</f>
        <v>0</v>
      </c>
      <c r="N148" s="46">
        <f>+التشغيل!N40</f>
        <v>0</v>
      </c>
      <c r="O148" s="46">
        <f>+التشغيل!O40</f>
        <v>0</v>
      </c>
      <c r="P148" s="46">
        <f>+التشغيل!P40</f>
        <v>0</v>
      </c>
      <c r="Q148" s="46">
        <f>+التشغيل!Q40</f>
        <v>0</v>
      </c>
      <c r="R148" s="47">
        <f>+التشغيل!R40</f>
        <v>0</v>
      </c>
      <c r="S148" s="47">
        <f>+التشغيل!S40</f>
        <v>0</v>
      </c>
      <c r="T148" s="46">
        <f>+التشغيل!T40</f>
        <v>0</v>
      </c>
      <c r="U148" s="46">
        <f>+التشغيل!U40</f>
        <v>0</v>
      </c>
      <c r="V148" s="46">
        <f>+التشغيل!V40</f>
        <v>0</v>
      </c>
      <c r="W148" s="46">
        <f>+التشغيل!W40</f>
        <v>0</v>
      </c>
      <c r="X148" s="46">
        <f>+التشغيل!X40</f>
        <v>0</v>
      </c>
      <c r="Y148" s="46">
        <f>+التشغيل!Y40</f>
        <v>0</v>
      </c>
      <c r="Z148" s="46">
        <f>+التشغيل!Z40</f>
        <v>0</v>
      </c>
      <c r="AA148" s="46">
        <f>+التشغيل!AA40</f>
        <v>0</v>
      </c>
      <c r="AB148" s="46">
        <f>+التشغيل!AB40</f>
        <v>0</v>
      </c>
      <c r="AC148" s="46">
        <f>+التشغيل!AC40</f>
        <v>0</v>
      </c>
      <c r="AD148" s="46">
        <f>+التشغيل!AD40</f>
        <v>0</v>
      </c>
      <c r="AE148" s="46">
        <f>+التشغيل!AE40</f>
        <v>0</v>
      </c>
      <c r="AF148" s="46">
        <f>+التشغيل!AF40</f>
        <v>0</v>
      </c>
      <c r="AG148" s="46">
        <f>+التشغيل!AG40</f>
        <v>0</v>
      </c>
      <c r="AH148" s="46">
        <f>+التشغيل!AH40</f>
        <v>0</v>
      </c>
    </row>
    <row r="149" spans="1:34" ht="21" x14ac:dyDescent="0.35">
      <c r="A149" s="43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7"/>
      <c r="S149" s="47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15.75" x14ac:dyDescent="0.25">
      <c r="A150" s="108" t="s">
        <v>0</v>
      </c>
      <c r="B150" s="108" t="s">
        <v>1</v>
      </c>
      <c r="C150" s="110" t="s">
        <v>2</v>
      </c>
      <c r="D150" s="110" t="s">
        <v>3</v>
      </c>
      <c r="E150" s="110" t="s">
        <v>39</v>
      </c>
      <c r="F150" s="110" t="s">
        <v>5</v>
      </c>
      <c r="G150" s="39" t="s">
        <v>6</v>
      </c>
      <c r="H150" s="40"/>
      <c r="I150" s="40"/>
      <c r="J150" s="40"/>
      <c r="K150" s="40"/>
      <c r="L150" s="40"/>
      <c r="M150" s="40"/>
      <c r="N150" s="40"/>
      <c r="O150" s="41"/>
      <c r="P150" s="101" t="s">
        <v>7</v>
      </c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3"/>
      <c r="AF150" s="104" t="s">
        <v>8</v>
      </c>
      <c r="AG150" s="106" t="s">
        <v>9</v>
      </c>
      <c r="AH150" s="106" t="s">
        <v>10</v>
      </c>
    </row>
    <row r="151" spans="1:34" ht="41.25" customHeight="1" x14ac:dyDescent="0.25">
      <c r="A151" s="109"/>
      <c r="B151" s="109"/>
      <c r="C151" s="111"/>
      <c r="D151" s="111"/>
      <c r="E151" s="111"/>
      <c r="F151" s="111"/>
      <c r="G151" s="42" t="s">
        <v>11</v>
      </c>
      <c r="H151" s="42" t="s">
        <v>12</v>
      </c>
      <c r="I151" s="42" t="s">
        <v>13</v>
      </c>
      <c r="J151" s="42" t="s">
        <v>14</v>
      </c>
      <c r="K151" s="42" t="s">
        <v>15</v>
      </c>
      <c r="L151" s="42" t="s">
        <v>16</v>
      </c>
      <c r="M151" s="42" t="s">
        <v>17</v>
      </c>
      <c r="N151" s="42" t="s">
        <v>18</v>
      </c>
      <c r="O151" s="42" t="s">
        <v>19</v>
      </c>
      <c r="P151" s="4" t="s">
        <v>20</v>
      </c>
      <c r="Q151" s="4" t="s">
        <v>21</v>
      </c>
      <c r="R151" s="4" t="s">
        <v>22</v>
      </c>
      <c r="S151" s="4" t="s">
        <v>23</v>
      </c>
      <c r="T151" s="4" t="s">
        <v>24</v>
      </c>
      <c r="U151" s="4" t="s">
        <v>25</v>
      </c>
      <c r="V151" s="4" t="s">
        <v>26</v>
      </c>
      <c r="W151" s="4" t="s">
        <v>27</v>
      </c>
      <c r="X151" s="4" t="s">
        <v>28</v>
      </c>
      <c r="Y151" s="4" t="s">
        <v>29</v>
      </c>
      <c r="Z151" s="4" t="s">
        <v>30</v>
      </c>
      <c r="AA151" s="5" t="s">
        <v>31</v>
      </c>
      <c r="AB151" s="5" t="s">
        <v>32</v>
      </c>
      <c r="AC151" s="5" t="s">
        <v>33</v>
      </c>
      <c r="AD151" s="6" t="s">
        <v>34</v>
      </c>
      <c r="AE151" s="4" t="s">
        <v>35</v>
      </c>
      <c r="AF151" s="105"/>
      <c r="AG151" s="107"/>
      <c r="AH151" s="107"/>
    </row>
    <row r="152" spans="1:34" ht="21" x14ac:dyDescent="0.35">
      <c r="A152" s="43">
        <f>+التشغيل!A41</f>
        <v>0</v>
      </c>
      <c r="B152" s="44">
        <f>+التشغيل!B41</f>
        <v>0</v>
      </c>
      <c r="C152" s="45">
        <f>+التشغيل!C41</f>
        <v>0</v>
      </c>
      <c r="D152" s="45">
        <f>+التشغيل!D41</f>
        <v>0</v>
      </c>
      <c r="E152" s="45">
        <f>+التشغيل!E41</f>
        <v>0</v>
      </c>
      <c r="F152" s="46">
        <f>+التشغيل!F41</f>
        <v>0</v>
      </c>
      <c r="G152" s="46">
        <f>+التشغيل!G41</f>
        <v>0</v>
      </c>
      <c r="H152" s="46">
        <f>+التشغيل!H41</f>
        <v>0</v>
      </c>
      <c r="I152" s="46">
        <f>+التشغيل!I41</f>
        <v>0</v>
      </c>
      <c r="J152" s="46">
        <f>+التشغيل!J41</f>
        <v>0</v>
      </c>
      <c r="K152" s="46">
        <f>+التشغيل!K41</f>
        <v>0</v>
      </c>
      <c r="L152" s="46">
        <f>+التشغيل!L41</f>
        <v>0</v>
      </c>
      <c r="M152" s="46">
        <f>+التشغيل!M41</f>
        <v>0</v>
      </c>
      <c r="N152" s="46">
        <f>+التشغيل!N41</f>
        <v>0</v>
      </c>
      <c r="O152" s="46">
        <f>+التشغيل!O41</f>
        <v>0</v>
      </c>
      <c r="P152" s="46">
        <f>+التشغيل!P41</f>
        <v>0</v>
      </c>
      <c r="Q152" s="46">
        <f>+التشغيل!Q41</f>
        <v>0</v>
      </c>
      <c r="R152" s="47">
        <f>+التشغيل!R41</f>
        <v>0</v>
      </c>
      <c r="S152" s="47">
        <f>+التشغيل!S41</f>
        <v>0</v>
      </c>
      <c r="T152" s="46">
        <f>+التشغيل!T41</f>
        <v>0</v>
      </c>
      <c r="U152" s="46">
        <f>+التشغيل!U41</f>
        <v>0</v>
      </c>
      <c r="V152" s="46">
        <f>+التشغيل!V41</f>
        <v>0</v>
      </c>
      <c r="W152" s="46">
        <f>+التشغيل!W41</f>
        <v>0</v>
      </c>
      <c r="X152" s="46">
        <f>+التشغيل!X41</f>
        <v>0</v>
      </c>
      <c r="Y152" s="46">
        <f>+التشغيل!Y41</f>
        <v>0</v>
      </c>
      <c r="Z152" s="46">
        <f>+التشغيل!Z41</f>
        <v>0</v>
      </c>
      <c r="AA152" s="46">
        <f>+التشغيل!AA41</f>
        <v>0</v>
      </c>
      <c r="AB152" s="46">
        <f>+التشغيل!AB41</f>
        <v>0</v>
      </c>
      <c r="AC152" s="46">
        <f>+التشغيل!AC41</f>
        <v>0</v>
      </c>
      <c r="AD152" s="46">
        <f>+التشغيل!AD41</f>
        <v>0</v>
      </c>
      <c r="AE152" s="46">
        <f>+التشغيل!AE41</f>
        <v>0</v>
      </c>
      <c r="AF152" s="46">
        <f>+التشغيل!AF41</f>
        <v>0</v>
      </c>
      <c r="AG152" s="46">
        <f>+التشغيل!AG41</f>
        <v>0</v>
      </c>
      <c r="AH152" s="46">
        <f>+التشغيل!AH41</f>
        <v>0</v>
      </c>
    </row>
    <row r="153" spans="1:34" ht="21" x14ac:dyDescent="0.35">
      <c r="A153" s="43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15.75" x14ac:dyDescent="0.25">
      <c r="A154" s="108" t="s">
        <v>0</v>
      </c>
      <c r="B154" s="108" t="s">
        <v>1</v>
      </c>
      <c r="C154" s="110" t="s">
        <v>2</v>
      </c>
      <c r="D154" s="110" t="s">
        <v>3</v>
      </c>
      <c r="E154" s="110" t="s">
        <v>39</v>
      </c>
      <c r="F154" s="110" t="s">
        <v>5</v>
      </c>
      <c r="G154" s="39" t="s">
        <v>6</v>
      </c>
      <c r="H154" s="40"/>
      <c r="I154" s="40"/>
      <c r="J154" s="40"/>
      <c r="K154" s="40"/>
      <c r="L154" s="40"/>
      <c r="M154" s="40"/>
      <c r="N154" s="40"/>
      <c r="O154" s="41"/>
      <c r="P154" s="101" t="s">
        <v>7</v>
      </c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3"/>
      <c r="AF154" s="104" t="s">
        <v>8</v>
      </c>
      <c r="AG154" s="106" t="s">
        <v>9</v>
      </c>
      <c r="AH154" s="106" t="s">
        <v>10</v>
      </c>
    </row>
    <row r="155" spans="1:34" ht="41.25" customHeight="1" x14ac:dyDescent="0.25">
      <c r="A155" s="109"/>
      <c r="B155" s="109"/>
      <c r="C155" s="111"/>
      <c r="D155" s="111"/>
      <c r="E155" s="111"/>
      <c r="F155" s="111"/>
      <c r="G155" s="42" t="s">
        <v>11</v>
      </c>
      <c r="H155" s="42" t="s">
        <v>12</v>
      </c>
      <c r="I155" s="42" t="s">
        <v>13</v>
      </c>
      <c r="J155" s="42" t="s">
        <v>14</v>
      </c>
      <c r="K155" s="42" t="s">
        <v>15</v>
      </c>
      <c r="L155" s="42" t="s">
        <v>16</v>
      </c>
      <c r="M155" s="42" t="s">
        <v>17</v>
      </c>
      <c r="N155" s="42" t="s">
        <v>18</v>
      </c>
      <c r="O155" s="42" t="s">
        <v>19</v>
      </c>
      <c r="P155" s="4" t="s">
        <v>20</v>
      </c>
      <c r="Q155" s="4" t="s">
        <v>21</v>
      </c>
      <c r="R155" s="4" t="s">
        <v>22</v>
      </c>
      <c r="S155" s="4" t="s">
        <v>23</v>
      </c>
      <c r="T155" s="4" t="s">
        <v>24</v>
      </c>
      <c r="U155" s="4" t="s">
        <v>25</v>
      </c>
      <c r="V155" s="4" t="s">
        <v>26</v>
      </c>
      <c r="W155" s="4" t="s">
        <v>27</v>
      </c>
      <c r="X155" s="4" t="s">
        <v>28</v>
      </c>
      <c r="Y155" s="4" t="s">
        <v>29</v>
      </c>
      <c r="Z155" s="4" t="s">
        <v>30</v>
      </c>
      <c r="AA155" s="5" t="s">
        <v>31</v>
      </c>
      <c r="AB155" s="5" t="s">
        <v>32</v>
      </c>
      <c r="AC155" s="5" t="s">
        <v>33</v>
      </c>
      <c r="AD155" s="6" t="s">
        <v>34</v>
      </c>
      <c r="AE155" s="4" t="s">
        <v>35</v>
      </c>
      <c r="AF155" s="105"/>
      <c r="AG155" s="107"/>
      <c r="AH155" s="107"/>
    </row>
    <row r="156" spans="1:34" ht="21" x14ac:dyDescent="0.35">
      <c r="A156" s="43">
        <f>+التشغيل!A42</f>
        <v>0</v>
      </c>
      <c r="B156" s="44">
        <f>+التشغيل!B42</f>
        <v>0</v>
      </c>
      <c r="C156" s="45">
        <f>+التشغيل!C42</f>
        <v>0</v>
      </c>
      <c r="D156" s="45">
        <f>+التشغيل!D42</f>
        <v>0</v>
      </c>
      <c r="E156" s="45">
        <f>+التشغيل!E42</f>
        <v>0</v>
      </c>
      <c r="F156" s="46">
        <f>التشغيل!F42</f>
        <v>0</v>
      </c>
      <c r="G156" s="46">
        <f>التشغيل!G42</f>
        <v>0</v>
      </c>
      <c r="H156" s="46">
        <f>التشغيل!H42</f>
        <v>0</v>
      </c>
      <c r="I156" s="46">
        <f>التشغيل!I42</f>
        <v>0</v>
      </c>
      <c r="J156" s="46">
        <f>التشغيل!J42</f>
        <v>0</v>
      </c>
      <c r="K156" s="46">
        <f>التشغيل!K42</f>
        <v>0</v>
      </c>
      <c r="L156" s="46">
        <f>التشغيل!L42</f>
        <v>0</v>
      </c>
      <c r="M156" s="46">
        <f>التشغيل!M42</f>
        <v>0</v>
      </c>
      <c r="N156" s="46">
        <f>التشغيل!N42</f>
        <v>0</v>
      </c>
      <c r="O156" s="46">
        <f>التشغيل!O42</f>
        <v>0</v>
      </c>
      <c r="P156" s="46">
        <f>التشغيل!P42</f>
        <v>0</v>
      </c>
      <c r="Q156" s="46">
        <f>التشغيل!Q42</f>
        <v>0</v>
      </c>
      <c r="R156" s="47">
        <f>التشغيل!R42</f>
        <v>0</v>
      </c>
      <c r="S156" s="47">
        <f>التشغيل!S42</f>
        <v>0</v>
      </c>
      <c r="T156" s="46">
        <f>التشغيل!T42</f>
        <v>0</v>
      </c>
      <c r="U156" s="46">
        <f>التشغيل!U42</f>
        <v>0</v>
      </c>
      <c r="V156" s="46">
        <f>التشغيل!V42</f>
        <v>0</v>
      </c>
      <c r="W156" s="46">
        <f>التشغيل!W42</f>
        <v>0</v>
      </c>
      <c r="X156" s="46">
        <f>التشغيل!X42</f>
        <v>0</v>
      </c>
      <c r="Y156" s="46">
        <f>التشغيل!Y42</f>
        <v>0</v>
      </c>
      <c r="Z156" s="46">
        <f>التشغيل!Z42</f>
        <v>0</v>
      </c>
      <c r="AA156" s="46">
        <f>التشغيل!AA42</f>
        <v>0</v>
      </c>
      <c r="AB156" s="46">
        <f>التشغيل!AB42</f>
        <v>0</v>
      </c>
      <c r="AC156" s="46">
        <f>التشغيل!AC42</f>
        <v>0</v>
      </c>
      <c r="AD156" s="46">
        <f>التشغيل!AD42</f>
        <v>0</v>
      </c>
      <c r="AE156" s="46">
        <f>التشغيل!AE42</f>
        <v>0</v>
      </c>
      <c r="AF156" s="46">
        <f>التشغيل!AF42</f>
        <v>0</v>
      </c>
      <c r="AG156" s="46">
        <f>التشغيل!AG42</f>
        <v>0</v>
      </c>
      <c r="AH156" s="46">
        <f>التشغيل!AH42</f>
        <v>0</v>
      </c>
    </row>
    <row r="157" spans="1:34" ht="21" x14ac:dyDescent="0.35">
      <c r="A157" s="43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7"/>
      <c r="S157" s="47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15.75" x14ac:dyDescent="0.25">
      <c r="A158" s="108" t="s">
        <v>0</v>
      </c>
      <c r="B158" s="108" t="s">
        <v>1</v>
      </c>
      <c r="C158" s="110" t="s">
        <v>2</v>
      </c>
      <c r="D158" s="110" t="s">
        <v>3</v>
      </c>
      <c r="E158" s="110" t="s">
        <v>39</v>
      </c>
      <c r="F158" s="110" t="s">
        <v>5</v>
      </c>
      <c r="G158" s="39" t="s">
        <v>6</v>
      </c>
      <c r="H158" s="40"/>
      <c r="I158" s="40"/>
      <c r="J158" s="40"/>
      <c r="K158" s="40"/>
      <c r="L158" s="40"/>
      <c r="M158" s="40"/>
      <c r="N158" s="40"/>
      <c r="O158" s="41"/>
      <c r="P158" s="101" t="s">
        <v>7</v>
      </c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3"/>
      <c r="AF158" s="104" t="s">
        <v>8</v>
      </c>
      <c r="AG158" s="106" t="s">
        <v>9</v>
      </c>
      <c r="AH158" s="106" t="s">
        <v>10</v>
      </c>
    </row>
    <row r="159" spans="1:34" ht="41.25" customHeight="1" x14ac:dyDescent="0.25">
      <c r="A159" s="109"/>
      <c r="B159" s="109"/>
      <c r="C159" s="111"/>
      <c r="D159" s="111"/>
      <c r="E159" s="111"/>
      <c r="F159" s="111"/>
      <c r="G159" s="42" t="s">
        <v>11</v>
      </c>
      <c r="H159" s="42" t="s">
        <v>12</v>
      </c>
      <c r="I159" s="42" t="s">
        <v>13</v>
      </c>
      <c r="J159" s="42" t="s">
        <v>14</v>
      </c>
      <c r="K159" s="42" t="s">
        <v>15</v>
      </c>
      <c r="L159" s="42" t="s">
        <v>16</v>
      </c>
      <c r="M159" s="42" t="s">
        <v>17</v>
      </c>
      <c r="N159" s="42" t="s">
        <v>18</v>
      </c>
      <c r="O159" s="42" t="s">
        <v>19</v>
      </c>
      <c r="P159" s="4" t="s">
        <v>20</v>
      </c>
      <c r="Q159" s="4" t="s">
        <v>21</v>
      </c>
      <c r="R159" s="4" t="s">
        <v>22</v>
      </c>
      <c r="S159" s="4" t="s">
        <v>23</v>
      </c>
      <c r="T159" s="4" t="s">
        <v>24</v>
      </c>
      <c r="U159" s="4" t="s">
        <v>25</v>
      </c>
      <c r="V159" s="4" t="s">
        <v>26</v>
      </c>
      <c r="W159" s="4" t="s">
        <v>27</v>
      </c>
      <c r="X159" s="4" t="s">
        <v>28</v>
      </c>
      <c r="Y159" s="4" t="s">
        <v>29</v>
      </c>
      <c r="Z159" s="4" t="s">
        <v>30</v>
      </c>
      <c r="AA159" s="5" t="s">
        <v>31</v>
      </c>
      <c r="AB159" s="5" t="s">
        <v>32</v>
      </c>
      <c r="AC159" s="5" t="s">
        <v>33</v>
      </c>
      <c r="AD159" s="6" t="s">
        <v>34</v>
      </c>
      <c r="AE159" s="4" t="s">
        <v>35</v>
      </c>
      <c r="AF159" s="105"/>
      <c r="AG159" s="107"/>
      <c r="AH159" s="107"/>
    </row>
    <row r="160" spans="1:34" ht="21" x14ac:dyDescent="0.35">
      <c r="A160" s="43">
        <f>+التشغيل!A43</f>
        <v>0</v>
      </c>
      <c r="B160" s="44">
        <f>+التشغيل!B43</f>
        <v>0</v>
      </c>
      <c r="C160" s="45">
        <f>+التشغيل!C43</f>
        <v>0</v>
      </c>
      <c r="D160" s="45">
        <f>+التشغيل!D43</f>
        <v>0</v>
      </c>
      <c r="E160" s="45">
        <f>+التشغيل!E43</f>
        <v>0</v>
      </c>
      <c r="F160" s="46">
        <f>التشغيل!F43</f>
        <v>0</v>
      </c>
      <c r="G160" s="46">
        <f>التشغيل!G43</f>
        <v>0</v>
      </c>
      <c r="H160" s="46">
        <f>التشغيل!H43</f>
        <v>0</v>
      </c>
      <c r="I160" s="46">
        <f>التشغيل!I43</f>
        <v>0</v>
      </c>
      <c r="J160" s="46">
        <f>التشغيل!J43</f>
        <v>0</v>
      </c>
      <c r="K160" s="46">
        <f>التشغيل!K43</f>
        <v>0</v>
      </c>
      <c r="L160" s="46">
        <f>التشغيل!L43</f>
        <v>0</v>
      </c>
      <c r="M160" s="46">
        <f>التشغيل!M43</f>
        <v>0</v>
      </c>
      <c r="N160" s="46">
        <f>التشغيل!N43</f>
        <v>0</v>
      </c>
      <c r="O160" s="46">
        <f>التشغيل!O43</f>
        <v>0</v>
      </c>
      <c r="P160" s="46">
        <f>التشغيل!P43</f>
        <v>0</v>
      </c>
      <c r="Q160" s="46">
        <f>التشغيل!Q43</f>
        <v>0</v>
      </c>
      <c r="R160" s="47">
        <f>التشغيل!R43</f>
        <v>0</v>
      </c>
      <c r="S160" s="47">
        <f>التشغيل!S43</f>
        <v>0</v>
      </c>
      <c r="T160" s="46">
        <f>التشغيل!T43</f>
        <v>0</v>
      </c>
      <c r="U160" s="46">
        <f>التشغيل!U43</f>
        <v>0</v>
      </c>
      <c r="V160" s="46">
        <f>التشغيل!V43</f>
        <v>0</v>
      </c>
      <c r="W160" s="46">
        <f>التشغيل!W43</f>
        <v>0</v>
      </c>
      <c r="X160" s="46">
        <f>التشغيل!X43</f>
        <v>0</v>
      </c>
      <c r="Y160" s="46">
        <f>التشغيل!Y43</f>
        <v>0</v>
      </c>
      <c r="Z160" s="46">
        <f>التشغيل!Z43</f>
        <v>0</v>
      </c>
      <c r="AA160" s="46">
        <f>التشغيل!AA43</f>
        <v>0</v>
      </c>
      <c r="AB160" s="46">
        <f>التشغيل!AB43</f>
        <v>0</v>
      </c>
      <c r="AC160" s="46">
        <f>التشغيل!AC43</f>
        <v>0</v>
      </c>
      <c r="AD160" s="46">
        <f>التشغيل!AD43</f>
        <v>0</v>
      </c>
      <c r="AE160" s="46">
        <f>التشغيل!AE43</f>
        <v>0</v>
      </c>
      <c r="AF160" s="46">
        <f>التشغيل!AF43</f>
        <v>0</v>
      </c>
      <c r="AG160" s="46">
        <f>التشغيل!AG43</f>
        <v>0</v>
      </c>
      <c r="AH160" s="46">
        <f>التشغيل!AH43</f>
        <v>0</v>
      </c>
    </row>
    <row r="161" spans="1:34" ht="21" x14ac:dyDescent="0.35">
      <c r="A161" s="43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15.75" x14ac:dyDescent="0.25">
      <c r="A162" s="108" t="s">
        <v>0</v>
      </c>
      <c r="B162" s="108" t="s">
        <v>1</v>
      </c>
      <c r="C162" s="110" t="s">
        <v>2</v>
      </c>
      <c r="D162" s="110" t="s">
        <v>3</v>
      </c>
      <c r="E162" s="110" t="s">
        <v>39</v>
      </c>
      <c r="F162" s="110" t="s">
        <v>5</v>
      </c>
      <c r="G162" s="39" t="s">
        <v>6</v>
      </c>
      <c r="H162" s="40"/>
      <c r="I162" s="40"/>
      <c r="J162" s="40"/>
      <c r="K162" s="40"/>
      <c r="L162" s="40"/>
      <c r="M162" s="40"/>
      <c r="N162" s="40"/>
      <c r="O162" s="41"/>
      <c r="P162" s="101" t="s">
        <v>7</v>
      </c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3"/>
      <c r="AF162" s="104" t="s">
        <v>8</v>
      </c>
      <c r="AG162" s="106" t="s">
        <v>9</v>
      </c>
      <c r="AH162" s="106" t="s">
        <v>10</v>
      </c>
    </row>
    <row r="163" spans="1:34" ht="41.25" customHeight="1" x14ac:dyDescent="0.25">
      <c r="A163" s="109"/>
      <c r="B163" s="109"/>
      <c r="C163" s="111"/>
      <c r="D163" s="111"/>
      <c r="E163" s="111"/>
      <c r="F163" s="111"/>
      <c r="G163" s="42" t="s">
        <v>11</v>
      </c>
      <c r="H163" s="42" t="s">
        <v>12</v>
      </c>
      <c r="I163" s="42" t="s">
        <v>13</v>
      </c>
      <c r="J163" s="42" t="s">
        <v>14</v>
      </c>
      <c r="K163" s="42" t="s">
        <v>15</v>
      </c>
      <c r="L163" s="42" t="s">
        <v>16</v>
      </c>
      <c r="M163" s="42" t="s">
        <v>17</v>
      </c>
      <c r="N163" s="42" t="s">
        <v>18</v>
      </c>
      <c r="O163" s="42" t="s">
        <v>19</v>
      </c>
      <c r="P163" s="4" t="s">
        <v>20</v>
      </c>
      <c r="Q163" s="4" t="s">
        <v>21</v>
      </c>
      <c r="R163" s="4" t="s">
        <v>22</v>
      </c>
      <c r="S163" s="4" t="s">
        <v>23</v>
      </c>
      <c r="T163" s="4" t="s">
        <v>24</v>
      </c>
      <c r="U163" s="4" t="s">
        <v>25</v>
      </c>
      <c r="V163" s="4" t="s">
        <v>26</v>
      </c>
      <c r="W163" s="4" t="s">
        <v>27</v>
      </c>
      <c r="X163" s="4" t="s">
        <v>28</v>
      </c>
      <c r="Y163" s="4" t="s">
        <v>29</v>
      </c>
      <c r="Z163" s="4" t="s">
        <v>30</v>
      </c>
      <c r="AA163" s="5" t="s">
        <v>31</v>
      </c>
      <c r="AB163" s="5" t="s">
        <v>32</v>
      </c>
      <c r="AC163" s="5" t="s">
        <v>33</v>
      </c>
      <c r="AD163" s="6" t="s">
        <v>34</v>
      </c>
      <c r="AE163" s="4" t="s">
        <v>35</v>
      </c>
      <c r="AF163" s="105"/>
      <c r="AG163" s="107"/>
      <c r="AH163" s="107"/>
    </row>
    <row r="164" spans="1:34" ht="21" x14ac:dyDescent="0.35">
      <c r="A164" s="43">
        <f>+التشغيل!A44</f>
        <v>0</v>
      </c>
      <c r="B164" s="44">
        <f>+التشغيل!B44</f>
        <v>0</v>
      </c>
      <c r="C164" s="45">
        <f>+التشغيل!C44</f>
        <v>0</v>
      </c>
      <c r="D164" s="45">
        <f>+التشغيل!D44</f>
        <v>0</v>
      </c>
      <c r="E164" s="45">
        <f>+التشغيل!E44</f>
        <v>0</v>
      </c>
      <c r="F164" s="46">
        <f>التشغيل!F44</f>
        <v>0</v>
      </c>
      <c r="G164" s="46">
        <f>التشغيل!G44</f>
        <v>0</v>
      </c>
      <c r="H164" s="46">
        <f>التشغيل!H44</f>
        <v>0</v>
      </c>
      <c r="I164" s="46">
        <f>التشغيل!I44</f>
        <v>0</v>
      </c>
      <c r="J164" s="46">
        <f>التشغيل!J44</f>
        <v>0</v>
      </c>
      <c r="K164" s="46">
        <f>التشغيل!K44</f>
        <v>0</v>
      </c>
      <c r="L164" s="46">
        <f>التشغيل!L44</f>
        <v>0</v>
      </c>
      <c r="M164" s="46">
        <f>التشغيل!M44</f>
        <v>0</v>
      </c>
      <c r="N164" s="46">
        <f>التشغيل!N44</f>
        <v>0</v>
      </c>
      <c r="O164" s="46">
        <f>التشغيل!O44</f>
        <v>0</v>
      </c>
      <c r="P164" s="46">
        <f>التشغيل!P44</f>
        <v>0</v>
      </c>
      <c r="Q164" s="46">
        <f>التشغيل!Q44</f>
        <v>0</v>
      </c>
      <c r="R164" s="47">
        <f>التشغيل!R44</f>
        <v>0</v>
      </c>
      <c r="S164" s="47">
        <f>التشغيل!S44</f>
        <v>0</v>
      </c>
      <c r="T164" s="46">
        <f>التشغيل!T44</f>
        <v>0</v>
      </c>
      <c r="U164" s="46">
        <f>التشغيل!U44</f>
        <v>0</v>
      </c>
      <c r="V164" s="46">
        <f>التشغيل!V44</f>
        <v>0</v>
      </c>
      <c r="W164" s="46">
        <f>التشغيل!W44</f>
        <v>0</v>
      </c>
      <c r="X164" s="46">
        <f>التشغيل!X44</f>
        <v>0</v>
      </c>
      <c r="Y164" s="46">
        <f>التشغيل!Y44</f>
        <v>0</v>
      </c>
      <c r="Z164" s="46">
        <f>التشغيل!Z44</f>
        <v>0</v>
      </c>
      <c r="AA164" s="46">
        <f>التشغيل!AA44</f>
        <v>0</v>
      </c>
      <c r="AB164" s="46">
        <f>التشغيل!AB44</f>
        <v>0</v>
      </c>
      <c r="AC164" s="46">
        <f>التشغيل!AC44</f>
        <v>0</v>
      </c>
      <c r="AD164" s="46">
        <f>التشغيل!AD44</f>
        <v>0</v>
      </c>
      <c r="AE164" s="46">
        <f>التشغيل!AE44</f>
        <v>0</v>
      </c>
      <c r="AF164" s="46">
        <f>التشغيل!AF44</f>
        <v>0</v>
      </c>
      <c r="AG164" s="46">
        <f>التشغيل!AG44</f>
        <v>0</v>
      </c>
      <c r="AH164" s="46">
        <f>التشغيل!AH44</f>
        <v>0</v>
      </c>
    </row>
    <row r="165" spans="1:34" ht="21" x14ac:dyDescent="0.35">
      <c r="A165" s="43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15.75" x14ac:dyDescent="0.25">
      <c r="A166" s="108" t="s">
        <v>0</v>
      </c>
      <c r="B166" s="108" t="s">
        <v>1</v>
      </c>
      <c r="C166" s="110" t="s">
        <v>2</v>
      </c>
      <c r="D166" s="110" t="s">
        <v>3</v>
      </c>
      <c r="E166" s="110" t="s">
        <v>39</v>
      </c>
      <c r="F166" s="110" t="s">
        <v>5</v>
      </c>
      <c r="G166" s="39" t="s">
        <v>6</v>
      </c>
      <c r="H166" s="40"/>
      <c r="I166" s="40"/>
      <c r="J166" s="40"/>
      <c r="K166" s="40"/>
      <c r="L166" s="40"/>
      <c r="M166" s="40"/>
      <c r="N166" s="40"/>
      <c r="O166" s="41"/>
      <c r="P166" s="101" t="s">
        <v>7</v>
      </c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3"/>
      <c r="AF166" s="104" t="s">
        <v>8</v>
      </c>
      <c r="AG166" s="106" t="s">
        <v>9</v>
      </c>
      <c r="AH166" s="106" t="s">
        <v>10</v>
      </c>
    </row>
    <row r="167" spans="1:34" ht="41.25" customHeight="1" x14ac:dyDescent="0.25">
      <c r="A167" s="109"/>
      <c r="B167" s="109"/>
      <c r="C167" s="111"/>
      <c r="D167" s="111"/>
      <c r="E167" s="111"/>
      <c r="F167" s="111"/>
      <c r="G167" s="42" t="s">
        <v>11</v>
      </c>
      <c r="H167" s="42" t="s">
        <v>12</v>
      </c>
      <c r="I167" s="42" t="s">
        <v>13</v>
      </c>
      <c r="J167" s="42" t="s">
        <v>14</v>
      </c>
      <c r="K167" s="42" t="s">
        <v>15</v>
      </c>
      <c r="L167" s="42" t="s">
        <v>16</v>
      </c>
      <c r="M167" s="42" t="s">
        <v>17</v>
      </c>
      <c r="N167" s="42" t="s">
        <v>18</v>
      </c>
      <c r="O167" s="42" t="s">
        <v>19</v>
      </c>
      <c r="P167" s="4" t="s">
        <v>20</v>
      </c>
      <c r="Q167" s="4" t="s">
        <v>21</v>
      </c>
      <c r="R167" s="4" t="s">
        <v>22</v>
      </c>
      <c r="S167" s="4" t="s">
        <v>23</v>
      </c>
      <c r="T167" s="4" t="s">
        <v>24</v>
      </c>
      <c r="U167" s="4" t="s">
        <v>25</v>
      </c>
      <c r="V167" s="4" t="s">
        <v>26</v>
      </c>
      <c r="W167" s="4" t="s">
        <v>27</v>
      </c>
      <c r="X167" s="4" t="s">
        <v>28</v>
      </c>
      <c r="Y167" s="4" t="s">
        <v>29</v>
      </c>
      <c r="Z167" s="4" t="s">
        <v>30</v>
      </c>
      <c r="AA167" s="5" t="s">
        <v>31</v>
      </c>
      <c r="AB167" s="5" t="s">
        <v>32</v>
      </c>
      <c r="AC167" s="5" t="s">
        <v>33</v>
      </c>
      <c r="AD167" s="6" t="s">
        <v>34</v>
      </c>
      <c r="AE167" s="4" t="s">
        <v>35</v>
      </c>
      <c r="AF167" s="105"/>
      <c r="AG167" s="107"/>
      <c r="AH167" s="107"/>
    </row>
    <row r="168" spans="1:34" ht="21" x14ac:dyDescent="0.35">
      <c r="A168" s="43">
        <f>+التشغيل!A45</f>
        <v>0</v>
      </c>
      <c r="B168" s="44">
        <f>+التشغيل!B45</f>
        <v>0</v>
      </c>
      <c r="C168" s="45">
        <f>+التشغيل!C45</f>
        <v>0</v>
      </c>
      <c r="D168" s="45">
        <f>+التشغيل!D45</f>
        <v>0</v>
      </c>
      <c r="E168" s="45">
        <f>+التشغيل!E45</f>
        <v>0</v>
      </c>
      <c r="F168" s="46">
        <f>التشغيل!F45</f>
        <v>0</v>
      </c>
      <c r="G168" s="46">
        <f>التشغيل!G45</f>
        <v>0</v>
      </c>
      <c r="H168" s="46">
        <f>التشغيل!H45</f>
        <v>0</v>
      </c>
      <c r="I168" s="46">
        <f>التشغيل!I45</f>
        <v>0</v>
      </c>
      <c r="J168" s="46">
        <f>التشغيل!J45</f>
        <v>0</v>
      </c>
      <c r="K168" s="46">
        <f>التشغيل!K45</f>
        <v>0</v>
      </c>
      <c r="L168" s="46">
        <f>التشغيل!L45</f>
        <v>0</v>
      </c>
      <c r="M168" s="46">
        <f>التشغيل!M45</f>
        <v>0</v>
      </c>
      <c r="N168" s="46">
        <f>التشغيل!N45</f>
        <v>0</v>
      </c>
      <c r="O168" s="46">
        <f>التشغيل!O45</f>
        <v>0</v>
      </c>
      <c r="P168" s="46">
        <f>التشغيل!P45</f>
        <v>0</v>
      </c>
      <c r="Q168" s="46">
        <f>التشغيل!Q45</f>
        <v>0</v>
      </c>
      <c r="R168" s="47">
        <f>التشغيل!R45</f>
        <v>0</v>
      </c>
      <c r="S168" s="47">
        <f>التشغيل!S45</f>
        <v>0</v>
      </c>
      <c r="T168" s="46">
        <f>التشغيل!T45</f>
        <v>0</v>
      </c>
      <c r="U168" s="46">
        <f>التشغيل!U45</f>
        <v>0</v>
      </c>
      <c r="V168" s="46">
        <f>التشغيل!V45</f>
        <v>0</v>
      </c>
      <c r="W168" s="46">
        <f>التشغيل!W45</f>
        <v>0</v>
      </c>
      <c r="X168" s="46">
        <f>التشغيل!X45</f>
        <v>0</v>
      </c>
      <c r="Y168" s="46">
        <f>التشغيل!Y45</f>
        <v>0</v>
      </c>
      <c r="Z168" s="46">
        <f>التشغيل!Z45</f>
        <v>0</v>
      </c>
      <c r="AA168" s="46">
        <f>التشغيل!AA45</f>
        <v>0</v>
      </c>
      <c r="AB168" s="46">
        <f>التشغيل!AB45</f>
        <v>0</v>
      </c>
      <c r="AC168" s="46">
        <f>التشغيل!AC45</f>
        <v>0</v>
      </c>
      <c r="AD168" s="46">
        <f>التشغيل!AD45</f>
        <v>0</v>
      </c>
      <c r="AE168" s="46">
        <f>التشغيل!AE45</f>
        <v>0</v>
      </c>
      <c r="AF168" s="46">
        <f>التشغيل!AF45</f>
        <v>0</v>
      </c>
      <c r="AG168" s="46">
        <f>التشغيل!AG45</f>
        <v>0</v>
      </c>
      <c r="AH168" s="46">
        <f>التشغيل!AH45</f>
        <v>0</v>
      </c>
    </row>
    <row r="169" spans="1:34" ht="21" x14ac:dyDescent="0.35">
      <c r="A169" s="43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7"/>
      <c r="S169" s="4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15.75" x14ac:dyDescent="0.25">
      <c r="A170" s="108" t="s">
        <v>0</v>
      </c>
      <c r="B170" s="108" t="s">
        <v>1</v>
      </c>
      <c r="C170" s="110" t="s">
        <v>2</v>
      </c>
      <c r="D170" s="110" t="s">
        <v>3</v>
      </c>
      <c r="E170" s="110" t="s">
        <v>39</v>
      </c>
      <c r="F170" s="110" t="s">
        <v>5</v>
      </c>
      <c r="G170" s="39" t="s">
        <v>6</v>
      </c>
      <c r="H170" s="40"/>
      <c r="I170" s="40"/>
      <c r="J170" s="40"/>
      <c r="K170" s="40"/>
      <c r="L170" s="40"/>
      <c r="M170" s="40"/>
      <c r="N170" s="40"/>
      <c r="O170" s="41"/>
      <c r="P170" s="101" t="s">
        <v>7</v>
      </c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3"/>
      <c r="AF170" s="104" t="s">
        <v>8</v>
      </c>
      <c r="AG170" s="106" t="s">
        <v>9</v>
      </c>
      <c r="AH170" s="106" t="s">
        <v>10</v>
      </c>
    </row>
    <row r="171" spans="1:34" ht="41.25" customHeight="1" x14ac:dyDescent="0.25">
      <c r="A171" s="109"/>
      <c r="B171" s="109"/>
      <c r="C171" s="111"/>
      <c r="D171" s="111"/>
      <c r="E171" s="111"/>
      <c r="F171" s="111"/>
      <c r="G171" s="42" t="s">
        <v>11</v>
      </c>
      <c r="H171" s="42" t="s">
        <v>12</v>
      </c>
      <c r="I171" s="42" t="s">
        <v>13</v>
      </c>
      <c r="J171" s="42" t="s">
        <v>14</v>
      </c>
      <c r="K171" s="42" t="s">
        <v>15</v>
      </c>
      <c r="L171" s="42" t="s">
        <v>16</v>
      </c>
      <c r="M171" s="42" t="s">
        <v>17</v>
      </c>
      <c r="N171" s="42" t="s">
        <v>18</v>
      </c>
      <c r="O171" s="42" t="s">
        <v>19</v>
      </c>
      <c r="P171" s="4" t="s">
        <v>20</v>
      </c>
      <c r="Q171" s="4" t="s">
        <v>21</v>
      </c>
      <c r="R171" s="4" t="s">
        <v>22</v>
      </c>
      <c r="S171" s="4" t="s">
        <v>23</v>
      </c>
      <c r="T171" s="4" t="s">
        <v>24</v>
      </c>
      <c r="U171" s="4" t="s">
        <v>25</v>
      </c>
      <c r="V171" s="4" t="s">
        <v>26</v>
      </c>
      <c r="W171" s="4" t="s">
        <v>27</v>
      </c>
      <c r="X171" s="4" t="s">
        <v>28</v>
      </c>
      <c r="Y171" s="4" t="s">
        <v>29</v>
      </c>
      <c r="Z171" s="4" t="s">
        <v>30</v>
      </c>
      <c r="AA171" s="5" t="s">
        <v>31</v>
      </c>
      <c r="AB171" s="5" t="s">
        <v>32</v>
      </c>
      <c r="AC171" s="5" t="s">
        <v>33</v>
      </c>
      <c r="AD171" s="6" t="s">
        <v>34</v>
      </c>
      <c r="AE171" s="4" t="s">
        <v>35</v>
      </c>
      <c r="AF171" s="105"/>
      <c r="AG171" s="107"/>
      <c r="AH171" s="107"/>
    </row>
    <row r="172" spans="1:34" ht="21" x14ac:dyDescent="0.35">
      <c r="A172" s="43">
        <f>+التشغيل!A46</f>
        <v>0</v>
      </c>
      <c r="B172" s="44">
        <f>+التشغيل!B46</f>
        <v>0</v>
      </c>
      <c r="C172" s="45">
        <f>+التشغيل!C46</f>
        <v>0</v>
      </c>
      <c r="D172" s="45">
        <f>+التشغيل!D46</f>
        <v>0</v>
      </c>
      <c r="E172" s="45">
        <f>+التشغيل!E46</f>
        <v>0</v>
      </c>
      <c r="F172" s="46">
        <f>التشغيل!F46</f>
        <v>0</v>
      </c>
      <c r="G172" s="46">
        <f>التشغيل!G46</f>
        <v>0</v>
      </c>
      <c r="H172" s="46">
        <f>التشغيل!H46</f>
        <v>0</v>
      </c>
      <c r="I172" s="46">
        <f>التشغيل!I46</f>
        <v>0</v>
      </c>
      <c r="J172" s="46">
        <f>التشغيل!J46</f>
        <v>0</v>
      </c>
      <c r="K172" s="46">
        <f>التشغيل!K46</f>
        <v>0</v>
      </c>
      <c r="L172" s="46">
        <f>التشغيل!L46</f>
        <v>0</v>
      </c>
      <c r="M172" s="46">
        <f>التشغيل!M46</f>
        <v>0</v>
      </c>
      <c r="N172" s="46">
        <f>التشغيل!N46</f>
        <v>0</v>
      </c>
      <c r="O172" s="46">
        <f>التشغيل!O46</f>
        <v>0</v>
      </c>
      <c r="P172" s="46">
        <f>التشغيل!P46</f>
        <v>0</v>
      </c>
      <c r="Q172" s="46">
        <f>التشغيل!Q46</f>
        <v>0</v>
      </c>
      <c r="R172" s="47">
        <f>التشغيل!R46</f>
        <v>0</v>
      </c>
      <c r="S172" s="47"/>
      <c r="T172" s="46">
        <f>التشغيل!T46</f>
        <v>0</v>
      </c>
      <c r="U172" s="46">
        <f>التشغيل!U46</f>
        <v>0</v>
      </c>
      <c r="V172" s="46">
        <f>التشغيل!V46</f>
        <v>0</v>
      </c>
      <c r="W172" s="46">
        <f>التشغيل!W46</f>
        <v>0</v>
      </c>
      <c r="X172" s="46">
        <f>التشغيل!X46</f>
        <v>0</v>
      </c>
      <c r="Y172" s="46">
        <f>التشغيل!Y46</f>
        <v>0</v>
      </c>
      <c r="Z172" s="46">
        <f>التشغيل!Z46</f>
        <v>0</v>
      </c>
      <c r="AA172" s="46">
        <f>التشغيل!AA46</f>
        <v>0</v>
      </c>
      <c r="AB172" s="46">
        <f>التشغيل!AB46</f>
        <v>0</v>
      </c>
      <c r="AC172" s="46">
        <f>التشغيل!AC46</f>
        <v>0</v>
      </c>
      <c r="AD172" s="46">
        <f>التشغيل!AD46</f>
        <v>0</v>
      </c>
      <c r="AE172" s="46">
        <f>التشغيل!AE46</f>
        <v>0</v>
      </c>
      <c r="AF172" s="46">
        <f>التشغيل!AF46</f>
        <v>0</v>
      </c>
      <c r="AG172" s="46">
        <f>التشغيل!AG46</f>
        <v>0</v>
      </c>
      <c r="AH172" s="46">
        <f>التشغيل!AH46</f>
        <v>0</v>
      </c>
    </row>
    <row r="173" spans="1:34" ht="21" x14ac:dyDescent="0.35">
      <c r="A173" s="43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15.75" x14ac:dyDescent="0.25">
      <c r="A174" s="108" t="s">
        <v>0</v>
      </c>
      <c r="B174" s="108" t="s">
        <v>1</v>
      </c>
      <c r="C174" s="110" t="s">
        <v>2</v>
      </c>
      <c r="D174" s="110" t="s">
        <v>3</v>
      </c>
      <c r="E174" s="110" t="s">
        <v>39</v>
      </c>
      <c r="F174" s="110" t="s">
        <v>5</v>
      </c>
      <c r="G174" s="39" t="s">
        <v>6</v>
      </c>
      <c r="H174" s="40"/>
      <c r="I174" s="40"/>
      <c r="J174" s="40"/>
      <c r="K174" s="40"/>
      <c r="L174" s="40"/>
      <c r="M174" s="40"/>
      <c r="N174" s="40"/>
      <c r="O174" s="41"/>
      <c r="P174" s="101" t="s">
        <v>7</v>
      </c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3"/>
      <c r="AF174" s="104" t="s">
        <v>8</v>
      </c>
      <c r="AG174" s="106" t="s">
        <v>9</v>
      </c>
      <c r="AH174" s="106" t="s">
        <v>10</v>
      </c>
    </row>
    <row r="175" spans="1:34" ht="41.25" customHeight="1" x14ac:dyDescent="0.25">
      <c r="A175" s="109"/>
      <c r="B175" s="109"/>
      <c r="C175" s="111"/>
      <c r="D175" s="111"/>
      <c r="E175" s="111"/>
      <c r="F175" s="111"/>
      <c r="G175" s="42" t="s">
        <v>11</v>
      </c>
      <c r="H175" s="42" t="s">
        <v>12</v>
      </c>
      <c r="I175" s="42" t="s">
        <v>13</v>
      </c>
      <c r="J175" s="42" t="s">
        <v>14</v>
      </c>
      <c r="K175" s="42" t="s">
        <v>15</v>
      </c>
      <c r="L175" s="42" t="s">
        <v>16</v>
      </c>
      <c r="M175" s="42" t="s">
        <v>17</v>
      </c>
      <c r="N175" s="42" t="s">
        <v>18</v>
      </c>
      <c r="O175" s="42" t="s">
        <v>19</v>
      </c>
      <c r="P175" s="4" t="s">
        <v>20</v>
      </c>
      <c r="Q175" s="4" t="s">
        <v>21</v>
      </c>
      <c r="R175" s="4" t="s">
        <v>22</v>
      </c>
      <c r="S175" s="4" t="s">
        <v>23</v>
      </c>
      <c r="T175" s="4" t="s">
        <v>24</v>
      </c>
      <c r="U175" s="4" t="s">
        <v>25</v>
      </c>
      <c r="V175" s="4" t="s">
        <v>26</v>
      </c>
      <c r="W175" s="4" t="s">
        <v>27</v>
      </c>
      <c r="X175" s="4" t="s">
        <v>28</v>
      </c>
      <c r="Y175" s="4" t="s">
        <v>29</v>
      </c>
      <c r="Z175" s="4" t="s">
        <v>30</v>
      </c>
      <c r="AA175" s="5" t="s">
        <v>31</v>
      </c>
      <c r="AB175" s="5" t="s">
        <v>32</v>
      </c>
      <c r="AC175" s="5" t="s">
        <v>33</v>
      </c>
      <c r="AD175" s="6" t="s">
        <v>34</v>
      </c>
      <c r="AE175" s="4" t="s">
        <v>35</v>
      </c>
      <c r="AF175" s="105"/>
      <c r="AG175" s="107"/>
      <c r="AH175" s="107"/>
    </row>
    <row r="176" spans="1:34" ht="21" x14ac:dyDescent="0.35">
      <c r="A176" s="43">
        <f>+التشغيل!A47</f>
        <v>0</v>
      </c>
      <c r="B176" s="44">
        <f>+التشغيل!B47</f>
        <v>0</v>
      </c>
      <c r="C176" s="45">
        <f>+التشغيل!C47</f>
        <v>0</v>
      </c>
      <c r="D176" s="45">
        <f>+التشغيل!D47</f>
        <v>0</v>
      </c>
      <c r="E176" s="45">
        <f>+التشغيل!E47</f>
        <v>0</v>
      </c>
      <c r="F176" s="46">
        <f>التشغيل!F47</f>
        <v>0</v>
      </c>
      <c r="G176" s="46">
        <f>التشغيل!G47</f>
        <v>0</v>
      </c>
      <c r="H176" s="46">
        <f>التشغيل!H47</f>
        <v>0</v>
      </c>
      <c r="I176" s="46">
        <f>التشغيل!I47</f>
        <v>0</v>
      </c>
      <c r="J176" s="46">
        <f>التشغيل!J47</f>
        <v>0</v>
      </c>
      <c r="K176" s="46">
        <f>التشغيل!K47</f>
        <v>0</v>
      </c>
      <c r="L176" s="46">
        <f>التشغيل!L47</f>
        <v>0</v>
      </c>
      <c r="M176" s="46">
        <f>التشغيل!M47</f>
        <v>0</v>
      </c>
      <c r="N176" s="46">
        <f>التشغيل!N47</f>
        <v>0</v>
      </c>
      <c r="O176" s="46">
        <f>التشغيل!O47</f>
        <v>0</v>
      </c>
      <c r="P176" s="46">
        <f>التشغيل!P47</f>
        <v>0</v>
      </c>
      <c r="Q176" s="46">
        <f>التشغيل!Q47</f>
        <v>0</v>
      </c>
      <c r="R176" s="47">
        <f>التشغيل!R47</f>
        <v>0</v>
      </c>
      <c r="S176" s="47">
        <f>التشغيل!S47</f>
        <v>0</v>
      </c>
      <c r="T176" s="46">
        <f>التشغيل!T47</f>
        <v>0</v>
      </c>
      <c r="U176" s="46">
        <f>التشغيل!U47</f>
        <v>0</v>
      </c>
      <c r="V176" s="46">
        <f>التشغيل!V47</f>
        <v>0</v>
      </c>
      <c r="W176" s="46">
        <f>التشغيل!W47</f>
        <v>0</v>
      </c>
      <c r="X176" s="46">
        <f>التشغيل!X47</f>
        <v>0</v>
      </c>
      <c r="Y176" s="46">
        <f>التشغيل!Y47</f>
        <v>0</v>
      </c>
      <c r="Z176" s="46">
        <f>التشغيل!Z47</f>
        <v>0</v>
      </c>
      <c r="AA176" s="46">
        <f>التشغيل!AA47</f>
        <v>0</v>
      </c>
      <c r="AB176" s="46">
        <f>التشغيل!AB47</f>
        <v>0</v>
      </c>
      <c r="AC176" s="46">
        <f>التشغيل!AC47</f>
        <v>0</v>
      </c>
      <c r="AD176" s="46">
        <f>التشغيل!AD47</f>
        <v>0</v>
      </c>
      <c r="AE176" s="46">
        <f>التشغيل!AE47</f>
        <v>0</v>
      </c>
      <c r="AF176" s="46">
        <f>التشغيل!AF47</f>
        <v>0</v>
      </c>
      <c r="AG176" s="46">
        <f>التشغيل!AG47</f>
        <v>0</v>
      </c>
      <c r="AH176" s="46">
        <f>التشغيل!AH47</f>
        <v>0</v>
      </c>
    </row>
    <row r="177" spans="1:34" ht="21" x14ac:dyDescent="0.35">
      <c r="A177" s="43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7"/>
      <c r="S177" s="47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15.75" x14ac:dyDescent="0.25">
      <c r="A178" s="108" t="s">
        <v>0</v>
      </c>
      <c r="B178" s="108" t="s">
        <v>1</v>
      </c>
      <c r="C178" s="110" t="s">
        <v>2</v>
      </c>
      <c r="D178" s="110" t="s">
        <v>3</v>
      </c>
      <c r="E178" s="110" t="s">
        <v>39</v>
      </c>
      <c r="F178" s="110" t="s">
        <v>5</v>
      </c>
      <c r="G178" s="39" t="s">
        <v>6</v>
      </c>
      <c r="H178" s="40"/>
      <c r="I178" s="40"/>
      <c r="J178" s="40"/>
      <c r="K178" s="40"/>
      <c r="L178" s="40"/>
      <c r="M178" s="40"/>
      <c r="N178" s="40"/>
      <c r="O178" s="41"/>
      <c r="P178" s="101" t="s">
        <v>7</v>
      </c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3"/>
      <c r="AF178" s="104" t="s">
        <v>8</v>
      </c>
      <c r="AG178" s="106" t="s">
        <v>9</v>
      </c>
      <c r="AH178" s="106" t="s">
        <v>10</v>
      </c>
    </row>
    <row r="179" spans="1:34" ht="41.25" customHeight="1" x14ac:dyDescent="0.25">
      <c r="A179" s="109"/>
      <c r="B179" s="109"/>
      <c r="C179" s="111"/>
      <c r="D179" s="111"/>
      <c r="E179" s="111"/>
      <c r="F179" s="111"/>
      <c r="G179" s="42" t="s">
        <v>11</v>
      </c>
      <c r="H179" s="42" t="s">
        <v>12</v>
      </c>
      <c r="I179" s="42" t="s">
        <v>13</v>
      </c>
      <c r="J179" s="42" t="s">
        <v>14</v>
      </c>
      <c r="K179" s="42" t="s">
        <v>15</v>
      </c>
      <c r="L179" s="42" t="s">
        <v>16</v>
      </c>
      <c r="M179" s="42" t="s">
        <v>17</v>
      </c>
      <c r="N179" s="42" t="s">
        <v>18</v>
      </c>
      <c r="O179" s="42" t="s">
        <v>19</v>
      </c>
      <c r="P179" s="4" t="s">
        <v>20</v>
      </c>
      <c r="Q179" s="4" t="s">
        <v>21</v>
      </c>
      <c r="R179" s="4" t="s">
        <v>22</v>
      </c>
      <c r="S179" s="4" t="s">
        <v>23</v>
      </c>
      <c r="T179" s="4" t="s">
        <v>24</v>
      </c>
      <c r="U179" s="4" t="s">
        <v>25</v>
      </c>
      <c r="V179" s="4" t="s">
        <v>26</v>
      </c>
      <c r="W179" s="4" t="s">
        <v>27</v>
      </c>
      <c r="X179" s="4" t="s">
        <v>28</v>
      </c>
      <c r="Y179" s="4" t="s">
        <v>29</v>
      </c>
      <c r="Z179" s="4" t="s">
        <v>30</v>
      </c>
      <c r="AA179" s="5" t="s">
        <v>31</v>
      </c>
      <c r="AB179" s="5" t="s">
        <v>32</v>
      </c>
      <c r="AC179" s="5" t="s">
        <v>33</v>
      </c>
      <c r="AD179" s="6" t="s">
        <v>34</v>
      </c>
      <c r="AE179" s="4" t="s">
        <v>35</v>
      </c>
      <c r="AF179" s="105"/>
      <c r="AG179" s="107"/>
      <c r="AH179" s="107"/>
    </row>
    <row r="180" spans="1:34" ht="21" x14ac:dyDescent="0.35">
      <c r="A180" s="43">
        <f>+التشغيل!A48</f>
        <v>0</v>
      </c>
      <c r="B180" s="44">
        <f>+التشغيل!B48</f>
        <v>0</v>
      </c>
      <c r="C180" s="45">
        <f>+التشغيل!C48</f>
        <v>0</v>
      </c>
      <c r="D180" s="45">
        <f>+التشغيل!D48</f>
        <v>0</v>
      </c>
      <c r="E180" s="45">
        <f>+التشغيل!E48</f>
        <v>0</v>
      </c>
      <c r="F180" s="46">
        <f>التشغيل!F48</f>
        <v>0</v>
      </c>
      <c r="G180" s="46">
        <f>التشغيل!G48</f>
        <v>0</v>
      </c>
      <c r="H180" s="46">
        <f>التشغيل!H48</f>
        <v>0</v>
      </c>
      <c r="I180" s="46">
        <f>التشغيل!I48</f>
        <v>0</v>
      </c>
      <c r="J180" s="46">
        <f>التشغيل!J48</f>
        <v>0</v>
      </c>
      <c r="K180" s="46">
        <f>التشغيل!K48</f>
        <v>0</v>
      </c>
      <c r="L180" s="46">
        <f>التشغيل!L48</f>
        <v>0</v>
      </c>
      <c r="M180" s="46">
        <f>التشغيل!M48</f>
        <v>0</v>
      </c>
      <c r="N180" s="46">
        <f>التشغيل!N48</f>
        <v>0</v>
      </c>
      <c r="O180" s="46">
        <f>التشغيل!O48</f>
        <v>0</v>
      </c>
      <c r="P180" s="46">
        <f>التشغيل!P48</f>
        <v>0</v>
      </c>
      <c r="Q180" s="46">
        <f>التشغيل!Q48</f>
        <v>0</v>
      </c>
      <c r="R180" s="47">
        <f>التشغيل!R48</f>
        <v>0</v>
      </c>
      <c r="S180" s="47">
        <f>التشغيل!S48</f>
        <v>0</v>
      </c>
      <c r="T180" s="46">
        <f>التشغيل!T48</f>
        <v>0</v>
      </c>
      <c r="U180" s="46">
        <f>التشغيل!U48</f>
        <v>0</v>
      </c>
      <c r="V180" s="46">
        <f>التشغيل!V48</f>
        <v>0</v>
      </c>
      <c r="W180" s="46">
        <f>التشغيل!W48</f>
        <v>0</v>
      </c>
      <c r="X180" s="46">
        <f>التشغيل!X48</f>
        <v>0</v>
      </c>
      <c r="Y180" s="46">
        <f>التشغيل!Y48</f>
        <v>0</v>
      </c>
      <c r="Z180" s="46">
        <f>التشغيل!Z48</f>
        <v>0</v>
      </c>
      <c r="AA180" s="46">
        <f>التشغيل!AA48</f>
        <v>0</v>
      </c>
      <c r="AB180" s="46">
        <f>التشغيل!AB48</f>
        <v>0</v>
      </c>
      <c r="AC180" s="46">
        <f>التشغيل!AC48</f>
        <v>0</v>
      </c>
      <c r="AD180" s="46">
        <f>التشغيل!AD48</f>
        <v>0</v>
      </c>
      <c r="AE180" s="46">
        <f>التشغيل!AE48</f>
        <v>0</v>
      </c>
      <c r="AF180" s="46">
        <f>التشغيل!AF48</f>
        <v>0</v>
      </c>
      <c r="AG180" s="46">
        <f>التشغيل!AG48</f>
        <v>0</v>
      </c>
      <c r="AH180" s="46">
        <f>التشغيل!AH48</f>
        <v>0</v>
      </c>
    </row>
    <row r="181" spans="1:34" ht="21" x14ac:dyDescent="0.35">
      <c r="A181" s="43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15.75" x14ac:dyDescent="0.25">
      <c r="A182" s="108" t="s">
        <v>0</v>
      </c>
      <c r="B182" s="108" t="s">
        <v>1</v>
      </c>
      <c r="C182" s="110" t="s">
        <v>2</v>
      </c>
      <c r="D182" s="110" t="s">
        <v>3</v>
      </c>
      <c r="E182" s="110" t="s">
        <v>39</v>
      </c>
      <c r="F182" s="110" t="s">
        <v>5</v>
      </c>
      <c r="G182" s="39" t="s">
        <v>6</v>
      </c>
      <c r="H182" s="40"/>
      <c r="I182" s="40"/>
      <c r="J182" s="40"/>
      <c r="K182" s="40"/>
      <c r="L182" s="40"/>
      <c r="M182" s="40"/>
      <c r="N182" s="40"/>
      <c r="O182" s="41"/>
      <c r="P182" s="101" t="s">
        <v>7</v>
      </c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3"/>
      <c r="AF182" s="104" t="s">
        <v>8</v>
      </c>
      <c r="AG182" s="106" t="s">
        <v>9</v>
      </c>
      <c r="AH182" s="106" t="s">
        <v>10</v>
      </c>
    </row>
    <row r="183" spans="1:34" ht="41.25" customHeight="1" x14ac:dyDescent="0.25">
      <c r="A183" s="109"/>
      <c r="B183" s="109"/>
      <c r="C183" s="111"/>
      <c r="D183" s="111"/>
      <c r="E183" s="111"/>
      <c r="F183" s="111"/>
      <c r="G183" s="42" t="s">
        <v>11</v>
      </c>
      <c r="H183" s="42" t="s">
        <v>12</v>
      </c>
      <c r="I183" s="42" t="s">
        <v>13</v>
      </c>
      <c r="J183" s="42" t="s">
        <v>14</v>
      </c>
      <c r="K183" s="42" t="s">
        <v>15</v>
      </c>
      <c r="L183" s="42" t="s">
        <v>16</v>
      </c>
      <c r="M183" s="42" t="s">
        <v>17</v>
      </c>
      <c r="N183" s="42" t="s">
        <v>18</v>
      </c>
      <c r="O183" s="42" t="s">
        <v>19</v>
      </c>
      <c r="P183" s="4" t="s">
        <v>20</v>
      </c>
      <c r="Q183" s="4" t="s">
        <v>21</v>
      </c>
      <c r="R183" s="4" t="s">
        <v>22</v>
      </c>
      <c r="S183" s="4" t="s">
        <v>23</v>
      </c>
      <c r="T183" s="4" t="s">
        <v>24</v>
      </c>
      <c r="U183" s="4" t="s">
        <v>25</v>
      </c>
      <c r="V183" s="4" t="s">
        <v>26</v>
      </c>
      <c r="W183" s="4" t="s">
        <v>27</v>
      </c>
      <c r="X183" s="4" t="s">
        <v>28</v>
      </c>
      <c r="Y183" s="4" t="s">
        <v>29</v>
      </c>
      <c r="Z183" s="4" t="s">
        <v>30</v>
      </c>
      <c r="AA183" s="5" t="s">
        <v>31</v>
      </c>
      <c r="AB183" s="5" t="s">
        <v>32</v>
      </c>
      <c r="AC183" s="5" t="s">
        <v>33</v>
      </c>
      <c r="AD183" s="6" t="s">
        <v>34</v>
      </c>
      <c r="AE183" s="4" t="s">
        <v>35</v>
      </c>
      <c r="AF183" s="105"/>
      <c r="AG183" s="107"/>
      <c r="AH183" s="107"/>
    </row>
    <row r="184" spans="1:34" ht="21" x14ac:dyDescent="0.35">
      <c r="A184" s="43">
        <f>+التشغيل!A49</f>
        <v>0</v>
      </c>
      <c r="B184" s="44">
        <f>+التشغيل!B49</f>
        <v>0</v>
      </c>
      <c r="C184" s="45">
        <f>+التشغيل!C49</f>
        <v>0</v>
      </c>
      <c r="D184" s="45">
        <f>+التشغيل!D49</f>
        <v>0</v>
      </c>
      <c r="E184" s="45">
        <f>+التشغيل!E49</f>
        <v>0</v>
      </c>
      <c r="F184" s="46">
        <f>التشغيل!F49</f>
        <v>0</v>
      </c>
      <c r="G184" s="46">
        <f>التشغيل!G49</f>
        <v>0</v>
      </c>
      <c r="H184" s="46">
        <f>التشغيل!H49</f>
        <v>0</v>
      </c>
      <c r="I184" s="46">
        <f>التشغيل!I49</f>
        <v>0</v>
      </c>
      <c r="J184" s="46">
        <f>التشغيل!J49</f>
        <v>0</v>
      </c>
      <c r="K184" s="46">
        <f>التشغيل!K49</f>
        <v>0</v>
      </c>
      <c r="L184" s="46">
        <f>التشغيل!L49</f>
        <v>0</v>
      </c>
      <c r="M184" s="46">
        <f>التشغيل!M49</f>
        <v>0</v>
      </c>
      <c r="N184" s="46">
        <f>التشغيل!N49</f>
        <v>0</v>
      </c>
      <c r="O184" s="46">
        <f>التشغيل!O49</f>
        <v>0</v>
      </c>
      <c r="P184" s="46">
        <f>التشغيل!P49</f>
        <v>0</v>
      </c>
      <c r="Q184" s="46">
        <f>التشغيل!Q49</f>
        <v>0</v>
      </c>
      <c r="R184" s="47">
        <f>التشغيل!R49</f>
        <v>0</v>
      </c>
      <c r="S184" s="47">
        <f>التشغيل!S49</f>
        <v>0</v>
      </c>
      <c r="T184" s="46">
        <f>التشغيل!T49</f>
        <v>0</v>
      </c>
      <c r="U184" s="46">
        <f>التشغيل!U49</f>
        <v>0</v>
      </c>
      <c r="V184" s="46">
        <f>التشغيل!V49</f>
        <v>0</v>
      </c>
      <c r="W184" s="46">
        <f>التشغيل!W49</f>
        <v>0</v>
      </c>
      <c r="X184" s="46">
        <f>التشغيل!X49</f>
        <v>0</v>
      </c>
      <c r="Y184" s="46">
        <f>التشغيل!Y49</f>
        <v>0</v>
      </c>
      <c r="Z184" s="46">
        <f>التشغيل!Z49</f>
        <v>0</v>
      </c>
      <c r="AA184" s="46">
        <f>التشغيل!AA49</f>
        <v>0</v>
      </c>
      <c r="AB184" s="46">
        <f>التشغيل!AB49</f>
        <v>0</v>
      </c>
      <c r="AC184" s="46">
        <f>التشغيل!AC49</f>
        <v>0</v>
      </c>
      <c r="AD184" s="46">
        <f>التشغيل!AD49</f>
        <v>0</v>
      </c>
      <c r="AE184" s="46">
        <f>التشغيل!AE49</f>
        <v>0</v>
      </c>
      <c r="AF184" s="46">
        <f>التشغيل!AF49</f>
        <v>0</v>
      </c>
      <c r="AG184" s="46">
        <f>التشغيل!AG49</f>
        <v>0</v>
      </c>
      <c r="AH184" s="46">
        <f>التشغيل!AH49</f>
        <v>0</v>
      </c>
    </row>
    <row r="185" spans="1:34" ht="21" x14ac:dyDescent="0.35">
      <c r="A185" s="43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7"/>
      <c r="S185" s="47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15.75" x14ac:dyDescent="0.25">
      <c r="A186" s="108" t="s">
        <v>0</v>
      </c>
      <c r="B186" s="108" t="s">
        <v>1</v>
      </c>
      <c r="C186" s="110" t="s">
        <v>2</v>
      </c>
      <c r="D186" s="110" t="s">
        <v>3</v>
      </c>
      <c r="E186" s="110" t="s">
        <v>39</v>
      </c>
      <c r="F186" s="110" t="s">
        <v>5</v>
      </c>
      <c r="G186" s="39" t="s">
        <v>6</v>
      </c>
      <c r="H186" s="40"/>
      <c r="I186" s="40"/>
      <c r="J186" s="40"/>
      <c r="K186" s="40"/>
      <c r="L186" s="40"/>
      <c r="M186" s="40"/>
      <c r="N186" s="40"/>
      <c r="O186" s="41"/>
      <c r="P186" s="101" t="s">
        <v>7</v>
      </c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3"/>
      <c r="AF186" s="104" t="s">
        <v>8</v>
      </c>
      <c r="AG186" s="106" t="s">
        <v>9</v>
      </c>
      <c r="AH186" s="106" t="s">
        <v>10</v>
      </c>
    </row>
    <row r="187" spans="1:34" ht="41.25" customHeight="1" x14ac:dyDescent="0.25">
      <c r="A187" s="109"/>
      <c r="B187" s="109"/>
      <c r="C187" s="111"/>
      <c r="D187" s="111"/>
      <c r="E187" s="111"/>
      <c r="F187" s="111"/>
      <c r="G187" s="42" t="s">
        <v>11</v>
      </c>
      <c r="H187" s="42" t="s">
        <v>12</v>
      </c>
      <c r="I187" s="42" t="s">
        <v>13</v>
      </c>
      <c r="J187" s="42" t="s">
        <v>14</v>
      </c>
      <c r="K187" s="42" t="s">
        <v>15</v>
      </c>
      <c r="L187" s="42" t="s">
        <v>16</v>
      </c>
      <c r="M187" s="42" t="s">
        <v>17</v>
      </c>
      <c r="N187" s="42" t="s">
        <v>18</v>
      </c>
      <c r="O187" s="42" t="s">
        <v>19</v>
      </c>
      <c r="P187" s="4" t="s">
        <v>20</v>
      </c>
      <c r="Q187" s="4" t="s">
        <v>21</v>
      </c>
      <c r="R187" s="4" t="s">
        <v>22</v>
      </c>
      <c r="S187" s="4" t="s">
        <v>23</v>
      </c>
      <c r="T187" s="4" t="s">
        <v>24</v>
      </c>
      <c r="U187" s="4" t="s">
        <v>25</v>
      </c>
      <c r="V187" s="4" t="s">
        <v>26</v>
      </c>
      <c r="W187" s="4" t="s">
        <v>27</v>
      </c>
      <c r="X187" s="4" t="s">
        <v>28</v>
      </c>
      <c r="Y187" s="4" t="s">
        <v>29</v>
      </c>
      <c r="Z187" s="4" t="s">
        <v>30</v>
      </c>
      <c r="AA187" s="5" t="s">
        <v>31</v>
      </c>
      <c r="AB187" s="5" t="s">
        <v>32</v>
      </c>
      <c r="AC187" s="5" t="s">
        <v>33</v>
      </c>
      <c r="AD187" s="6" t="s">
        <v>34</v>
      </c>
      <c r="AE187" s="4" t="s">
        <v>35</v>
      </c>
      <c r="AF187" s="105"/>
      <c r="AG187" s="107"/>
      <c r="AH187" s="107"/>
    </row>
    <row r="188" spans="1:34" ht="21" x14ac:dyDescent="0.35">
      <c r="A188" s="43">
        <f>+التشغيل!A50</f>
        <v>0</v>
      </c>
      <c r="B188" s="44">
        <f>+التشغيل!B50</f>
        <v>0</v>
      </c>
      <c r="C188" s="45">
        <f>+التشغيل!C50</f>
        <v>0</v>
      </c>
      <c r="D188" s="45">
        <f>+التشغيل!D50</f>
        <v>0</v>
      </c>
      <c r="E188" s="45">
        <f>+التشغيل!E50</f>
        <v>0</v>
      </c>
      <c r="F188" s="46">
        <f>التشغيل!F50</f>
        <v>0</v>
      </c>
      <c r="G188" s="46">
        <f>التشغيل!G50</f>
        <v>0</v>
      </c>
      <c r="H188" s="46">
        <f>التشغيل!H50</f>
        <v>0</v>
      </c>
      <c r="I188" s="46">
        <f>التشغيل!I50</f>
        <v>0</v>
      </c>
      <c r="J188" s="46">
        <f>التشغيل!J50</f>
        <v>0</v>
      </c>
      <c r="K188" s="46">
        <f>التشغيل!K50</f>
        <v>0</v>
      </c>
      <c r="L188" s="46">
        <f>التشغيل!L50</f>
        <v>0</v>
      </c>
      <c r="M188" s="46">
        <f>التشغيل!M50</f>
        <v>0</v>
      </c>
      <c r="N188" s="46">
        <f>التشغيل!N50</f>
        <v>0</v>
      </c>
      <c r="O188" s="46">
        <f>التشغيل!O50</f>
        <v>0</v>
      </c>
      <c r="P188" s="46">
        <f>التشغيل!P50</f>
        <v>0</v>
      </c>
      <c r="Q188" s="46">
        <f>التشغيل!Q50</f>
        <v>0</v>
      </c>
      <c r="R188" s="47">
        <f>التشغيل!R50</f>
        <v>0</v>
      </c>
      <c r="S188" s="47">
        <f>التشغيل!S50</f>
        <v>0</v>
      </c>
      <c r="T188" s="46">
        <f>التشغيل!T50</f>
        <v>0</v>
      </c>
      <c r="U188" s="46">
        <f>التشغيل!U50</f>
        <v>0</v>
      </c>
      <c r="V188" s="46">
        <f>التشغيل!V50</f>
        <v>0</v>
      </c>
      <c r="W188" s="46">
        <f>التشغيل!W50</f>
        <v>0</v>
      </c>
      <c r="X188" s="46">
        <f>التشغيل!X50</f>
        <v>0</v>
      </c>
      <c r="Y188" s="46">
        <f>التشغيل!Y50</f>
        <v>0</v>
      </c>
      <c r="Z188" s="46">
        <f>التشغيل!Z50</f>
        <v>0</v>
      </c>
      <c r="AA188" s="46">
        <f>التشغيل!AA50</f>
        <v>0</v>
      </c>
      <c r="AB188" s="46">
        <f>التشغيل!AB50</f>
        <v>0</v>
      </c>
      <c r="AC188" s="46">
        <f>التشغيل!AC50</f>
        <v>0</v>
      </c>
      <c r="AD188" s="46">
        <f>التشغيل!AD50</f>
        <v>0</v>
      </c>
      <c r="AE188" s="46">
        <f>التشغيل!AE50</f>
        <v>0</v>
      </c>
      <c r="AF188" s="46">
        <f>التشغيل!AF50</f>
        <v>0</v>
      </c>
      <c r="AG188" s="46">
        <f>التشغيل!AG50</f>
        <v>0</v>
      </c>
      <c r="AH188" s="46">
        <f>التشغيل!AH50</f>
        <v>0</v>
      </c>
    </row>
    <row r="189" spans="1:34" ht="21" x14ac:dyDescent="0.35">
      <c r="A189" s="43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15.75" x14ac:dyDescent="0.25">
      <c r="A190" s="108" t="s">
        <v>0</v>
      </c>
      <c r="B190" s="108" t="s">
        <v>1</v>
      </c>
      <c r="C190" s="110" t="s">
        <v>2</v>
      </c>
      <c r="D190" s="110" t="s">
        <v>3</v>
      </c>
      <c r="E190" s="110" t="s">
        <v>39</v>
      </c>
      <c r="F190" s="110" t="s">
        <v>5</v>
      </c>
      <c r="G190" s="39" t="s">
        <v>6</v>
      </c>
      <c r="H190" s="40"/>
      <c r="I190" s="40"/>
      <c r="J190" s="40"/>
      <c r="K190" s="40"/>
      <c r="L190" s="40"/>
      <c r="M190" s="40"/>
      <c r="N190" s="40"/>
      <c r="O190" s="41"/>
      <c r="P190" s="101" t="s">
        <v>7</v>
      </c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3"/>
      <c r="AF190" s="104" t="s">
        <v>8</v>
      </c>
      <c r="AG190" s="106" t="s">
        <v>9</v>
      </c>
      <c r="AH190" s="106" t="s">
        <v>10</v>
      </c>
    </row>
    <row r="191" spans="1:34" ht="41.25" customHeight="1" x14ac:dyDescent="0.25">
      <c r="A191" s="109"/>
      <c r="B191" s="109"/>
      <c r="C191" s="111"/>
      <c r="D191" s="111"/>
      <c r="E191" s="111"/>
      <c r="F191" s="111"/>
      <c r="G191" s="42" t="s">
        <v>11</v>
      </c>
      <c r="H191" s="42" t="s">
        <v>12</v>
      </c>
      <c r="I191" s="42" t="s">
        <v>13</v>
      </c>
      <c r="J191" s="42" t="s">
        <v>14</v>
      </c>
      <c r="K191" s="42" t="s">
        <v>15</v>
      </c>
      <c r="L191" s="42" t="s">
        <v>16</v>
      </c>
      <c r="M191" s="42" t="s">
        <v>17</v>
      </c>
      <c r="N191" s="42" t="s">
        <v>18</v>
      </c>
      <c r="O191" s="42" t="s">
        <v>19</v>
      </c>
      <c r="P191" s="4" t="s">
        <v>20</v>
      </c>
      <c r="Q191" s="4" t="s">
        <v>21</v>
      </c>
      <c r="R191" s="4" t="s">
        <v>22</v>
      </c>
      <c r="S191" s="4" t="s">
        <v>23</v>
      </c>
      <c r="T191" s="4" t="s">
        <v>24</v>
      </c>
      <c r="U191" s="4" t="s">
        <v>25</v>
      </c>
      <c r="V191" s="4" t="s">
        <v>26</v>
      </c>
      <c r="W191" s="4" t="s">
        <v>27</v>
      </c>
      <c r="X191" s="4" t="s">
        <v>28</v>
      </c>
      <c r="Y191" s="4" t="s">
        <v>29</v>
      </c>
      <c r="Z191" s="4" t="s">
        <v>30</v>
      </c>
      <c r="AA191" s="5" t="s">
        <v>31</v>
      </c>
      <c r="AB191" s="5" t="s">
        <v>32</v>
      </c>
      <c r="AC191" s="5" t="s">
        <v>33</v>
      </c>
      <c r="AD191" s="6" t="s">
        <v>34</v>
      </c>
      <c r="AE191" s="4" t="s">
        <v>35</v>
      </c>
      <c r="AF191" s="105"/>
      <c r="AG191" s="107"/>
      <c r="AH191" s="107"/>
    </row>
    <row r="192" spans="1:34" ht="21" x14ac:dyDescent="0.35">
      <c r="A192" s="43">
        <f>+التشغيل!A51</f>
        <v>0</v>
      </c>
      <c r="B192" s="44">
        <f>+التشغيل!B51</f>
        <v>0</v>
      </c>
      <c r="C192" s="45">
        <f>+التشغيل!C51</f>
        <v>0</v>
      </c>
      <c r="D192" s="45">
        <f>+التشغيل!D51</f>
        <v>0</v>
      </c>
      <c r="E192" s="45">
        <f>+التشغيل!E51</f>
        <v>0</v>
      </c>
      <c r="F192" s="46">
        <f>التشغيل!F51</f>
        <v>0</v>
      </c>
      <c r="G192" s="46">
        <f>التشغيل!G51</f>
        <v>0</v>
      </c>
      <c r="H192" s="46">
        <f>التشغيل!H51</f>
        <v>0</v>
      </c>
      <c r="I192" s="46">
        <f>التشغيل!I51</f>
        <v>0</v>
      </c>
      <c r="J192" s="46">
        <f>التشغيل!J51</f>
        <v>0</v>
      </c>
      <c r="K192" s="46">
        <f>التشغيل!K51</f>
        <v>0</v>
      </c>
      <c r="L192" s="46">
        <f>التشغيل!L51</f>
        <v>0</v>
      </c>
      <c r="M192" s="46">
        <f>التشغيل!M51</f>
        <v>0</v>
      </c>
      <c r="N192" s="46">
        <f>التشغيل!N51</f>
        <v>0</v>
      </c>
      <c r="O192" s="46">
        <f>التشغيل!O51</f>
        <v>0</v>
      </c>
      <c r="P192" s="46">
        <f>التشغيل!P51</f>
        <v>0</v>
      </c>
      <c r="Q192" s="46">
        <f>التشغيل!Q51</f>
        <v>0</v>
      </c>
      <c r="R192" s="47">
        <f>التشغيل!R51</f>
        <v>0</v>
      </c>
      <c r="S192" s="47">
        <f>التشغيل!S51</f>
        <v>0</v>
      </c>
      <c r="T192" s="46">
        <f>التشغيل!T51</f>
        <v>0</v>
      </c>
      <c r="U192" s="46">
        <f>التشغيل!U51</f>
        <v>0</v>
      </c>
      <c r="V192" s="46">
        <f>التشغيل!V51</f>
        <v>0</v>
      </c>
      <c r="W192" s="46">
        <f>التشغيل!W51</f>
        <v>0</v>
      </c>
      <c r="X192" s="46">
        <f>التشغيل!X51</f>
        <v>0</v>
      </c>
      <c r="Y192" s="46">
        <f>التشغيل!Y51</f>
        <v>0</v>
      </c>
      <c r="Z192" s="46">
        <f>التشغيل!Z51</f>
        <v>0</v>
      </c>
      <c r="AA192" s="46">
        <f>التشغيل!AA51</f>
        <v>0</v>
      </c>
      <c r="AB192" s="46">
        <f>التشغيل!AB51</f>
        <v>0</v>
      </c>
      <c r="AC192" s="46">
        <f>التشغيل!AC51</f>
        <v>0</v>
      </c>
      <c r="AD192" s="46">
        <f>التشغيل!AD51</f>
        <v>0</v>
      </c>
      <c r="AE192" s="46">
        <f>التشغيل!AE51</f>
        <v>0</v>
      </c>
      <c r="AF192" s="46">
        <f>التشغيل!AF51</f>
        <v>0</v>
      </c>
      <c r="AG192" s="46">
        <f>التشغيل!AG51</f>
        <v>0</v>
      </c>
      <c r="AH192" s="46">
        <f>التشغيل!AH51</f>
        <v>0</v>
      </c>
    </row>
    <row r="193" spans="1:34" ht="21" x14ac:dyDescent="0.35">
      <c r="A193" s="43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7"/>
      <c r="S193" s="47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15.75" x14ac:dyDescent="0.25">
      <c r="A194" s="108" t="s">
        <v>0</v>
      </c>
      <c r="B194" s="108" t="s">
        <v>1</v>
      </c>
      <c r="C194" s="110" t="s">
        <v>2</v>
      </c>
      <c r="D194" s="110" t="s">
        <v>3</v>
      </c>
      <c r="E194" s="110" t="s">
        <v>39</v>
      </c>
      <c r="F194" s="110" t="s">
        <v>5</v>
      </c>
      <c r="G194" s="39" t="s">
        <v>6</v>
      </c>
      <c r="H194" s="40"/>
      <c r="I194" s="40"/>
      <c r="J194" s="40"/>
      <c r="K194" s="40"/>
      <c r="L194" s="40"/>
      <c r="M194" s="40"/>
      <c r="N194" s="40"/>
      <c r="O194" s="41"/>
      <c r="P194" s="101" t="s">
        <v>7</v>
      </c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3"/>
      <c r="AF194" s="104" t="s">
        <v>8</v>
      </c>
      <c r="AG194" s="106" t="s">
        <v>9</v>
      </c>
      <c r="AH194" s="106" t="s">
        <v>10</v>
      </c>
    </row>
    <row r="195" spans="1:34" ht="41.25" customHeight="1" x14ac:dyDescent="0.25">
      <c r="A195" s="109"/>
      <c r="B195" s="109"/>
      <c r="C195" s="111"/>
      <c r="D195" s="111"/>
      <c r="E195" s="111"/>
      <c r="F195" s="111"/>
      <c r="G195" s="42" t="s">
        <v>11</v>
      </c>
      <c r="H195" s="42" t="s">
        <v>12</v>
      </c>
      <c r="I195" s="42" t="s">
        <v>13</v>
      </c>
      <c r="J195" s="42" t="s">
        <v>14</v>
      </c>
      <c r="K195" s="42" t="s">
        <v>15</v>
      </c>
      <c r="L195" s="42" t="s">
        <v>16</v>
      </c>
      <c r="M195" s="42" t="s">
        <v>17</v>
      </c>
      <c r="N195" s="42" t="s">
        <v>18</v>
      </c>
      <c r="O195" s="42" t="s">
        <v>19</v>
      </c>
      <c r="P195" s="4" t="s">
        <v>20</v>
      </c>
      <c r="Q195" s="4" t="s">
        <v>21</v>
      </c>
      <c r="R195" s="4" t="s">
        <v>22</v>
      </c>
      <c r="S195" s="4" t="s">
        <v>23</v>
      </c>
      <c r="T195" s="4" t="s">
        <v>24</v>
      </c>
      <c r="U195" s="4" t="s">
        <v>25</v>
      </c>
      <c r="V195" s="4" t="s">
        <v>26</v>
      </c>
      <c r="W195" s="4" t="s">
        <v>27</v>
      </c>
      <c r="X195" s="4" t="s">
        <v>28</v>
      </c>
      <c r="Y195" s="4" t="s">
        <v>29</v>
      </c>
      <c r="Z195" s="4" t="s">
        <v>30</v>
      </c>
      <c r="AA195" s="5" t="s">
        <v>31</v>
      </c>
      <c r="AB195" s="5" t="s">
        <v>32</v>
      </c>
      <c r="AC195" s="5" t="s">
        <v>33</v>
      </c>
      <c r="AD195" s="6" t="s">
        <v>34</v>
      </c>
      <c r="AE195" s="4" t="s">
        <v>35</v>
      </c>
      <c r="AF195" s="105"/>
      <c r="AG195" s="107"/>
      <c r="AH195" s="107"/>
    </row>
    <row r="196" spans="1:34" ht="21" x14ac:dyDescent="0.35">
      <c r="A196" s="43">
        <f>+التشغيل!A52</f>
        <v>0</v>
      </c>
      <c r="B196" s="44">
        <f>+التشغيل!B52</f>
        <v>0</v>
      </c>
      <c r="C196" s="45">
        <f>+التشغيل!C52</f>
        <v>0</v>
      </c>
      <c r="D196" s="45">
        <f>+التشغيل!D52</f>
        <v>0</v>
      </c>
      <c r="E196" s="45">
        <f>+التشغيل!E52</f>
        <v>0</v>
      </c>
      <c r="F196" s="46">
        <f>التشغيل!F52</f>
        <v>0</v>
      </c>
      <c r="G196" s="46">
        <f>التشغيل!G52</f>
        <v>0</v>
      </c>
      <c r="H196" s="46">
        <f>التشغيل!H52</f>
        <v>0</v>
      </c>
      <c r="I196" s="46">
        <f>التشغيل!I52</f>
        <v>0</v>
      </c>
      <c r="J196" s="46">
        <f>التشغيل!J52</f>
        <v>0</v>
      </c>
      <c r="K196" s="46">
        <f>التشغيل!K52</f>
        <v>0</v>
      </c>
      <c r="L196" s="46">
        <f>التشغيل!L52</f>
        <v>0</v>
      </c>
      <c r="M196" s="46">
        <f>التشغيل!M52</f>
        <v>0</v>
      </c>
      <c r="N196" s="46">
        <f>التشغيل!N52</f>
        <v>0</v>
      </c>
      <c r="O196" s="46">
        <f>التشغيل!O52</f>
        <v>0</v>
      </c>
      <c r="P196" s="46">
        <f>التشغيل!P52</f>
        <v>0</v>
      </c>
      <c r="Q196" s="46">
        <f>التشغيل!Q52</f>
        <v>0</v>
      </c>
      <c r="R196" s="47">
        <f>التشغيل!R52</f>
        <v>0</v>
      </c>
      <c r="S196" s="47">
        <f>التشغيل!S52</f>
        <v>0</v>
      </c>
      <c r="T196" s="46">
        <f>التشغيل!T52</f>
        <v>0</v>
      </c>
      <c r="U196" s="46">
        <f>التشغيل!U52</f>
        <v>0</v>
      </c>
      <c r="V196" s="46">
        <f>التشغيل!V52</f>
        <v>0</v>
      </c>
      <c r="W196" s="46">
        <f>التشغيل!W52</f>
        <v>0</v>
      </c>
      <c r="X196" s="46">
        <f>التشغيل!X52</f>
        <v>0</v>
      </c>
      <c r="Y196" s="46">
        <f>التشغيل!Y52</f>
        <v>0</v>
      </c>
      <c r="Z196" s="46">
        <f>التشغيل!Z52</f>
        <v>0</v>
      </c>
      <c r="AA196" s="46">
        <f>التشغيل!AA52</f>
        <v>0</v>
      </c>
      <c r="AB196" s="46">
        <f>التشغيل!AB52</f>
        <v>0</v>
      </c>
      <c r="AC196" s="46">
        <f>التشغيل!AC52</f>
        <v>0</v>
      </c>
      <c r="AD196" s="46">
        <f>التشغيل!AD52</f>
        <v>0</v>
      </c>
      <c r="AE196" s="46">
        <f>التشغيل!AE52</f>
        <v>0</v>
      </c>
      <c r="AF196" s="46">
        <f>التشغيل!AF52</f>
        <v>0</v>
      </c>
      <c r="AG196" s="46">
        <f>التشغيل!AG52</f>
        <v>0</v>
      </c>
      <c r="AH196" s="46">
        <f>التشغيل!AH52</f>
        <v>0</v>
      </c>
    </row>
    <row r="197" spans="1:34" ht="21" x14ac:dyDescent="0.35">
      <c r="A197" s="43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15.75" x14ac:dyDescent="0.25">
      <c r="A198" s="108" t="s">
        <v>0</v>
      </c>
      <c r="B198" s="108" t="s">
        <v>1</v>
      </c>
      <c r="C198" s="110" t="s">
        <v>2</v>
      </c>
      <c r="D198" s="110" t="s">
        <v>3</v>
      </c>
      <c r="E198" s="110" t="s">
        <v>39</v>
      </c>
      <c r="F198" s="110" t="s">
        <v>5</v>
      </c>
      <c r="G198" s="39" t="s">
        <v>6</v>
      </c>
      <c r="H198" s="40"/>
      <c r="I198" s="40"/>
      <c r="J198" s="40"/>
      <c r="K198" s="40"/>
      <c r="L198" s="40"/>
      <c r="M198" s="40"/>
      <c r="N198" s="40"/>
      <c r="O198" s="41"/>
      <c r="P198" s="101" t="s">
        <v>7</v>
      </c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3"/>
      <c r="AF198" s="104" t="s">
        <v>8</v>
      </c>
      <c r="AG198" s="106" t="s">
        <v>9</v>
      </c>
      <c r="AH198" s="106" t="s">
        <v>10</v>
      </c>
    </row>
    <row r="199" spans="1:34" ht="41.25" customHeight="1" x14ac:dyDescent="0.25">
      <c r="A199" s="109"/>
      <c r="B199" s="109"/>
      <c r="C199" s="111"/>
      <c r="D199" s="111"/>
      <c r="E199" s="111"/>
      <c r="F199" s="111"/>
      <c r="G199" s="42" t="s">
        <v>11</v>
      </c>
      <c r="H199" s="42" t="s">
        <v>12</v>
      </c>
      <c r="I199" s="42" t="s">
        <v>13</v>
      </c>
      <c r="J199" s="42" t="s">
        <v>14</v>
      </c>
      <c r="K199" s="42" t="s">
        <v>15</v>
      </c>
      <c r="L199" s="42" t="s">
        <v>16</v>
      </c>
      <c r="M199" s="42" t="s">
        <v>17</v>
      </c>
      <c r="N199" s="42" t="s">
        <v>18</v>
      </c>
      <c r="O199" s="42" t="s">
        <v>19</v>
      </c>
      <c r="P199" s="4" t="s">
        <v>20</v>
      </c>
      <c r="Q199" s="4" t="s">
        <v>21</v>
      </c>
      <c r="R199" s="4" t="s">
        <v>22</v>
      </c>
      <c r="S199" s="4" t="s">
        <v>23</v>
      </c>
      <c r="T199" s="4" t="s">
        <v>24</v>
      </c>
      <c r="U199" s="4" t="s">
        <v>25</v>
      </c>
      <c r="V199" s="4" t="s">
        <v>26</v>
      </c>
      <c r="W199" s="4" t="s">
        <v>27</v>
      </c>
      <c r="X199" s="4" t="s">
        <v>28</v>
      </c>
      <c r="Y199" s="4" t="s">
        <v>29</v>
      </c>
      <c r="Z199" s="4" t="s">
        <v>30</v>
      </c>
      <c r="AA199" s="5" t="s">
        <v>31</v>
      </c>
      <c r="AB199" s="5" t="s">
        <v>32</v>
      </c>
      <c r="AC199" s="5" t="s">
        <v>33</v>
      </c>
      <c r="AD199" s="6" t="s">
        <v>34</v>
      </c>
      <c r="AE199" s="4" t="s">
        <v>35</v>
      </c>
      <c r="AF199" s="105"/>
      <c r="AG199" s="107"/>
      <c r="AH199" s="107"/>
    </row>
    <row r="200" spans="1:34" ht="21" x14ac:dyDescent="0.35">
      <c r="A200" s="43">
        <f>+التشغيل!A53</f>
        <v>0</v>
      </c>
      <c r="B200" s="44">
        <f>+التشغيل!B53</f>
        <v>0</v>
      </c>
      <c r="C200" s="45">
        <f>+التشغيل!C53</f>
        <v>0</v>
      </c>
      <c r="D200" s="45">
        <f>+التشغيل!D53</f>
        <v>0</v>
      </c>
      <c r="E200" s="45">
        <f>+التشغيل!E53</f>
        <v>0</v>
      </c>
      <c r="F200" s="46">
        <f>التشغيل!F53</f>
        <v>0</v>
      </c>
      <c r="G200" s="46">
        <f>التشغيل!G53</f>
        <v>0</v>
      </c>
      <c r="H200" s="46">
        <f>التشغيل!H53</f>
        <v>0</v>
      </c>
      <c r="I200" s="46">
        <f>التشغيل!I53</f>
        <v>0</v>
      </c>
      <c r="J200" s="46">
        <f>التشغيل!J53</f>
        <v>0</v>
      </c>
      <c r="K200" s="46">
        <f>التشغيل!K53</f>
        <v>0</v>
      </c>
      <c r="L200" s="46">
        <f>التشغيل!L53</f>
        <v>0</v>
      </c>
      <c r="M200" s="46">
        <f>التشغيل!M53</f>
        <v>0</v>
      </c>
      <c r="N200" s="46">
        <f>التشغيل!N53</f>
        <v>0</v>
      </c>
      <c r="O200" s="46">
        <f>التشغيل!O53</f>
        <v>0</v>
      </c>
      <c r="P200" s="46">
        <f>التشغيل!P53</f>
        <v>0</v>
      </c>
      <c r="Q200" s="46">
        <f>التشغيل!Q53</f>
        <v>0</v>
      </c>
      <c r="R200" s="47">
        <f>التشغيل!R53</f>
        <v>0</v>
      </c>
      <c r="S200" s="47">
        <f>التشغيل!S53</f>
        <v>0</v>
      </c>
      <c r="T200" s="46">
        <f>التشغيل!T53</f>
        <v>0</v>
      </c>
      <c r="U200" s="46">
        <f>التشغيل!U53</f>
        <v>0</v>
      </c>
      <c r="V200" s="46">
        <f>التشغيل!V53</f>
        <v>0</v>
      </c>
      <c r="W200" s="46">
        <f>التشغيل!W53</f>
        <v>0</v>
      </c>
      <c r="X200" s="46">
        <f>التشغيل!X53</f>
        <v>0</v>
      </c>
      <c r="Y200" s="46">
        <f>التشغيل!Y53</f>
        <v>0</v>
      </c>
      <c r="Z200" s="46">
        <f>التشغيل!Z53</f>
        <v>0</v>
      </c>
      <c r="AA200" s="46">
        <f>التشغيل!AA53</f>
        <v>0</v>
      </c>
      <c r="AB200" s="46">
        <f>التشغيل!AB53</f>
        <v>0</v>
      </c>
      <c r="AC200" s="46">
        <f>التشغيل!AC53</f>
        <v>0</v>
      </c>
      <c r="AD200" s="46">
        <f>التشغيل!AD53</f>
        <v>0</v>
      </c>
      <c r="AE200" s="46">
        <f>التشغيل!AE53</f>
        <v>0</v>
      </c>
      <c r="AF200" s="46">
        <f>التشغيل!AF53</f>
        <v>0</v>
      </c>
      <c r="AG200" s="46">
        <f>التشغيل!AG53</f>
        <v>0</v>
      </c>
      <c r="AH200" s="46">
        <f>التشغيل!AH53</f>
        <v>0</v>
      </c>
    </row>
    <row r="201" spans="1:34" ht="21" x14ac:dyDescent="0.35">
      <c r="A201" s="43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7"/>
      <c r="S201" s="47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15.75" x14ac:dyDescent="0.25">
      <c r="A202" s="108" t="s">
        <v>0</v>
      </c>
      <c r="B202" s="108" t="s">
        <v>1</v>
      </c>
      <c r="C202" s="110" t="s">
        <v>2</v>
      </c>
      <c r="D202" s="110" t="s">
        <v>3</v>
      </c>
      <c r="E202" s="110" t="s">
        <v>39</v>
      </c>
      <c r="F202" s="110" t="s">
        <v>5</v>
      </c>
      <c r="G202" s="39" t="s">
        <v>6</v>
      </c>
      <c r="H202" s="40"/>
      <c r="I202" s="40"/>
      <c r="J202" s="40"/>
      <c r="K202" s="40"/>
      <c r="L202" s="40"/>
      <c r="M202" s="40"/>
      <c r="N202" s="40"/>
      <c r="O202" s="41"/>
      <c r="P202" s="101" t="s">
        <v>7</v>
      </c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3"/>
      <c r="AF202" s="104" t="s">
        <v>8</v>
      </c>
      <c r="AG202" s="106" t="s">
        <v>9</v>
      </c>
      <c r="AH202" s="106" t="s">
        <v>10</v>
      </c>
    </row>
    <row r="203" spans="1:34" ht="41.25" customHeight="1" x14ac:dyDescent="0.25">
      <c r="A203" s="109"/>
      <c r="B203" s="109"/>
      <c r="C203" s="111"/>
      <c r="D203" s="111"/>
      <c r="E203" s="111"/>
      <c r="F203" s="111"/>
      <c r="G203" s="42" t="s">
        <v>11</v>
      </c>
      <c r="H203" s="42" t="s">
        <v>12</v>
      </c>
      <c r="I203" s="42" t="s">
        <v>13</v>
      </c>
      <c r="J203" s="42" t="s">
        <v>14</v>
      </c>
      <c r="K203" s="42" t="s">
        <v>15</v>
      </c>
      <c r="L203" s="42" t="s">
        <v>16</v>
      </c>
      <c r="M203" s="42" t="s">
        <v>17</v>
      </c>
      <c r="N203" s="42" t="s">
        <v>18</v>
      </c>
      <c r="O203" s="42" t="s">
        <v>19</v>
      </c>
      <c r="P203" s="4" t="s">
        <v>20</v>
      </c>
      <c r="Q203" s="4" t="s">
        <v>21</v>
      </c>
      <c r="R203" s="4" t="s">
        <v>22</v>
      </c>
      <c r="S203" s="4" t="s">
        <v>23</v>
      </c>
      <c r="T203" s="4" t="s">
        <v>24</v>
      </c>
      <c r="U203" s="4" t="s">
        <v>25</v>
      </c>
      <c r="V203" s="4" t="s">
        <v>26</v>
      </c>
      <c r="W203" s="4" t="s">
        <v>27</v>
      </c>
      <c r="X203" s="4" t="s">
        <v>28</v>
      </c>
      <c r="Y203" s="4" t="s">
        <v>29</v>
      </c>
      <c r="Z203" s="4" t="s">
        <v>30</v>
      </c>
      <c r="AA203" s="5" t="s">
        <v>31</v>
      </c>
      <c r="AB203" s="5" t="s">
        <v>32</v>
      </c>
      <c r="AC203" s="5" t="s">
        <v>33</v>
      </c>
      <c r="AD203" s="6" t="s">
        <v>34</v>
      </c>
      <c r="AE203" s="4" t="s">
        <v>35</v>
      </c>
      <c r="AF203" s="105"/>
      <c r="AG203" s="107"/>
      <c r="AH203" s="107"/>
    </row>
    <row r="204" spans="1:34" ht="21" x14ac:dyDescent="0.35">
      <c r="A204" s="43">
        <f>+التشغيل!A54</f>
        <v>0</v>
      </c>
      <c r="B204" s="44">
        <f>+التشغيل!B54</f>
        <v>0</v>
      </c>
      <c r="C204" s="45">
        <f>+التشغيل!C54</f>
        <v>0</v>
      </c>
      <c r="D204" s="45">
        <f>+التشغيل!D54</f>
        <v>0</v>
      </c>
      <c r="E204" s="45">
        <f>+التشغيل!E54</f>
        <v>0</v>
      </c>
      <c r="F204" s="46">
        <f>التشغيل!F54</f>
        <v>0</v>
      </c>
      <c r="G204" s="46">
        <f>التشغيل!G54</f>
        <v>0</v>
      </c>
      <c r="H204" s="46">
        <f>التشغيل!H54</f>
        <v>0</v>
      </c>
      <c r="I204" s="46">
        <f>التشغيل!I54</f>
        <v>0</v>
      </c>
      <c r="J204" s="46">
        <f>التشغيل!J54</f>
        <v>0</v>
      </c>
      <c r="K204" s="46">
        <f>التشغيل!K54</f>
        <v>0</v>
      </c>
      <c r="L204" s="46">
        <f>التشغيل!L54</f>
        <v>0</v>
      </c>
      <c r="M204" s="46">
        <f>التشغيل!M54</f>
        <v>0</v>
      </c>
      <c r="N204" s="46">
        <f>التشغيل!N54</f>
        <v>0</v>
      </c>
      <c r="O204" s="46">
        <f>التشغيل!O54</f>
        <v>0</v>
      </c>
      <c r="P204" s="46">
        <f>التشغيل!P54</f>
        <v>0</v>
      </c>
      <c r="Q204" s="46">
        <f>التشغيل!Q54</f>
        <v>0</v>
      </c>
      <c r="R204" s="47">
        <f>التشغيل!R54</f>
        <v>0</v>
      </c>
      <c r="S204" s="47">
        <f>التشغيل!S54</f>
        <v>0</v>
      </c>
      <c r="T204" s="46">
        <f>التشغيل!T54</f>
        <v>0</v>
      </c>
      <c r="U204" s="46">
        <f>التشغيل!U54</f>
        <v>0</v>
      </c>
      <c r="V204" s="46">
        <f>التشغيل!V54</f>
        <v>0</v>
      </c>
      <c r="W204" s="46">
        <f>التشغيل!W54</f>
        <v>0</v>
      </c>
      <c r="X204" s="46">
        <f>التشغيل!X54</f>
        <v>0</v>
      </c>
      <c r="Y204" s="46">
        <f>التشغيل!Y54</f>
        <v>0</v>
      </c>
      <c r="Z204" s="46">
        <f>التشغيل!Z54</f>
        <v>0</v>
      </c>
      <c r="AA204" s="46">
        <f>التشغيل!AA54</f>
        <v>0</v>
      </c>
      <c r="AB204" s="46">
        <f>التشغيل!AB54</f>
        <v>0</v>
      </c>
      <c r="AC204" s="46">
        <f>التشغيل!AC54</f>
        <v>0</v>
      </c>
      <c r="AD204" s="46">
        <f>التشغيل!AD54</f>
        <v>0</v>
      </c>
      <c r="AE204" s="46">
        <f>التشغيل!AE54</f>
        <v>0</v>
      </c>
      <c r="AF204" s="46">
        <f>التشغيل!AF54</f>
        <v>0</v>
      </c>
      <c r="AG204" s="46">
        <f>التشغيل!AG54</f>
        <v>0</v>
      </c>
      <c r="AH204" s="46">
        <f>التشغيل!AH54</f>
        <v>0</v>
      </c>
    </row>
    <row r="205" spans="1:34" ht="21" x14ac:dyDescent="0.35">
      <c r="A205" s="43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7"/>
      <c r="S205" s="47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15.75" x14ac:dyDescent="0.25">
      <c r="A206" s="108" t="s">
        <v>0</v>
      </c>
      <c r="B206" s="108" t="s">
        <v>1</v>
      </c>
      <c r="C206" s="110" t="s">
        <v>2</v>
      </c>
      <c r="D206" s="110" t="s">
        <v>3</v>
      </c>
      <c r="E206" s="110" t="s">
        <v>39</v>
      </c>
      <c r="F206" s="110" t="s">
        <v>5</v>
      </c>
      <c r="G206" s="39" t="s">
        <v>6</v>
      </c>
      <c r="H206" s="40"/>
      <c r="I206" s="40"/>
      <c r="J206" s="40"/>
      <c r="K206" s="40"/>
      <c r="L206" s="40"/>
      <c r="M206" s="40"/>
      <c r="N206" s="40"/>
      <c r="O206" s="41"/>
      <c r="P206" s="101" t="s">
        <v>7</v>
      </c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3"/>
      <c r="AF206" s="104" t="s">
        <v>8</v>
      </c>
      <c r="AG206" s="106" t="s">
        <v>9</v>
      </c>
      <c r="AH206" s="106" t="s">
        <v>10</v>
      </c>
    </row>
    <row r="207" spans="1:34" ht="41.25" customHeight="1" x14ac:dyDescent="0.25">
      <c r="A207" s="109"/>
      <c r="B207" s="109"/>
      <c r="C207" s="111"/>
      <c r="D207" s="111"/>
      <c r="E207" s="111"/>
      <c r="F207" s="111"/>
      <c r="G207" s="42" t="s">
        <v>11</v>
      </c>
      <c r="H207" s="42" t="s">
        <v>12</v>
      </c>
      <c r="I207" s="42" t="s">
        <v>13</v>
      </c>
      <c r="J207" s="42" t="s">
        <v>14</v>
      </c>
      <c r="K207" s="42" t="s">
        <v>15</v>
      </c>
      <c r="L207" s="42" t="s">
        <v>16</v>
      </c>
      <c r="M207" s="42" t="s">
        <v>17</v>
      </c>
      <c r="N207" s="42" t="s">
        <v>18</v>
      </c>
      <c r="O207" s="42" t="s">
        <v>19</v>
      </c>
      <c r="P207" s="4" t="s">
        <v>20</v>
      </c>
      <c r="Q207" s="4" t="s">
        <v>21</v>
      </c>
      <c r="R207" s="4" t="s">
        <v>22</v>
      </c>
      <c r="S207" s="4" t="s">
        <v>23</v>
      </c>
      <c r="T207" s="4" t="s">
        <v>24</v>
      </c>
      <c r="U207" s="4" t="s">
        <v>25</v>
      </c>
      <c r="V207" s="4" t="s">
        <v>26</v>
      </c>
      <c r="W207" s="4" t="s">
        <v>27</v>
      </c>
      <c r="X207" s="4" t="s">
        <v>28</v>
      </c>
      <c r="Y207" s="4" t="s">
        <v>29</v>
      </c>
      <c r="Z207" s="4" t="s">
        <v>30</v>
      </c>
      <c r="AA207" s="5" t="s">
        <v>31</v>
      </c>
      <c r="AB207" s="5" t="s">
        <v>32</v>
      </c>
      <c r="AC207" s="5" t="s">
        <v>33</v>
      </c>
      <c r="AD207" s="6" t="s">
        <v>34</v>
      </c>
      <c r="AE207" s="4" t="s">
        <v>35</v>
      </c>
      <c r="AF207" s="105"/>
      <c r="AG207" s="107"/>
      <c r="AH207" s="107"/>
    </row>
    <row r="208" spans="1:34" ht="21" x14ac:dyDescent="0.35">
      <c r="A208" s="43">
        <f>+التشغيل!A55</f>
        <v>0</v>
      </c>
      <c r="B208" s="44">
        <f>+التشغيل!B55</f>
        <v>0</v>
      </c>
      <c r="C208" s="45">
        <f>+التشغيل!C55</f>
        <v>0</v>
      </c>
      <c r="D208" s="45">
        <f>+التشغيل!D55</f>
        <v>0</v>
      </c>
      <c r="E208" s="45">
        <f>+التشغيل!E55</f>
        <v>0</v>
      </c>
      <c r="F208" s="46">
        <f>التشغيل!F55</f>
        <v>0</v>
      </c>
      <c r="G208" s="46">
        <f>التشغيل!G55</f>
        <v>0</v>
      </c>
      <c r="H208" s="46">
        <f>التشغيل!H55</f>
        <v>0</v>
      </c>
      <c r="I208" s="46">
        <f>التشغيل!I55</f>
        <v>0</v>
      </c>
      <c r="J208" s="46">
        <f>التشغيل!J55</f>
        <v>0</v>
      </c>
      <c r="K208" s="46">
        <f>التشغيل!K55</f>
        <v>0</v>
      </c>
      <c r="L208" s="46">
        <f>التشغيل!L55</f>
        <v>0</v>
      </c>
      <c r="M208" s="46">
        <f>التشغيل!M55</f>
        <v>0</v>
      </c>
      <c r="N208" s="46">
        <f>التشغيل!N55</f>
        <v>0</v>
      </c>
      <c r="O208" s="46">
        <f>التشغيل!O55</f>
        <v>0</v>
      </c>
      <c r="P208" s="46">
        <f>التشغيل!P55</f>
        <v>0</v>
      </c>
      <c r="Q208" s="46">
        <f>التشغيل!Q55</f>
        <v>0</v>
      </c>
      <c r="R208" s="47">
        <f>التشغيل!R55</f>
        <v>0</v>
      </c>
      <c r="S208" s="47">
        <f>التشغيل!S55</f>
        <v>0</v>
      </c>
      <c r="T208" s="46">
        <f>التشغيل!T55</f>
        <v>0</v>
      </c>
      <c r="U208" s="46">
        <f>التشغيل!U55</f>
        <v>0</v>
      </c>
      <c r="V208" s="46">
        <f>التشغيل!V55</f>
        <v>0</v>
      </c>
      <c r="W208" s="46">
        <f>التشغيل!W55</f>
        <v>0</v>
      </c>
      <c r="X208" s="46">
        <f>التشغيل!X55</f>
        <v>0</v>
      </c>
      <c r="Y208" s="46">
        <f>التشغيل!Y55</f>
        <v>0</v>
      </c>
      <c r="Z208" s="46">
        <f>التشغيل!Z55</f>
        <v>0</v>
      </c>
      <c r="AA208" s="46">
        <f>التشغيل!AA55</f>
        <v>0</v>
      </c>
      <c r="AB208" s="46">
        <f>التشغيل!AB55</f>
        <v>0</v>
      </c>
      <c r="AC208" s="46">
        <f>التشغيل!AC55</f>
        <v>0</v>
      </c>
      <c r="AD208" s="46">
        <f>التشغيل!AD55</f>
        <v>0</v>
      </c>
      <c r="AE208" s="46">
        <f>التشغيل!AE55</f>
        <v>0</v>
      </c>
      <c r="AF208" s="46">
        <f>التشغيل!AF55</f>
        <v>0</v>
      </c>
      <c r="AG208" s="46">
        <f>التشغيل!AG55</f>
        <v>0</v>
      </c>
      <c r="AH208" s="46">
        <f>التشغيل!AH55</f>
        <v>0</v>
      </c>
    </row>
    <row r="209" spans="1:34" ht="21" x14ac:dyDescent="0.35">
      <c r="A209" s="43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15.75" x14ac:dyDescent="0.25">
      <c r="A210" s="108" t="s">
        <v>0</v>
      </c>
      <c r="B210" s="108" t="s">
        <v>1</v>
      </c>
      <c r="C210" s="110" t="s">
        <v>2</v>
      </c>
      <c r="D210" s="110" t="s">
        <v>3</v>
      </c>
      <c r="E210" s="110" t="s">
        <v>39</v>
      </c>
      <c r="F210" s="110" t="s">
        <v>5</v>
      </c>
      <c r="G210" s="39" t="s">
        <v>6</v>
      </c>
      <c r="H210" s="40"/>
      <c r="I210" s="40"/>
      <c r="J210" s="40"/>
      <c r="K210" s="40"/>
      <c r="L210" s="40"/>
      <c r="M210" s="40"/>
      <c r="N210" s="40"/>
      <c r="O210" s="41"/>
      <c r="P210" s="101" t="s">
        <v>7</v>
      </c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3"/>
      <c r="AF210" s="104" t="s">
        <v>8</v>
      </c>
      <c r="AG210" s="106" t="s">
        <v>9</v>
      </c>
      <c r="AH210" s="106" t="s">
        <v>10</v>
      </c>
    </row>
    <row r="211" spans="1:34" ht="41.25" customHeight="1" x14ac:dyDescent="0.25">
      <c r="A211" s="109"/>
      <c r="B211" s="109"/>
      <c r="C211" s="111"/>
      <c r="D211" s="111"/>
      <c r="E211" s="111"/>
      <c r="F211" s="111"/>
      <c r="G211" s="42" t="s">
        <v>11</v>
      </c>
      <c r="H211" s="42" t="s">
        <v>12</v>
      </c>
      <c r="I211" s="42" t="s">
        <v>13</v>
      </c>
      <c r="J211" s="42" t="s">
        <v>14</v>
      </c>
      <c r="K211" s="42" t="s">
        <v>15</v>
      </c>
      <c r="L211" s="42" t="s">
        <v>16</v>
      </c>
      <c r="M211" s="42" t="s">
        <v>17</v>
      </c>
      <c r="N211" s="42" t="s">
        <v>18</v>
      </c>
      <c r="O211" s="42" t="s">
        <v>19</v>
      </c>
      <c r="P211" s="4" t="s">
        <v>20</v>
      </c>
      <c r="Q211" s="4" t="s">
        <v>21</v>
      </c>
      <c r="R211" s="4" t="s">
        <v>22</v>
      </c>
      <c r="S211" s="4" t="s">
        <v>23</v>
      </c>
      <c r="T211" s="4" t="s">
        <v>24</v>
      </c>
      <c r="U211" s="4" t="s">
        <v>25</v>
      </c>
      <c r="V211" s="4" t="s">
        <v>26</v>
      </c>
      <c r="W211" s="4" t="s">
        <v>27</v>
      </c>
      <c r="X211" s="4" t="s">
        <v>28</v>
      </c>
      <c r="Y211" s="4" t="s">
        <v>29</v>
      </c>
      <c r="Z211" s="4" t="s">
        <v>30</v>
      </c>
      <c r="AA211" s="5" t="s">
        <v>31</v>
      </c>
      <c r="AB211" s="5" t="s">
        <v>32</v>
      </c>
      <c r="AC211" s="5" t="s">
        <v>33</v>
      </c>
      <c r="AD211" s="6" t="s">
        <v>34</v>
      </c>
      <c r="AE211" s="4" t="s">
        <v>35</v>
      </c>
      <c r="AF211" s="105"/>
      <c r="AG211" s="107"/>
      <c r="AH211" s="107"/>
    </row>
    <row r="212" spans="1:34" ht="21" x14ac:dyDescent="0.35">
      <c r="A212" s="43">
        <f>+التشغيل!A56</f>
        <v>0</v>
      </c>
      <c r="B212" s="44">
        <f>+التشغيل!B56</f>
        <v>0</v>
      </c>
      <c r="C212" s="45">
        <f>+التشغيل!C56</f>
        <v>0</v>
      </c>
      <c r="D212" s="45">
        <f>+التشغيل!D56</f>
        <v>0</v>
      </c>
      <c r="E212" s="45">
        <f>+التشغيل!E56</f>
        <v>0</v>
      </c>
      <c r="F212" s="46">
        <f>التشغيل!F56</f>
        <v>0</v>
      </c>
      <c r="G212" s="46">
        <f>التشغيل!G56</f>
        <v>0</v>
      </c>
      <c r="H212" s="46">
        <f>التشغيل!H56</f>
        <v>0</v>
      </c>
      <c r="I212" s="46">
        <f>التشغيل!I56</f>
        <v>0</v>
      </c>
      <c r="J212" s="46">
        <f>التشغيل!J56</f>
        <v>0</v>
      </c>
      <c r="K212" s="46">
        <f>التشغيل!K56</f>
        <v>0</v>
      </c>
      <c r="L212" s="46">
        <f>التشغيل!L56</f>
        <v>0</v>
      </c>
      <c r="M212" s="46">
        <f>التشغيل!M56</f>
        <v>0</v>
      </c>
      <c r="N212" s="46">
        <f>التشغيل!N56</f>
        <v>0</v>
      </c>
      <c r="O212" s="46">
        <f>التشغيل!O56</f>
        <v>0</v>
      </c>
      <c r="P212" s="46">
        <f>التشغيل!P56</f>
        <v>0</v>
      </c>
      <c r="Q212" s="46">
        <f>التشغيل!Q56</f>
        <v>0</v>
      </c>
      <c r="R212" s="47">
        <f>التشغيل!R56</f>
        <v>0</v>
      </c>
      <c r="S212" s="47"/>
      <c r="T212" s="46">
        <f>التشغيل!T56</f>
        <v>0</v>
      </c>
      <c r="U212" s="46">
        <f>التشغيل!U56</f>
        <v>0</v>
      </c>
      <c r="V212" s="46">
        <f>التشغيل!V56</f>
        <v>0</v>
      </c>
      <c r="W212" s="46">
        <f>التشغيل!W56</f>
        <v>0</v>
      </c>
      <c r="X212" s="46">
        <f>التشغيل!X56</f>
        <v>0</v>
      </c>
      <c r="Y212" s="46">
        <f>التشغيل!Y56</f>
        <v>0</v>
      </c>
      <c r="Z212" s="46">
        <f>التشغيل!Z56</f>
        <v>0</v>
      </c>
      <c r="AA212" s="46">
        <f>التشغيل!AA56</f>
        <v>0</v>
      </c>
      <c r="AB212" s="46">
        <f>التشغيل!AB56</f>
        <v>0</v>
      </c>
      <c r="AC212" s="46">
        <f>التشغيل!AC56</f>
        <v>0</v>
      </c>
      <c r="AD212" s="46">
        <f>التشغيل!AD56</f>
        <v>0</v>
      </c>
      <c r="AE212" s="46">
        <f>التشغيل!AE56</f>
        <v>0</v>
      </c>
      <c r="AF212" s="46">
        <f>التشغيل!AF56</f>
        <v>0</v>
      </c>
      <c r="AG212" s="46">
        <f>التشغيل!AG56</f>
        <v>0</v>
      </c>
      <c r="AH212" s="46">
        <f>التشغيل!AH56</f>
        <v>0</v>
      </c>
    </row>
    <row r="213" spans="1:34" ht="21" x14ac:dyDescent="0.35">
      <c r="A213" s="43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15.75" x14ac:dyDescent="0.25">
      <c r="A214" s="108" t="s">
        <v>0</v>
      </c>
      <c r="B214" s="108" t="s">
        <v>1</v>
      </c>
      <c r="C214" s="110" t="s">
        <v>2</v>
      </c>
      <c r="D214" s="110" t="s">
        <v>3</v>
      </c>
      <c r="E214" s="110" t="s">
        <v>39</v>
      </c>
      <c r="F214" s="110" t="s">
        <v>5</v>
      </c>
      <c r="G214" s="39" t="s">
        <v>6</v>
      </c>
      <c r="H214" s="40"/>
      <c r="I214" s="40"/>
      <c r="J214" s="40"/>
      <c r="K214" s="40"/>
      <c r="L214" s="40"/>
      <c r="M214" s="40"/>
      <c r="N214" s="40"/>
      <c r="O214" s="41"/>
      <c r="P214" s="101" t="s">
        <v>7</v>
      </c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3"/>
      <c r="AF214" s="104" t="s">
        <v>8</v>
      </c>
      <c r="AG214" s="106" t="s">
        <v>9</v>
      </c>
      <c r="AH214" s="106" t="s">
        <v>10</v>
      </c>
    </row>
    <row r="215" spans="1:34" ht="41.25" customHeight="1" x14ac:dyDescent="0.25">
      <c r="A215" s="109"/>
      <c r="B215" s="109"/>
      <c r="C215" s="111"/>
      <c r="D215" s="111"/>
      <c r="E215" s="111"/>
      <c r="F215" s="111"/>
      <c r="G215" s="42" t="s">
        <v>11</v>
      </c>
      <c r="H215" s="42" t="s">
        <v>12</v>
      </c>
      <c r="I215" s="42" t="s">
        <v>13</v>
      </c>
      <c r="J215" s="42" t="s">
        <v>14</v>
      </c>
      <c r="K215" s="42" t="s">
        <v>15</v>
      </c>
      <c r="L215" s="42" t="s">
        <v>16</v>
      </c>
      <c r="M215" s="42" t="s">
        <v>17</v>
      </c>
      <c r="N215" s="42" t="s">
        <v>18</v>
      </c>
      <c r="O215" s="42" t="s">
        <v>19</v>
      </c>
      <c r="P215" s="4" t="s">
        <v>20</v>
      </c>
      <c r="Q215" s="4" t="s">
        <v>21</v>
      </c>
      <c r="R215" s="4" t="s">
        <v>22</v>
      </c>
      <c r="S215" s="4" t="s">
        <v>23</v>
      </c>
      <c r="T215" s="4" t="s">
        <v>24</v>
      </c>
      <c r="U215" s="4" t="s">
        <v>25</v>
      </c>
      <c r="V215" s="4" t="s">
        <v>26</v>
      </c>
      <c r="W215" s="4" t="s">
        <v>27</v>
      </c>
      <c r="X215" s="4" t="s">
        <v>28</v>
      </c>
      <c r="Y215" s="4" t="s">
        <v>29</v>
      </c>
      <c r="Z215" s="4" t="s">
        <v>30</v>
      </c>
      <c r="AA215" s="5" t="s">
        <v>31</v>
      </c>
      <c r="AB215" s="5" t="s">
        <v>32</v>
      </c>
      <c r="AC215" s="5" t="s">
        <v>33</v>
      </c>
      <c r="AD215" s="6" t="s">
        <v>34</v>
      </c>
      <c r="AE215" s="4" t="s">
        <v>35</v>
      </c>
      <c r="AF215" s="105"/>
      <c r="AG215" s="107"/>
      <c r="AH215" s="107"/>
    </row>
    <row r="216" spans="1:34" ht="21" x14ac:dyDescent="0.35">
      <c r="A216" s="43">
        <f>+التشغيل!A57</f>
        <v>0</v>
      </c>
      <c r="B216" s="44">
        <f>+التشغيل!B57</f>
        <v>0</v>
      </c>
      <c r="C216" s="45">
        <f>+التشغيل!C57</f>
        <v>0</v>
      </c>
      <c r="D216" s="45">
        <f>+التشغيل!D57</f>
        <v>0</v>
      </c>
      <c r="E216" s="45">
        <f>+التشغيل!E57</f>
        <v>0</v>
      </c>
      <c r="F216" s="46">
        <f>التشغيل!F57</f>
        <v>0</v>
      </c>
      <c r="G216" s="46">
        <f>التشغيل!G57</f>
        <v>0</v>
      </c>
      <c r="H216" s="46">
        <f>التشغيل!H57</f>
        <v>0</v>
      </c>
      <c r="I216" s="46">
        <f>التشغيل!I57</f>
        <v>0</v>
      </c>
      <c r="J216" s="46">
        <f>التشغيل!J57</f>
        <v>0</v>
      </c>
      <c r="K216" s="46">
        <f>التشغيل!K57</f>
        <v>0</v>
      </c>
      <c r="L216" s="46">
        <f>التشغيل!L57</f>
        <v>0</v>
      </c>
      <c r="M216" s="46">
        <f>التشغيل!M57</f>
        <v>0</v>
      </c>
      <c r="N216" s="46">
        <f>التشغيل!N57</f>
        <v>0</v>
      </c>
      <c r="O216" s="46">
        <f>التشغيل!O57</f>
        <v>0</v>
      </c>
      <c r="P216" s="46">
        <f>التشغيل!P57</f>
        <v>0</v>
      </c>
      <c r="Q216" s="46">
        <f>التشغيل!Q57</f>
        <v>0</v>
      </c>
      <c r="R216" s="47">
        <f>التشغيل!R57</f>
        <v>0</v>
      </c>
      <c r="S216" s="47">
        <f>التشغيل!S57</f>
        <v>0</v>
      </c>
      <c r="T216" s="46">
        <f>التشغيل!T57</f>
        <v>0</v>
      </c>
      <c r="U216" s="46">
        <f>التشغيل!U57</f>
        <v>0</v>
      </c>
      <c r="V216" s="46">
        <f>التشغيل!V57</f>
        <v>0</v>
      </c>
      <c r="W216" s="46">
        <f>التشغيل!W57</f>
        <v>0</v>
      </c>
      <c r="X216" s="46">
        <f>التشغيل!X57</f>
        <v>0</v>
      </c>
      <c r="Y216" s="46">
        <f>التشغيل!Y57</f>
        <v>0</v>
      </c>
      <c r="Z216" s="46">
        <f>التشغيل!Z57</f>
        <v>0</v>
      </c>
      <c r="AA216" s="46">
        <f>التشغيل!AA57</f>
        <v>0</v>
      </c>
      <c r="AB216" s="46">
        <f>التشغيل!AB57</f>
        <v>0</v>
      </c>
      <c r="AC216" s="46">
        <f>التشغيل!AC57</f>
        <v>0</v>
      </c>
      <c r="AD216" s="46">
        <f>التشغيل!AD57</f>
        <v>0</v>
      </c>
      <c r="AE216" s="46">
        <f>التشغيل!AE57</f>
        <v>0</v>
      </c>
      <c r="AF216" s="46">
        <f>التشغيل!AF57</f>
        <v>0</v>
      </c>
      <c r="AG216" s="46">
        <f>التشغيل!AG57</f>
        <v>0</v>
      </c>
      <c r="AH216" s="46">
        <f>التشغيل!AH57</f>
        <v>0</v>
      </c>
    </row>
    <row r="217" spans="1:34" ht="21" x14ac:dyDescent="0.35">
      <c r="A217" s="43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15.75" x14ac:dyDescent="0.25">
      <c r="A218" s="108" t="s">
        <v>0</v>
      </c>
      <c r="B218" s="108" t="s">
        <v>1</v>
      </c>
      <c r="C218" s="110" t="s">
        <v>2</v>
      </c>
      <c r="D218" s="110" t="s">
        <v>3</v>
      </c>
      <c r="E218" s="110" t="s">
        <v>39</v>
      </c>
      <c r="F218" s="110" t="s">
        <v>5</v>
      </c>
      <c r="G218" s="39" t="s">
        <v>6</v>
      </c>
      <c r="H218" s="40"/>
      <c r="I218" s="40"/>
      <c r="J218" s="40"/>
      <c r="K218" s="40"/>
      <c r="L218" s="40"/>
      <c r="M218" s="40"/>
      <c r="N218" s="40"/>
      <c r="O218" s="41"/>
      <c r="P218" s="101" t="s">
        <v>7</v>
      </c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3"/>
      <c r="AF218" s="104" t="s">
        <v>8</v>
      </c>
      <c r="AG218" s="106" t="s">
        <v>9</v>
      </c>
      <c r="AH218" s="106" t="s">
        <v>10</v>
      </c>
    </row>
    <row r="219" spans="1:34" ht="41.25" customHeight="1" x14ac:dyDescent="0.25">
      <c r="A219" s="109"/>
      <c r="B219" s="109"/>
      <c r="C219" s="111"/>
      <c r="D219" s="111"/>
      <c r="E219" s="111"/>
      <c r="F219" s="111"/>
      <c r="G219" s="42" t="s">
        <v>11</v>
      </c>
      <c r="H219" s="42" t="s">
        <v>12</v>
      </c>
      <c r="I219" s="42" t="s">
        <v>13</v>
      </c>
      <c r="J219" s="42" t="s">
        <v>14</v>
      </c>
      <c r="K219" s="42" t="s">
        <v>15</v>
      </c>
      <c r="L219" s="42" t="s">
        <v>16</v>
      </c>
      <c r="M219" s="42" t="s">
        <v>17</v>
      </c>
      <c r="N219" s="42" t="s">
        <v>18</v>
      </c>
      <c r="O219" s="42" t="s">
        <v>19</v>
      </c>
      <c r="P219" s="4" t="s">
        <v>20</v>
      </c>
      <c r="Q219" s="4" t="s">
        <v>21</v>
      </c>
      <c r="R219" s="4" t="s">
        <v>22</v>
      </c>
      <c r="S219" s="4" t="s">
        <v>23</v>
      </c>
      <c r="T219" s="4" t="s">
        <v>24</v>
      </c>
      <c r="U219" s="4" t="s">
        <v>25</v>
      </c>
      <c r="V219" s="4" t="s">
        <v>26</v>
      </c>
      <c r="W219" s="4" t="s">
        <v>27</v>
      </c>
      <c r="X219" s="4" t="s">
        <v>28</v>
      </c>
      <c r="Y219" s="4" t="s">
        <v>29</v>
      </c>
      <c r="Z219" s="4" t="s">
        <v>30</v>
      </c>
      <c r="AA219" s="5" t="s">
        <v>31</v>
      </c>
      <c r="AB219" s="5" t="s">
        <v>32</v>
      </c>
      <c r="AC219" s="5" t="s">
        <v>33</v>
      </c>
      <c r="AD219" s="6" t="s">
        <v>34</v>
      </c>
      <c r="AE219" s="4" t="s">
        <v>35</v>
      </c>
      <c r="AF219" s="105"/>
      <c r="AG219" s="107"/>
      <c r="AH219" s="107"/>
    </row>
    <row r="220" spans="1:34" ht="21" x14ac:dyDescent="0.35">
      <c r="A220" s="43">
        <f>+التشغيل!A58</f>
        <v>0</v>
      </c>
      <c r="B220" s="44">
        <f>+التشغيل!B58</f>
        <v>0</v>
      </c>
      <c r="C220" s="45">
        <f>+التشغيل!C58</f>
        <v>0</v>
      </c>
      <c r="D220" s="45">
        <f>+التشغيل!D58</f>
        <v>0</v>
      </c>
      <c r="E220" s="45">
        <f>+التشغيل!E58</f>
        <v>0</v>
      </c>
      <c r="F220" s="46">
        <f>التشغيل!F58</f>
        <v>0</v>
      </c>
      <c r="G220" s="46">
        <f>التشغيل!G58</f>
        <v>0</v>
      </c>
      <c r="H220" s="46">
        <f>التشغيل!H58</f>
        <v>0</v>
      </c>
      <c r="I220" s="46">
        <f>التشغيل!I58</f>
        <v>0</v>
      </c>
      <c r="J220" s="46">
        <f>التشغيل!J58</f>
        <v>0</v>
      </c>
      <c r="K220" s="46">
        <f>التشغيل!K58</f>
        <v>0</v>
      </c>
      <c r="L220" s="46">
        <f>التشغيل!L58</f>
        <v>0</v>
      </c>
      <c r="M220" s="46">
        <f>التشغيل!M58</f>
        <v>0</v>
      </c>
      <c r="N220" s="46">
        <f>التشغيل!N58</f>
        <v>0</v>
      </c>
      <c r="O220" s="46">
        <f>التشغيل!O58</f>
        <v>0</v>
      </c>
      <c r="P220" s="46">
        <f>التشغيل!P58</f>
        <v>0</v>
      </c>
      <c r="Q220" s="46">
        <f>التشغيل!Q58</f>
        <v>0</v>
      </c>
      <c r="R220" s="47">
        <f>التشغيل!R58</f>
        <v>0</v>
      </c>
      <c r="S220" s="47">
        <f>التشغيل!S58</f>
        <v>0</v>
      </c>
      <c r="T220" s="46">
        <f>التشغيل!T58</f>
        <v>0</v>
      </c>
      <c r="U220" s="46">
        <f>التشغيل!U58</f>
        <v>0</v>
      </c>
      <c r="V220" s="46">
        <f>التشغيل!V58</f>
        <v>0</v>
      </c>
      <c r="W220" s="46">
        <f>التشغيل!W58</f>
        <v>0</v>
      </c>
      <c r="X220" s="46">
        <f>التشغيل!X58</f>
        <v>0</v>
      </c>
      <c r="Y220" s="46">
        <f>التشغيل!Y58</f>
        <v>0</v>
      </c>
      <c r="Z220" s="46">
        <f>التشغيل!Z58</f>
        <v>0</v>
      </c>
      <c r="AA220" s="46">
        <f>التشغيل!AA58</f>
        <v>0</v>
      </c>
      <c r="AB220" s="46">
        <f>التشغيل!AB58</f>
        <v>0</v>
      </c>
      <c r="AC220" s="46">
        <f>التشغيل!AC58</f>
        <v>0</v>
      </c>
      <c r="AD220" s="46">
        <f>التشغيل!AD58</f>
        <v>0</v>
      </c>
      <c r="AE220" s="46">
        <f>التشغيل!AE58</f>
        <v>0</v>
      </c>
      <c r="AF220" s="46">
        <f>التشغيل!AF58</f>
        <v>0</v>
      </c>
      <c r="AG220" s="46">
        <f>التشغيل!AG58</f>
        <v>0</v>
      </c>
      <c r="AH220" s="46">
        <f>التشغيل!AH58</f>
        <v>0</v>
      </c>
    </row>
    <row r="221" spans="1:34" ht="21" x14ac:dyDescent="0.35">
      <c r="A221" s="43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15.75" x14ac:dyDescent="0.25">
      <c r="A222" s="108" t="s">
        <v>0</v>
      </c>
      <c r="B222" s="108" t="s">
        <v>1</v>
      </c>
      <c r="C222" s="110" t="s">
        <v>2</v>
      </c>
      <c r="D222" s="110" t="s">
        <v>3</v>
      </c>
      <c r="E222" s="110" t="s">
        <v>39</v>
      </c>
      <c r="F222" s="110" t="s">
        <v>5</v>
      </c>
      <c r="G222" s="39" t="s">
        <v>6</v>
      </c>
      <c r="H222" s="40"/>
      <c r="I222" s="40"/>
      <c r="J222" s="40"/>
      <c r="K222" s="40"/>
      <c r="L222" s="40"/>
      <c r="M222" s="40"/>
      <c r="N222" s="40"/>
      <c r="O222" s="41"/>
      <c r="P222" s="101" t="s">
        <v>7</v>
      </c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3"/>
      <c r="AF222" s="104" t="s">
        <v>8</v>
      </c>
      <c r="AG222" s="106" t="s">
        <v>9</v>
      </c>
      <c r="AH222" s="106" t="s">
        <v>10</v>
      </c>
    </row>
    <row r="223" spans="1:34" ht="41.25" customHeight="1" x14ac:dyDescent="0.25">
      <c r="A223" s="109"/>
      <c r="B223" s="109"/>
      <c r="C223" s="111"/>
      <c r="D223" s="111"/>
      <c r="E223" s="111"/>
      <c r="F223" s="111"/>
      <c r="G223" s="42" t="s">
        <v>11</v>
      </c>
      <c r="H223" s="42" t="s">
        <v>12</v>
      </c>
      <c r="I223" s="42" t="s">
        <v>13</v>
      </c>
      <c r="J223" s="42" t="s">
        <v>14</v>
      </c>
      <c r="K223" s="42" t="s">
        <v>15</v>
      </c>
      <c r="L223" s="42" t="s">
        <v>16</v>
      </c>
      <c r="M223" s="42" t="s">
        <v>17</v>
      </c>
      <c r="N223" s="42" t="s">
        <v>18</v>
      </c>
      <c r="O223" s="42" t="s">
        <v>19</v>
      </c>
      <c r="P223" s="4" t="s">
        <v>20</v>
      </c>
      <c r="Q223" s="4" t="s">
        <v>21</v>
      </c>
      <c r="R223" s="4" t="s">
        <v>22</v>
      </c>
      <c r="S223" s="4" t="s">
        <v>23</v>
      </c>
      <c r="T223" s="4" t="s">
        <v>24</v>
      </c>
      <c r="U223" s="4" t="s">
        <v>25</v>
      </c>
      <c r="V223" s="4" t="s">
        <v>26</v>
      </c>
      <c r="W223" s="4" t="s">
        <v>27</v>
      </c>
      <c r="X223" s="4" t="s">
        <v>28</v>
      </c>
      <c r="Y223" s="4" t="s">
        <v>29</v>
      </c>
      <c r="Z223" s="4" t="s">
        <v>30</v>
      </c>
      <c r="AA223" s="5" t="s">
        <v>31</v>
      </c>
      <c r="AB223" s="5" t="s">
        <v>32</v>
      </c>
      <c r="AC223" s="5" t="s">
        <v>33</v>
      </c>
      <c r="AD223" s="6" t="s">
        <v>34</v>
      </c>
      <c r="AE223" s="4" t="s">
        <v>35</v>
      </c>
      <c r="AF223" s="105"/>
      <c r="AG223" s="107"/>
      <c r="AH223" s="107"/>
    </row>
    <row r="224" spans="1:34" ht="21" x14ac:dyDescent="0.35">
      <c r="A224" s="43">
        <f>+التشغيل!A59</f>
        <v>0</v>
      </c>
      <c r="B224" s="44">
        <f>+التشغيل!B59</f>
        <v>0</v>
      </c>
      <c r="C224" s="45">
        <f>+التشغيل!C59</f>
        <v>0</v>
      </c>
      <c r="D224" s="45">
        <f>+التشغيل!D59</f>
        <v>0</v>
      </c>
      <c r="E224" s="45">
        <f>+التشغيل!E59</f>
        <v>0</v>
      </c>
      <c r="F224" s="46">
        <f>التشغيل!F59</f>
        <v>0</v>
      </c>
      <c r="G224" s="46">
        <f>التشغيل!G59</f>
        <v>0</v>
      </c>
      <c r="H224" s="46">
        <f>التشغيل!H59</f>
        <v>0</v>
      </c>
      <c r="I224" s="46">
        <f>التشغيل!I59</f>
        <v>0</v>
      </c>
      <c r="J224" s="46">
        <f>التشغيل!J59</f>
        <v>0</v>
      </c>
      <c r="K224" s="46">
        <f>التشغيل!K59</f>
        <v>0</v>
      </c>
      <c r="L224" s="46">
        <f>التشغيل!L59</f>
        <v>0</v>
      </c>
      <c r="M224" s="46">
        <f>التشغيل!M59</f>
        <v>0</v>
      </c>
      <c r="N224" s="46">
        <f>التشغيل!N59</f>
        <v>0</v>
      </c>
      <c r="O224" s="46">
        <f>التشغيل!O59</f>
        <v>0</v>
      </c>
      <c r="P224" s="46">
        <f>التشغيل!P59</f>
        <v>0</v>
      </c>
      <c r="Q224" s="46">
        <f>التشغيل!Q59</f>
        <v>0</v>
      </c>
      <c r="R224" s="47">
        <f>التشغيل!R59</f>
        <v>0</v>
      </c>
      <c r="S224" s="47"/>
      <c r="T224" s="46">
        <f>التشغيل!T59</f>
        <v>0</v>
      </c>
      <c r="U224" s="46">
        <f>التشغيل!U59</f>
        <v>0</v>
      </c>
      <c r="V224" s="46">
        <f>التشغيل!V59</f>
        <v>0</v>
      </c>
      <c r="W224" s="46">
        <f>التشغيل!W59</f>
        <v>0</v>
      </c>
      <c r="X224" s="46">
        <f>التشغيل!X59</f>
        <v>0</v>
      </c>
      <c r="Y224" s="46">
        <f>التشغيل!Y59</f>
        <v>0</v>
      </c>
      <c r="Z224" s="46">
        <f>التشغيل!Z59</f>
        <v>0</v>
      </c>
      <c r="AA224" s="46">
        <f>التشغيل!AA59</f>
        <v>0</v>
      </c>
      <c r="AB224" s="46">
        <f>التشغيل!AB59</f>
        <v>0</v>
      </c>
      <c r="AC224" s="46">
        <f>التشغيل!AC59</f>
        <v>0</v>
      </c>
      <c r="AD224" s="46">
        <f>التشغيل!AD59</f>
        <v>0</v>
      </c>
      <c r="AE224" s="46">
        <f>التشغيل!AE59</f>
        <v>0</v>
      </c>
      <c r="AF224" s="46">
        <f>التشغيل!AF59</f>
        <v>0</v>
      </c>
      <c r="AG224" s="46">
        <f>التشغيل!AG59</f>
        <v>0</v>
      </c>
      <c r="AH224" s="46">
        <f>التشغيل!AH59</f>
        <v>0</v>
      </c>
    </row>
    <row r="225" spans="1:34" ht="21" x14ac:dyDescent="0.35">
      <c r="A225" s="43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7"/>
      <c r="S225" s="47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15.75" x14ac:dyDescent="0.25">
      <c r="A226" s="108" t="s">
        <v>0</v>
      </c>
      <c r="B226" s="108" t="s">
        <v>1</v>
      </c>
      <c r="C226" s="110" t="s">
        <v>2</v>
      </c>
      <c r="D226" s="110" t="s">
        <v>3</v>
      </c>
      <c r="E226" s="110" t="s">
        <v>39</v>
      </c>
      <c r="F226" s="110" t="s">
        <v>5</v>
      </c>
      <c r="G226" s="39" t="s">
        <v>6</v>
      </c>
      <c r="H226" s="40"/>
      <c r="I226" s="40"/>
      <c r="J226" s="40"/>
      <c r="K226" s="40"/>
      <c r="L226" s="40"/>
      <c r="M226" s="40"/>
      <c r="N226" s="40"/>
      <c r="O226" s="41"/>
      <c r="P226" s="101" t="s">
        <v>7</v>
      </c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3"/>
      <c r="AF226" s="104" t="s">
        <v>8</v>
      </c>
      <c r="AG226" s="106" t="s">
        <v>9</v>
      </c>
      <c r="AH226" s="106" t="s">
        <v>10</v>
      </c>
    </row>
    <row r="227" spans="1:34" ht="41.25" customHeight="1" x14ac:dyDescent="0.25">
      <c r="A227" s="109"/>
      <c r="B227" s="109"/>
      <c r="C227" s="111"/>
      <c r="D227" s="111"/>
      <c r="E227" s="111"/>
      <c r="F227" s="111"/>
      <c r="G227" s="42" t="s">
        <v>11</v>
      </c>
      <c r="H227" s="42" t="s">
        <v>12</v>
      </c>
      <c r="I227" s="42" t="s">
        <v>13</v>
      </c>
      <c r="J227" s="42" t="s">
        <v>14</v>
      </c>
      <c r="K227" s="42" t="s">
        <v>15</v>
      </c>
      <c r="L227" s="42" t="s">
        <v>16</v>
      </c>
      <c r="M227" s="42" t="s">
        <v>17</v>
      </c>
      <c r="N227" s="42" t="s">
        <v>18</v>
      </c>
      <c r="O227" s="42" t="s">
        <v>19</v>
      </c>
      <c r="P227" s="4" t="s">
        <v>20</v>
      </c>
      <c r="Q227" s="4" t="s">
        <v>21</v>
      </c>
      <c r="R227" s="4" t="s">
        <v>22</v>
      </c>
      <c r="S227" s="4" t="s">
        <v>23</v>
      </c>
      <c r="T227" s="4" t="s">
        <v>24</v>
      </c>
      <c r="U227" s="4" t="s">
        <v>25</v>
      </c>
      <c r="V227" s="4" t="s">
        <v>26</v>
      </c>
      <c r="W227" s="4" t="s">
        <v>27</v>
      </c>
      <c r="X227" s="4" t="s">
        <v>28</v>
      </c>
      <c r="Y227" s="4" t="s">
        <v>29</v>
      </c>
      <c r="Z227" s="4" t="s">
        <v>30</v>
      </c>
      <c r="AA227" s="5" t="s">
        <v>31</v>
      </c>
      <c r="AB227" s="5" t="s">
        <v>32</v>
      </c>
      <c r="AC227" s="5" t="s">
        <v>33</v>
      </c>
      <c r="AD227" s="6" t="s">
        <v>34</v>
      </c>
      <c r="AE227" s="4" t="s">
        <v>35</v>
      </c>
      <c r="AF227" s="105"/>
      <c r="AG227" s="107"/>
      <c r="AH227" s="107"/>
    </row>
    <row r="228" spans="1:34" ht="21" x14ac:dyDescent="0.35">
      <c r="A228" s="43">
        <f>+التشغيل!A60</f>
        <v>0</v>
      </c>
      <c r="B228" s="44">
        <f>+التشغيل!B60</f>
        <v>0</v>
      </c>
      <c r="C228" s="45">
        <f>+التشغيل!C60</f>
        <v>0</v>
      </c>
      <c r="D228" s="45">
        <f>+التشغيل!D60</f>
        <v>0</v>
      </c>
      <c r="E228" s="45">
        <f>+التشغيل!E60</f>
        <v>0</v>
      </c>
      <c r="F228" s="46">
        <f>التشغيل!F60</f>
        <v>0</v>
      </c>
      <c r="G228" s="46">
        <f>التشغيل!G60</f>
        <v>0</v>
      </c>
      <c r="H228" s="46">
        <f>التشغيل!H60</f>
        <v>0</v>
      </c>
      <c r="I228" s="46">
        <f>التشغيل!I60</f>
        <v>0</v>
      </c>
      <c r="J228" s="46">
        <f>التشغيل!J60</f>
        <v>0</v>
      </c>
      <c r="K228" s="46">
        <f>التشغيل!K60</f>
        <v>0</v>
      </c>
      <c r="L228" s="46">
        <f>التشغيل!L60</f>
        <v>0</v>
      </c>
      <c r="M228" s="46">
        <f>التشغيل!M60</f>
        <v>0</v>
      </c>
      <c r="N228" s="46">
        <f>التشغيل!N60</f>
        <v>0</v>
      </c>
      <c r="O228" s="46">
        <f>التشغيل!O60</f>
        <v>0</v>
      </c>
      <c r="P228" s="46">
        <f>التشغيل!P60</f>
        <v>0</v>
      </c>
      <c r="Q228" s="46">
        <f>التشغيل!Q60</f>
        <v>0</v>
      </c>
      <c r="R228" s="47">
        <f>التشغيل!R60</f>
        <v>0</v>
      </c>
      <c r="S228" s="47">
        <f>التشغيل!S60</f>
        <v>0</v>
      </c>
      <c r="T228" s="46">
        <f>التشغيل!T60</f>
        <v>0</v>
      </c>
      <c r="U228" s="46">
        <f>التشغيل!U60</f>
        <v>0</v>
      </c>
      <c r="V228" s="46">
        <f>التشغيل!V60</f>
        <v>0</v>
      </c>
      <c r="W228" s="46">
        <f>التشغيل!W60</f>
        <v>0</v>
      </c>
      <c r="X228" s="46">
        <f>التشغيل!X60</f>
        <v>0</v>
      </c>
      <c r="Y228" s="46">
        <f>التشغيل!Y60</f>
        <v>0</v>
      </c>
      <c r="Z228" s="46">
        <f>التشغيل!Z60</f>
        <v>0</v>
      </c>
      <c r="AA228" s="46">
        <f>التشغيل!AA60</f>
        <v>0</v>
      </c>
      <c r="AB228" s="46">
        <f>التشغيل!AB60</f>
        <v>0</v>
      </c>
      <c r="AC228" s="46">
        <f>التشغيل!AC60</f>
        <v>0</v>
      </c>
      <c r="AD228" s="46">
        <f>التشغيل!AD60</f>
        <v>0</v>
      </c>
      <c r="AE228" s="46">
        <f>التشغيل!AE60</f>
        <v>0</v>
      </c>
      <c r="AF228" s="46">
        <f>التشغيل!AF60</f>
        <v>0</v>
      </c>
      <c r="AG228" s="46">
        <f>التشغيل!AG60</f>
        <v>0</v>
      </c>
      <c r="AH228" s="46">
        <f>التشغيل!AH60</f>
        <v>0</v>
      </c>
    </row>
    <row r="229" spans="1:34" ht="21" x14ac:dyDescent="0.35">
      <c r="A229" s="43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15.75" x14ac:dyDescent="0.25">
      <c r="A230" s="108" t="s">
        <v>0</v>
      </c>
      <c r="B230" s="108" t="s">
        <v>1</v>
      </c>
      <c r="C230" s="110" t="s">
        <v>2</v>
      </c>
      <c r="D230" s="110" t="s">
        <v>3</v>
      </c>
      <c r="E230" s="110" t="s">
        <v>39</v>
      </c>
      <c r="F230" s="110" t="s">
        <v>5</v>
      </c>
      <c r="G230" s="39" t="s">
        <v>6</v>
      </c>
      <c r="H230" s="40"/>
      <c r="I230" s="40"/>
      <c r="J230" s="40"/>
      <c r="K230" s="40"/>
      <c r="L230" s="40"/>
      <c r="M230" s="40"/>
      <c r="N230" s="40"/>
      <c r="O230" s="41"/>
      <c r="P230" s="101" t="s">
        <v>7</v>
      </c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3"/>
      <c r="AF230" s="104" t="s">
        <v>8</v>
      </c>
      <c r="AG230" s="106" t="s">
        <v>9</v>
      </c>
      <c r="AH230" s="106" t="s">
        <v>10</v>
      </c>
    </row>
    <row r="231" spans="1:34" ht="41.25" customHeight="1" x14ac:dyDescent="0.25">
      <c r="A231" s="109"/>
      <c r="B231" s="109"/>
      <c r="C231" s="111"/>
      <c r="D231" s="111"/>
      <c r="E231" s="111"/>
      <c r="F231" s="111"/>
      <c r="G231" s="42" t="s">
        <v>11</v>
      </c>
      <c r="H231" s="42" t="s">
        <v>12</v>
      </c>
      <c r="I231" s="42" t="s">
        <v>13</v>
      </c>
      <c r="J231" s="42" t="s">
        <v>14</v>
      </c>
      <c r="K231" s="42" t="s">
        <v>15</v>
      </c>
      <c r="L231" s="42" t="s">
        <v>16</v>
      </c>
      <c r="M231" s="42" t="s">
        <v>17</v>
      </c>
      <c r="N231" s="42" t="s">
        <v>18</v>
      </c>
      <c r="O231" s="42" t="s">
        <v>19</v>
      </c>
      <c r="P231" s="4" t="s">
        <v>20</v>
      </c>
      <c r="Q231" s="4" t="s">
        <v>21</v>
      </c>
      <c r="R231" s="4" t="s">
        <v>22</v>
      </c>
      <c r="S231" s="4" t="s">
        <v>23</v>
      </c>
      <c r="T231" s="4" t="s">
        <v>24</v>
      </c>
      <c r="U231" s="4" t="s">
        <v>25</v>
      </c>
      <c r="V231" s="4" t="s">
        <v>26</v>
      </c>
      <c r="W231" s="4" t="s">
        <v>27</v>
      </c>
      <c r="X231" s="4" t="s">
        <v>28</v>
      </c>
      <c r="Y231" s="4" t="s">
        <v>29</v>
      </c>
      <c r="Z231" s="4" t="s">
        <v>30</v>
      </c>
      <c r="AA231" s="5" t="s">
        <v>31</v>
      </c>
      <c r="AB231" s="5" t="s">
        <v>32</v>
      </c>
      <c r="AC231" s="5" t="s">
        <v>33</v>
      </c>
      <c r="AD231" s="6" t="s">
        <v>34</v>
      </c>
      <c r="AE231" s="4" t="s">
        <v>35</v>
      </c>
      <c r="AF231" s="105"/>
      <c r="AG231" s="107"/>
      <c r="AH231" s="107"/>
    </row>
    <row r="232" spans="1:34" ht="21" x14ac:dyDescent="0.35">
      <c r="A232" s="43">
        <f>+التشغيل!A61</f>
        <v>0</v>
      </c>
      <c r="B232" s="44">
        <f>+التشغيل!B61</f>
        <v>0</v>
      </c>
      <c r="C232" s="45">
        <f>+التشغيل!C61</f>
        <v>0</v>
      </c>
      <c r="D232" s="45">
        <f>+التشغيل!D61</f>
        <v>0</v>
      </c>
      <c r="E232" s="45">
        <f>+التشغيل!E61</f>
        <v>0</v>
      </c>
      <c r="F232" s="46">
        <f>التشغيل!F61</f>
        <v>0</v>
      </c>
      <c r="G232" s="46">
        <f>التشغيل!G61</f>
        <v>0</v>
      </c>
      <c r="H232" s="46">
        <f>التشغيل!H61</f>
        <v>0</v>
      </c>
      <c r="I232" s="46">
        <f>التشغيل!I61</f>
        <v>0</v>
      </c>
      <c r="J232" s="46">
        <f>التشغيل!J61</f>
        <v>0</v>
      </c>
      <c r="K232" s="46">
        <f>التشغيل!K61</f>
        <v>0</v>
      </c>
      <c r="L232" s="46">
        <f>التشغيل!L61</f>
        <v>0</v>
      </c>
      <c r="M232" s="46">
        <f>التشغيل!M61</f>
        <v>0</v>
      </c>
      <c r="N232" s="46">
        <f>التشغيل!N61</f>
        <v>0</v>
      </c>
      <c r="O232" s="46">
        <f>التشغيل!O61</f>
        <v>0</v>
      </c>
      <c r="P232" s="46">
        <f>التشغيل!P61</f>
        <v>0</v>
      </c>
      <c r="Q232" s="46">
        <f>التشغيل!Q61</f>
        <v>0</v>
      </c>
      <c r="R232" s="47">
        <f>التشغيل!R61</f>
        <v>0</v>
      </c>
      <c r="S232" s="47">
        <f>التشغيل!S61</f>
        <v>0</v>
      </c>
      <c r="T232" s="46">
        <f>التشغيل!T61</f>
        <v>0</v>
      </c>
      <c r="U232" s="46">
        <f>التشغيل!U61</f>
        <v>0</v>
      </c>
      <c r="V232" s="46">
        <f>التشغيل!V61</f>
        <v>0</v>
      </c>
      <c r="W232" s="46">
        <f>التشغيل!W61</f>
        <v>0</v>
      </c>
      <c r="X232" s="46">
        <f>التشغيل!X61</f>
        <v>0</v>
      </c>
      <c r="Y232" s="46">
        <f>التشغيل!Y61</f>
        <v>0</v>
      </c>
      <c r="Z232" s="46">
        <f>التشغيل!Z61</f>
        <v>0</v>
      </c>
      <c r="AA232" s="46">
        <f>التشغيل!AA61</f>
        <v>0</v>
      </c>
      <c r="AB232" s="46">
        <f>التشغيل!AB61</f>
        <v>0</v>
      </c>
      <c r="AC232" s="46">
        <f>التشغيل!AC61</f>
        <v>0</v>
      </c>
      <c r="AD232" s="46">
        <f>التشغيل!AD61</f>
        <v>0</v>
      </c>
      <c r="AE232" s="46">
        <f>التشغيل!AE61</f>
        <v>0</v>
      </c>
      <c r="AF232" s="46">
        <f>التشغيل!AF61</f>
        <v>0</v>
      </c>
      <c r="AG232" s="46">
        <f>التشغيل!AG61</f>
        <v>0</v>
      </c>
      <c r="AH232" s="46">
        <f>التشغيل!AH61</f>
        <v>0</v>
      </c>
    </row>
    <row r="233" spans="1:34" ht="21" x14ac:dyDescent="0.35">
      <c r="A233" s="43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15.75" x14ac:dyDescent="0.25">
      <c r="A234" s="108" t="s">
        <v>0</v>
      </c>
      <c r="B234" s="108" t="s">
        <v>1</v>
      </c>
      <c r="C234" s="110" t="s">
        <v>2</v>
      </c>
      <c r="D234" s="110" t="s">
        <v>3</v>
      </c>
      <c r="E234" s="110" t="s">
        <v>39</v>
      </c>
      <c r="F234" s="110" t="s">
        <v>5</v>
      </c>
      <c r="G234" s="39" t="s">
        <v>6</v>
      </c>
      <c r="H234" s="40"/>
      <c r="I234" s="40"/>
      <c r="J234" s="40"/>
      <c r="K234" s="40"/>
      <c r="L234" s="40"/>
      <c r="M234" s="40"/>
      <c r="N234" s="40"/>
      <c r="O234" s="41"/>
      <c r="P234" s="101" t="s">
        <v>7</v>
      </c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3"/>
      <c r="AF234" s="104" t="s">
        <v>8</v>
      </c>
      <c r="AG234" s="106" t="s">
        <v>9</v>
      </c>
      <c r="AH234" s="106" t="s">
        <v>10</v>
      </c>
    </row>
    <row r="235" spans="1:34" ht="41.25" customHeight="1" x14ac:dyDescent="0.25">
      <c r="A235" s="109"/>
      <c r="B235" s="109"/>
      <c r="C235" s="111"/>
      <c r="D235" s="111"/>
      <c r="E235" s="111"/>
      <c r="F235" s="111"/>
      <c r="G235" s="42" t="s">
        <v>11</v>
      </c>
      <c r="H235" s="42" t="s">
        <v>12</v>
      </c>
      <c r="I235" s="42" t="s">
        <v>13</v>
      </c>
      <c r="J235" s="42" t="s">
        <v>14</v>
      </c>
      <c r="K235" s="42" t="s">
        <v>15</v>
      </c>
      <c r="L235" s="42" t="s">
        <v>16</v>
      </c>
      <c r="M235" s="42" t="s">
        <v>17</v>
      </c>
      <c r="N235" s="42" t="s">
        <v>18</v>
      </c>
      <c r="O235" s="42" t="s">
        <v>19</v>
      </c>
      <c r="P235" s="4" t="s">
        <v>20</v>
      </c>
      <c r="Q235" s="4" t="s">
        <v>21</v>
      </c>
      <c r="R235" s="4" t="s">
        <v>22</v>
      </c>
      <c r="S235" s="4" t="s">
        <v>23</v>
      </c>
      <c r="T235" s="4" t="s">
        <v>24</v>
      </c>
      <c r="U235" s="4" t="s">
        <v>25</v>
      </c>
      <c r="V235" s="4" t="s">
        <v>26</v>
      </c>
      <c r="W235" s="4" t="s">
        <v>27</v>
      </c>
      <c r="X235" s="4" t="s">
        <v>28</v>
      </c>
      <c r="Y235" s="4" t="s">
        <v>29</v>
      </c>
      <c r="Z235" s="4" t="s">
        <v>30</v>
      </c>
      <c r="AA235" s="5" t="s">
        <v>31</v>
      </c>
      <c r="AB235" s="5" t="s">
        <v>32</v>
      </c>
      <c r="AC235" s="5" t="s">
        <v>33</v>
      </c>
      <c r="AD235" s="6" t="s">
        <v>34</v>
      </c>
      <c r="AE235" s="4" t="s">
        <v>35</v>
      </c>
      <c r="AF235" s="105"/>
      <c r="AG235" s="107"/>
      <c r="AH235" s="107"/>
    </row>
    <row r="236" spans="1:34" ht="21" x14ac:dyDescent="0.35">
      <c r="A236" s="43">
        <f>+التشغيل!A62</f>
        <v>0</v>
      </c>
      <c r="B236" s="44">
        <f>+التشغيل!B62</f>
        <v>0</v>
      </c>
      <c r="C236" s="45">
        <f>+التشغيل!C62</f>
        <v>0</v>
      </c>
      <c r="D236" s="45">
        <f>+التشغيل!D62</f>
        <v>0</v>
      </c>
      <c r="E236" s="45">
        <f>+التشغيل!E62</f>
        <v>0</v>
      </c>
      <c r="F236" s="46">
        <f>التشغيل!F62</f>
        <v>0</v>
      </c>
      <c r="G236" s="46">
        <f>التشغيل!G62</f>
        <v>0</v>
      </c>
      <c r="H236" s="46">
        <f>التشغيل!H62</f>
        <v>0</v>
      </c>
      <c r="I236" s="46">
        <f>التشغيل!I62</f>
        <v>0</v>
      </c>
      <c r="J236" s="46">
        <f>التشغيل!J62</f>
        <v>0</v>
      </c>
      <c r="K236" s="46">
        <f>التشغيل!K62</f>
        <v>0</v>
      </c>
      <c r="L236" s="46">
        <f>التشغيل!L62</f>
        <v>0</v>
      </c>
      <c r="M236" s="46">
        <f>التشغيل!M62</f>
        <v>0</v>
      </c>
      <c r="N236" s="46">
        <f>التشغيل!N62</f>
        <v>0</v>
      </c>
      <c r="O236" s="46">
        <f>التشغيل!O62</f>
        <v>0</v>
      </c>
      <c r="P236" s="46">
        <f>التشغيل!P62</f>
        <v>0</v>
      </c>
      <c r="Q236" s="46">
        <f>التشغيل!Q62</f>
        <v>0</v>
      </c>
      <c r="R236" s="47">
        <f>التشغيل!R62</f>
        <v>0</v>
      </c>
      <c r="S236" s="47">
        <f>التشغيل!S62</f>
        <v>0</v>
      </c>
      <c r="T236" s="46">
        <f>التشغيل!T62</f>
        <v>0</v>
      </c>
      <c r="U236" s="46">
        <f>التشغيل!U62</f>
        <v>0</v>
      </c>
      <c r="V236" s="46">
        <f>التشغيل!V62</f>
        <v>0</v>
      </c>
      <c r="W236" s="46">
        <f>التشغيل!W62</f>
        <v>0</v>
      </c>
      <c r="X236" s="46">
        <f>التشغيل!X62</f>
        <v>0</v>
      </c>
      <c r="Y236" s="46">
        <f>التشغيل!Y62</f>
        <v>0</v>
      </c>
      <c r="Z236" s="46">
        <f>التشغيل!Z62</f>
        <v>0</v>
      </c>
      <c r="AA236" s="46">
        <f>التشغيل!AA62</f>
        <v>0</v>
      </c>
      <c r="AB236" s="46">
        <f>التشغيل!AB62</f>
        <v>0</v>
      </c>
      <c r="AC236" s="46">
        <f>التشغيل!AC62</f>
        <v>0</v>
      </c>
      <c r="AD236" s="46">
        <f>التشغيل!AD62</f>
        <v>0</v>
      </c>
      <c r="AE236" s="46">
        <f>التشغيل!AE62</f>
        <v>0</v>
      </c>
      <c r="AF236" s="46">
        <f>التشغيل!AF62</f>
        <v>0</v>
      </c>
      <c r="AG236" s="46">
        <f>التشغيل!AG62</f>
        <v>0</v>
      </c>
      <c r="AH236" s="46">
        <f>التشغيل!AH62</f>
        <v>0</v>
      </c>
    </row>
    <row r="237" spans="1:34" ht="21" x14ac:dyDescent="0.35">
      <c r="A237" s="43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7"/>
      <c r="S237" s="47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15.75" x14ac:dyDescent="0.25">
      <c r="A238" s="108" t="s">
        <v>0</v>
      </c>
      <c r="B238" s="108" t="s">
        <v>1</v>
      </c>
      <c r="C238" s="110" t="s">
        <v>2</v>
      </c>
      <c r="D238" s="110" t="s">
        <v>3</v>
      </c>
      <c r="E238" s="110" t="s">
        <v>39</v>
      </c>
      <c r="F238" s="110" t="s">
        <v>5</v>
      </c>
      <c r="G238" s="39" t="s">
        <v>6</v>
      </c>
      <c r="H238" s="40"/>
      <c r="I238" s="40"/>
      <c r="J238" s="40"/>
      <c r="K238" s="40"/>
      <c r="L238" s="40"/>
      <c r="M238" s="40"/>
      <c r="N238" s="40"/>
      <c r="O238" s="41"/>
      <c r="P238" s="101" t="s">
        <v>7</v>
      </c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3"/>
      <c r="AF238" s="104" t="s">
        <v>8</v>
      </c>
      <c r="AG238" s="106" t="s">
        <v>9</v>
      </c>
      <c r="AH238" s="106" t="s">
        <v>10</v>
      </c>
    </row>
    <row r="239" spans="1:34" ht="41.25" customHeight="1" x14ac:dyDescent="0.25">
      <c r="A239" s="109"/>
      <c r="B239" s="109"/>
      <c r="C239" s="111"/>
      <c r="D239" s="111"/>
      <c r="E239" s="111"/>
      <c r="F239" s="111"/>
      <c r="G239" s="42" t="s">
        <v>11</v>
      </c>
      <c r="H239" s="42" t="s">
        <v>12</v>
      </c>
      <c r="I239" s="42" t="s">
        <v>13</v>
      </c>
      <c r="J239" s="42" t="s">
        <v>14</v>
      </c>
      <c r="K239" s="42" t="s">
        <v>15</v>
      </c>
      <c r="L239" s="42" t="s">
        <v>16</v>
      </c>
      <c r="M239" s="42" t="s">
        <v>17</v>
      </c>
      <c r="N239" s="42" t="s">
        <v>18</v>
      </c>
      <c r="O239" s="42" t="s">
        <v>19</v>
      </c>
      <c r="P239" s="4" t="s">
        <v>20</v>
      </c>
      <c r="Q239" s="4" t="s">
        <v>21</v>
      </c>
      <c r="R239" s="4" t="s">
        <v>22</v>
      </c>
      <c r="S239" s="4" t="s">
        <v>23</v>
      </c>
      <c r="T239" s="4" t="s">
        <v>24</v>
      </c>
      <c r="U239" s="4" t="s">
        <v>25</v>
      </c>
      <c r="V239" s="4" t="s">
        <v>26</v>
      </c>
      <c r="W239" s="4" t="s">
        <v>27</v>
      </c>
      <c r="X239" s="4" t="s">
        <v>28</v>
      </c>
      <c r="Y239" s="4" t="s">
        <v>29</v>
      </c>
      <c r="Z239" s="4" t="s">
        <v>30</v>
      </c>
      <c r="AA239" s="5" t="s">
        <v>31</v>
      </c>
      <c r="AB239" s="5" t="s">
        <v>32</v>
      </c>
      <c r="AC239" s="5" t="s">
        <v>33</v>
      </c>
      <c r="AD239" s="6" t="s">
        <v>34</v>
      </c>
      <c r="AE239" s="4" t="s">
        <v>35</v>
      </c>
      <c r="AF239" s="105"/>
      <c r="AG239" s="107"/>
      <c r="AH239" s="107"/>
    </row>
    <row r="240" spans="1:34" ht="21" x14ac:dyDescent="0.35">
      <c r="A240" s="43">
        <f>+التشغيل!A63</f>
        <v>0</v>
      </c>
      <c r="B240" s="44">
        <f>+التشغيل!B63</f>
        <v>0</v>
      </c>
      <c r="C240" s="45">
        <f>+التشغيل!C63</f>
        <v>0</v>
      </c>
      <c r="D240" s="45">
        <f>+التشغيل!D63</f>
        <v>0</v>
      </c>
      <c r="E240" s="45">
        <f>+التشغيل!E63</f>
        <v>0</v>
      </c>
      <c r="F240" s="46">
        <f>التشغيل!F63</f>
        <v>0</v>
      </c>
      <c r="G240" s="46">
        <f>التشغيل!G63</f>
        <v>0</v>
      </c>
      <c r="H240" s="46">
        <f>التشغيل!H63</f>
        <v>0</v>
      </c>
      <c r="I240" s="46">
        <f>التشغيل!I63</f>
        <v>0</v>
      </c>
      <c r="J240" s="46">
        <f>التشغيل!J63</f>
        <v>0</v>
      </c>
      <c r="K240" s="46">
        <f>التشغيل!K63</f>
        <v>0</v>
      </c>
      <c r="L240" s="46">
        <f>التشغيل!L63</f>
        <v>0</v>
      </c>
      <c r="M240" s="46">
        <f>التشغيل!M63</f>
        <v>0</v>
      </c>
      <c r="N240" s="46">
        <f>التشغيل!N63</f>
        <v>0</v>
      </c>
      <c r="O240" s="46">
        <f>التشغيل!O63</f>
        <v>0</v>
      </c>
      <c r="P240" s="46">
        <f>التشغيل!P63</f>
        <v>0</v>
      </c>
      <c r="Q240" s="46">
        <f>التشغيل!Q63</f>
        <v>0</v>
      </c>
      <c r="R240" s="47">
        <f>التشغيل!R63</f>
        <v>0</v>
      </c>
      <c r="S240" s="47">
        <f>التشغيل!S63</f>
        <v>0</v>
      </c>
      <c r="T240" s="46">
        <f>التشغيل!T63</f>
        <v>0</v>
      </c>
      <c r="U240" s="46">
        <f>التشغيل!U63</f>
        <v>0</v>
      </c>
      <c r="V240" s="46">
        <f>التشغيل!V63</f>
        <v>0</v>
      </c>
      <c r="W240" s="46">
        <f>التشغيل!W63</f>
        <v>0</v>
      </c>
      <c r="X240" s="46">
        <f>التشغيل!X63</f>
        <v>0</v>
      </c>
      <c r="Y240" s="46">
        <f>التشغيل!Y63</f>
        <v>0</v>
      </c>
      <c r="Z240" s="46">
        <f>التشغيل!Z63</f>
        <v>0</v>
      </c>
      <c r="AA240" s="46">
        <f>التشغيل!AA63</f>
        <v>0</v>
      </c>
      <c r="AB240" s="46">
        <f>التشغيل!AB63</f>
        <v>0</v>
      </c>
      <c r="AC240" s="46">
        <f>التشغيل!AC63</f>
        <v>0</v>
      </c>
      <c r="AD240" s="46">
        <f>التشغيل!AD63</f>
        <v>0</v>
      </c>
      <c r="AE240" s="46">
        <f>التشغيل!AE63</f>
        <v>0</v>
      </c>
      <c r="AF240" s="46">
        <f>التشغيل!AF63</f>
        <v>0</v>
      </c>
      <c r="AG240" s="46">
        <f>التشغيل!AG63</f>
        <v>0</v>
      </c>
      <c r="AH240" s="46">
        <f>التشغيل!AH63</f>
        <v>0</v>
      </c>
    </row>
    <row r="241" spans="1:34" ht="21" x14ac:dyDescent="0.35">
      <c r="A241" s="43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15.75" x14ac:dyDescent="0.25">
      <c r="A242" s="108" t="s">
        <v>0</v>
      </c>
      <c r="B242" s="108" t="s">
        <v>1</v>
      </c>
      <c r="C242" s="110" t="s">
        <v>2</v>
      </c>
      <c r="D242" s="110" t="s">
        <v>3</v>
      </c>
      <c r="E242" s="110" t="s">
        <v>39</v>
      </c>
      <c r="F242" s="110" t="s">
        <v>5</v>
      </c>
      <c r="G242" s="39" t="s">
        <v>6</v>
      </c>
      <c r="H242" s="40"/>
      <c r="I242" s="40"/>
      <c r="J242" s="40"/>
      <c r="K242" s="40"/>
      <c r="L242" s="40"/>
      <c r="M242" s="40"/>
      <c r="N242" s="40"/>
      <c r="O242" s="41"/>
      <c r="P242" s="101" t="s">
        <v>7</v>
      </c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3"/>
      <c r="AF242" s="104" t="s">
        <v>8</v>
      </c>
      <c r="AG242" s="106" t="s">
        <v>9</v>
      </c>
      <c r="AH242" s="106" t="s">
        <v>10</v>
      </c>
    </row>
    <row r="243" spans="1:34" ht="41.25" customHeight="1" x14ac:dyDescent="0.25">
      <c r="A243" s="109"/>
      <c r="B243" s="109"/>
      <c r="C243" s="111"/>
      <c r="D243" s="111"/>
      <c r="E243" s="111"/>
      <c r="F243" s="111"/>
      <c r="G243" s="42" t="s">
        <v>11</v>
      </c>
      <c r="H243" s="42" t="s">
        <v>12</v>
      </c>
      <c r="I243" s="42" t="s">
        <v>13</v>
      </c>
      <c r="J243" s="42" t="s">
        <v>14</v>
      </c>
      <c r="K243" s="42" t="s">
        <v>15</v>
      </c>
      <c r="L243" s="42" t="s">
        <v>16</v>
      </c>
      <c r="M243" s="42" t="s">
        <v>17</v>
      </c>
      <c r="N243" s="42" t="s">
        <v>18</v>
      </c>
      <c r="O243" s="42" t="s">
        <v>19</v>
      </c>
      <c r="P243" s="4" t="s">
        <v>20</v>
      </c>
      <c r="Q243" s="4" t="s">
        <v>21</v>
      </c>
      <c r="R243" s="4" t="s">
        <v>22</v>
      </c>
      <c r="S243" s="4" t="s">
        <v>23</v>
      </c>
      <c r="T243" s="4" t="s">
        <v>24</v>
      </c>
      <c r="U243" s="4" t="s">
        <v>25</v>
      </c>
      <c r="V243" s="4" t="s">
        <v>26</v>
      </c>
      <c r="W243" s="4" t="s">
        <v>27</v>
      </c>
      <c r="X243" s="4" t="s">
        <v>28</v>
      </c>
      <c r="Y243" s="4" t="s">
        <v>29</v>
      </c>
      <c r="Z243" s="4" t="s">
        <v>30</v>
      </c>
      <c r="AA243" s="5" t="s">
        <v>31</v>
      </c>
      <c r="AB243" s="5" t="s">
        <v>32</v>
      </c>
      <c r="AC243" s="5" t="s">
        <v>33</v>
      </c>
      <c r="AD243" s="6" t="s">
        <v>34</v>
      </c>
      <c r="AE243" s="4" t="s">
        <v>35</v>
      </c>
      <c r="AF243" s="105"/>
      <c r="AG243" s="107"/>
      <c r="AH243" s="107"/>
    </row>
    <row r="244" spans="1:34" ht="21" x14ac:dyDescent="0.35">
      <c r="A244" s="43">
        <f>+التشغيل!A64</f>
        <v>0</v>
      </c>
      <c r="B244" s="44">
        <f>+التشغيل!B64</f>
        <v>0</v>
      </c>
      <c r="C244" s="45">
        <f>+التشغيل!C64</f>
        <v>0</v>
      </c>
      <c r="D244" s="45">
        <f>+التشغيل!D64</f>
        <v>0</v>
      </c>
      <c r="E244" s="45">
        <f>+التشغيل!E64</f>
        <v>0</v>
      </c>
      <c r="F244" s="46">
        <f>التشغيل!F64</f>
        <v>0</v>
      </c>
      <c r="G244" s="46">
        <f>التشغيل!G64</f>
        <v>0</v>
      </c>
      <c r="H244" s="46">
        <f>التشغيل!H64</f>
        <v>0</v>
      </c>
      <c r="I244" s="46">
        <f>التشغيل!I64</f>
        <v>0</v>
      </c>
      <c r="J244" s="46">
        <f>التشغيل!J64</f>
        <v>0</v>
      </c>
      <c r="K244" s="46">
        <f>التشغيل!K64</f>
        <v>0</v>
      </c>
      <c r="L244" s="46">
        <f>التشغيل!L64</f>
        <v>0</v>
      </c>
      <c r="M244" s="46">
        <f>التشغيل!M64</f>
        <v>0</v>
      </c>
      <c r="N244" s="46">
        <f>التشغيل!N64</f>
        <v>0</v>
      </c>
      <c r="O244" s="46">
        <f>التشغيل!O64</f>
        <v>0</v>
      </c>
      <c r="P244" s="46">
        <f>التشغيل!P64</f>
        <v>0</v>
      </c>
      <c r="Q244" s="46">
        <f>التشغيل!Q64</f>
        <v>0</v>
      </c>
      <c r="R244" s="47">
        <f>التشغيل!R64</f>
        <v>0</v>
      </c>
      <c r="S244" s="47">
        <f>التشغيل!S64</f>
        <v>0</v>
      </c>
      <c r="T244" s="46">
        <f>التشغيل!T64</f>
        <v>0</v>
      </c>
      <c r="U244" s="46">
        <f>التشغيل!U64</f>
        <v>0</v>
      </c>
      <c r="V244" s="46">
        <f>التشغيل!V64</f>
        <v>0</v>
      </c>
      <c r="W244" s="46">
        <f>التشغيل!W64</f>
        <v>0</v>
      </c>
      <c r="X244" s="46">
        <f>التشغيل!X64</f>
        <v>0</v>
      </c>
      <c r="Y244" s="46">
        <f>التشغيل!Y64</f>
        <v>0</v>
      </c>
      <c r="Z244" s="46">
        <f>التشغيل!Z64</f>
        <v>0</v>
      </c>
      <c r="AA244" s="46">
        <f>التشغيل!AA64</f>
        <v>0</v>
      </c>
      <c r="AB244" s="46">
        <f>التشغيل!AB64</f>
        <v>0</v>
      </c>
      <c r="AC244" s="46">
        <f>التشغيل!AC64</f>
        <v>0</v>
      </c>
      <c r="AD244" s="46">
        <f>التشغيل!AD64</f>
        <v>0</v>
      </c>
      <c r="AE244" s="46">
        <f>التشغيل!AE64</f>
        <v>0</v>
      </c>
      <c r="AF244" s="46">
        <f>التشغيل!AF64</f>
        <v>0</v>
      </c>
      <c r="AG244" s="46">
        <f>التشغيل!AG64</f>
        <v>0</v>
      </c>
      <c r="AH244" s="46">
        <f>التشغيل!AH64</f>
        <v>0</v>
      </c>
    </row>
    <row r="245" spans="1:34" ht="21" x14ac:dyDescent="0.35">
      <c r="A245" s="43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7"/>
      <c r="S245" s="47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15.75" x14ac:dyDescent="0.25">
      <c r="A246" s="108" t="s">
        <v>0</v>
      </c>
      <c r="B246" s="108" t="s">
        <v>1</v>
      </c>
      <c r="C246" s="110" t="s">
        <v>2</v>
      </c>
      <c r="D246" s="110" t="s">
        <v>3</v>
      </c>
      <c r="E246" s="110" t="s">
        <v>39</v>
      </c>
      <c r="F246" s="110" t="s">
        <v>5</v>
      </c>
      <c r="G246" s="39" t="s">
        <v>6</v>
      </c>
      <c r="H246" s="40"/>
      <c r="I246" s="40"/>
      <c r="J246" s="40"/>
      <c r="K246" s="40"/>
      <c r="L246" s="40"/>
      <c r="M246" s="40"/>
      <c r="N246" s="40"/>
      <c r="O246" s="41"/>
      <c r="P246" s="101" t="s">
        <v>7</v>
      </c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3"/>
      <c r="AF246" s="104" t="s">
        <v>8</v>
      </c>
      <c r="AG246" s="106" t="s">
        <v>9</v>
      </c>
      <c r="AH246" s="106" t="s">
        <v>10</v>
      </c>
    </row>
    <row r="247" spans="1:34" ht="41.25" customHeight="1" x14ac:dyDescent="0.25">
      <c r="A247" s="109"/>
      <c r="B247" s="109"/>
      <c r="C247" s="111"/>
      <c r="D247" s="111"/>
      <c r="E247" s="111"/>
      <c r="F247" s="111"/>
      <c r="G247" s="42" t="s">
        <v>11</v>
      </c>
      <c r="H247" s="42" t="s">
        <v>12</v>
      </c>
      <c r="I247" s="42" t="s">
        <v>13</v>
      </c>
      <c r="J247" s="42" t="s">
        <v>14</v>
      </c>
      <c r="K247" s="42" t="s">
        <v>15</v>
      </c>
      <c r="L247" s="42" t="s">
        <v>16</v>
      </c>
      <c r="M247" s="42" t="s">
        <v>17</v>
      </c>
      <c r="N247" s="42" t="s">
        <v>18</v>
      </c>
      <c r="O247" s="42" t="s">
        <v>19</v>
      </c>
      <c r="P247" s="4" t="s">
        <v>20</v>
      </c>
      <c r="Q247" s="4" t="s">
        <v>21</v>
      </c>
      <c r="R247" s="4" t="s">
        <v>22</v>
      </c>
      <c r="S247" s="4" t="s">
        <v>23</v>
      </c>
      <c r="T247" s="4" t="s">
        <v>24</v>
      </c>
      <c r="U247" s="4" t="s">
        <v>25</v>
      </c>
      <c r="V247" s="4" t="s">
        <v>26</v>
      </c>
      <c r="W247" s="4" t="s">
        <v>27</v>
      </c>
      <c r="X247" s="4" t="s">
        <v>28</v>
      </c>
      <c r="Y247" s="4" t="s">
        <v>29</v>
      </c>
      <c r="Z247" s="4" t="s">
        <v>30</v>
      </c>
      <c r="AA247" s="5" t="s">
        <v>31</v>
      </c>
      <c r="AB247" s="5" t="s">
        <v>32</v>
      </c>
      <c r="AC247" s="5" t="s">
        <v>33</v>
      </c>
      <c r="AD247" s="6" t="s">
        <v>34</v>
      </c>
      <c r="AE247" s="4" t="s">
        <v>35</v>
      </c>
      <c r="AF247" s="105"/>
      <c r="AG247" s="107"/>
      <c r="AH247" s="107"/>
    </row>
    <row r="248" spans="1:34" ht="21" x14ac:dyDescent="0.35">
      <c r="A248" s="43">
        <f>+التشغيل!A65</f>
        <v>0</v>
      </c>
      <c r="B248" s="44">
        <f>+التشغيل!B65</f>
        <v>0</v>
      </c>
      <c r="C248" s="45">
        <f>+التشغيل!C65</f>
        <v>0</v>
      </c>
      <c r="D248" s="45">
        <f>+التشغيل!D65</f>
        <v>0</v>
      </c>
      <c r="E248" s="45">
        <f>+التشغيل!E65</f>
        <v>0</v>
      </c>
      <c r="F248" s="46">
        <f>التشغيل!F65</f>
        <v>0</v>
      </c>
      <c r="G248" s="46">
        <f>التشغيل!G65</f>
        <v>0</v>
      </c>
      <c r="H248" s="46">
        <f>التشغيل!H65</f>
        <v>0</v>
      </c>
      <c r="I248" s="46">
        <f>التشغيل!I65</f>
        <v>0</v>
      </c>
      <c r="J248" s="46">
        <f>التشغيل!J65</f>
        <v>0</v>
      </c>
      <c r="K248" s="46">
        <f>التشغيل!K65</f>
        <v>0</v>
      </c>
      <c r="L248" s="46">
        <f>التشغيل!L65</f>
        <v>0</v>
      </c>
      <c r="M248" s="46">
        <f>التشغيل!M65</f>
        <v>0</v>
      </c>
      <c r="N248" s="46">
        <f>التشغيل!N65</f>
        <v>0</v>
      </c>
      <c r="O248" s="46">
        <f>التشغيل!O65</f>
        <v>0</v>
      </c>
      <c r="P248" s="46">
        <f>التشغيل!P65</f>
        <v>0</v>
      </c>
      <c r="Q248" s="46">
        <f>التشغيل!Q65</f>
        <v>0</v>
      </c>
      <c r="R248" s="47">
        <f>التشغيل!R65</f>
        <v>0</v>
      </c>
      <c r="S248" s="47">
        <f>التشغيل!S65</f>
        <v>0</v>
      </c>
      <c r="T248" s="46">
        <f>التشغيل!T65</f>
        <v>0</v>
      </c>
      <c r="U248" s="46">
        <f>التشغيل!U65</f>
        <v>0</v>
      </c>
      <c r="V248" s="46">
        <f>التشغيل!V65</f>
        <v>0</v>
      </c>
      <c r="W248" s="46">
        <f>التشغيل!W65</f>
        <v>0</v>
      </c>
      <c r="X248" s="46">
        <f>التشغيل!X65</f>
        <v>0</v>
      </c>
      <c r="Y248" s="46">
        <f>التشغيل!Y65</f>
        <v>0</v>
      </c>
      <c r="Z248" s="46">
        <f>التشغيل!Z65</f>
        <v>0</v>
      </c>
      <c r="AA248" s="46">
        <f>التشغيل!AA65</f>
        <v>0</v>
      </c>
      <c r="AB248" s="46">
        <f>التشغيل!AB65</f>
        <v>0</v>
      </c>
      <c r="AC248" s="46">
        <f>التشغيل!AC65</f>
        <v>0</v>
      </c>
      <c r="AD248" s="46">
        <f>التشغيل!AD65</f>
        <v>0</v>
      </c>
      <c r="AE248" s="46">
        <f>التشغيل!AE65</f>
        <v>0</v>
      </c>
      <c r="AF248" s="46">
        <f>التشغيل!AF65</f>
        <v>0</v>
      </c>
      <c r="AG248" s="46">
        <f>التشغيل!AG65</f>
        <v>0</v>
      </c>
      <c r="AH248" s="46">
        <f>التشغيل!AH65</f>
        <v>0</v>
      </c>
    </row>
    <row r="249" spans="1:34" ht="21" x14ac:dyDescent="0.35">
      <c r="A249" s="43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15.75" x14ac:dyDescent="0.25">
      <c r="A250" s="108" t="s">
        <v>0</v>
      </c>
      <c r="B250" s="108" t="s">
        <v>1</v>
      </c>
      <c r="C250" s="110" t="s">
        <v>2</v>
      </c>
      <c r="D250" s="110" t="s">
        <v>3</v>
      </c>
      <c r="E250" s="110" t="s">
        <v>39</v>
      </c>
      <c r="F250" s="110" t="s">
        <v>5</v>
      </c>
      <c r="G250" s="39" t="s">
        <v>6</v>
      </c>
      <c r="H250" s="40"/>
      <c r="I250" s="40"/>
      <c r="J250" s="40"/>
      <c r="K250" s="40"/>
      <c r="L250" s="40"/>
      <c r="M250" s="40"/>
      <c r="N250" s="40"/>
      <c r="O250" s="41"/>
      <c r="P250" s="101" t="s">
        <v>7</v>
      </c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3"/>
      <c r="AF250" s="104" t="s">
        <v>8</v>
      </c>
      <c r="AG250" s="106" t="s">
        <v>9</v>
      </c>
      <c r="AH250" s="106" t="s">
        <v>10</v>
      </c>
    </row>
    <row r="251" spans="1:34" ht="41.25" customHeight="1" x14ac:dyDescent="0.25">
      <c r="A251" s="109"/>
      <c r="B251" s="109"/>
      <c r="C251" s="111"/>
      <c r="D251" s="111"/>
      <c r="E251" s="111"/>
      <c r="F251" s="111"/>
      <c r="G251" s="42" t="s">
        <v>11</v>
      </c>
      <c r="H251" s="42" t="s">
        <v>12</v>
      </c>
      <c r="I251" s="42" t="s">
        <v>13</v>
      </c>
      <c r="J251" s="42" t="s">
        <v>14</v>
      </c>
      <c r="K251" s="42" t="s">
        <v>15</v>
      </c>
      <c r="L251" s="42" t="s">
        <v>16</v>
      </c>
      <c r="M251" s="42" t="s">
        <v>17</v>
      </c>
      <c r="N251" s="42" t="s">
        <v>18</v>
      </c>
      <c r="O251" s="42" t="s">
        <v>19</v>
      </c>
      <c r="P251" s="4" t="s">
        <v>20</v>
      </c>
      <c r="Q251" s="4" t="s">
        <v>21</v>
      </c>
      <c r="R251" s="4" t="s">
        <v>22</v>
      </c>
      <c r="S251" s="4" t="s">
        <v>23</v>
      </c>
      <c r="T251" s="4" t="s">
        <v>24</v>
      </c>
      <c r="U251" s="4" t="s">
        <v>25</v>
      </c>
      <c r="V251" s="4" t="s">
        <v>26</v>
      </c>
      <c r="W251" s="4" t="s">
        <v>27</v>
      </c>
      <c r="X251" s="4" t="s">
        <v>28</v>
      </c>
      <c r="Y251" s="4" t="s">
        <v>29</v>
      </c>
      <c r="Z251" s="4" t="s">
        <v>30</v>
      </c>
      <c r="AA251" s="5" t="s">
        <v>31</v>
      </c>
      <c r="AB251" s="5" t="s">
        <v>32</v>
      </c>
      <c r="AC251" s="5" t="s">
        <v>33</v>
      </c>
      <c r="AD251" s="6" t="s">
        <v>34</v>
      </c>
      <c r="AE251" s="4" t="s">
        <v>35</v>
      </c>
      <c r="AF251" s="105"/>
      <c r="AG251" s="107"/>
      <c r="AH251" s="107"/>
    </row>
    <row r="252" spans="1:34" ht="21" x14ac:dyDescent="0.35">
      <c r="A252" s="43">
        <f>+التشغيل!A66</f>
        <v>0</v>
      </c>
      <c r="B252" s="44">
        <f>+التشغيل!B66</f>
        <v>0</v>
      </c>
      <c r="C252" s="45">
        <f>+التشغيل!C66</f>
        <v>0</v>
      </c>
      <c r="D252" s="45">
        <f>+التشغيل!D66</f>
        <v>0</v>
      </c>
      <c r="E252" s="45">
        <f>+التشغيل!E66</f>
        <v>0</v>
      </c>
      <c r="F252" s="46">
        <f>التشغيل!F66</f>
        <v>0</v>
      </c>
      <c r="G252" s="46">
        <f>التشغيل!G66</f>
        <v>0</v>
      </c>
      <c r="H252" s="46">
        <f>التشغيل!H66</f>
        <v>0</v>
      </c>
      <c r="I252" s="46">
        <f>التشغيل!I66</f>
        <v>0</v>
      </c>
      <c r="J252" s="46">
        <f>التشغيل!J66</f>
        <v>0</v>
      </c>
      <c r="K252" s="46">
        <f>التشغيل!K66</f>
        <v>0</v>
      </c>
      <c r="L252" s="46">
        <f>التشغيل!L66</f>
        <v>0</v>
      </c>
      <c r="M252" s="46">
        <f>التشغيل!M66</f>
        <v>0</v>
      </c>
      <c r="N252" s="46">
        <f>التشغيل!N66</f>
        <v>0</v>
      </c>
      <c r="O252" s="46">
        <f>التشغيل!O66</f>
        <v>0</v>
      </c>
      <c r="P252" s="46">
        <f>التشغيل!P66</f>
        <v>0</v>
      </c>
      <c r="Q252" s="46">
        <f>التشغيل!Q66</f>
        <v>0</v>
      </c>
      <c r="R252" s="47">
        <f>التشغيل!R66</f>
        <v>0</v>
      </c>
      <c r="S252" s="47">
        <f>التشغيل!S66</f>
        <v>0</v>
      </c>
      <c r="T252" s="46">
        <f>التشغيل!T66</f>
        <v>0</v>
      </c>
      <c r="U252" s="46">
        <f>التشغيل!U66</f>
        <v>0</v>
      </c>
      <c r="V252" s="46">
        <f>التشغيل!V66</f>
        <v>0</v>
      </c>
      <c r="W252" s="46">
        <f>التشغيل!W66</f>
        <v>0</v>
      </c>
      <c r="X252" s="46">
        <f>التشغيل!X66</f>
        <v>0</v>
      </c>
      <c r="Y252" s="46">
        <f>التشغيل!Y66</f>
        <v>0</v>
      </c>
      <c r="Z252" s="46">
        <f>التشغيل!Z66</f>
        <v>0</v>
      </c>
      <c r="AA252" s="46">
        <f>التشغيل!AA66</f>
        <v>0</v>
      </c>
      <c r="AB252" s="46">
        <f>التشغيل!AB66</f>
        <v>0</v>
      </c>
      <c r="AC252" s="46">
        <f>التشغيل!AC66</f>
        <v>0</v>
      </c>
      <c r="AD252" s="46">
        <f>التشغيل!AD66</f>
        <v>0</v>
      </c>
      <c r="AE252" s="46">
        <f>التشغيل!AE66</f>
        <v>0</v>
      </c>
      <c r="AF252" s="46">
        <f>التشغيل!AF66</f>
        <v>0</v>
      </c>
      <c r="AG252" s="46">
        <f>التشغيل!AG66</f>
        <v>0</v>
      </c>
      <c r="AH252" s="46">
        <f>التشغيل!AH66</f>
        <v>0</v>
      </c>
    </row>
    <row r="253" spans="1:34" ht="21" x14ac:dyDescent="0.35">
      <c r="A253" s="43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7"/>
      <c r="S253" s="47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15.75" x14ac:dyDescent="0.25">
      <c r="A254" s="108" t="s">
        <v>0</v>
      </c>
      <c r="B254" s="108" t="s">
        <v>1</v>
      </c>
      <c r="C254" s="110" t="s">
        <v>2</v>
      </c>
      <c r="D254" s="110" t="s">
        <v>3</v>
      </c>
      <c r="E254" s="110" t="s">
        <v>39</v>
      </c>
      <c r="F254" s="110" t="s">
        <v>5</v>
      </c>
      <c r="G254" s="39" t="s">
        <v>6</v>
      </c>
      <c r="H254" s="40"/>
      <c r="I254" s="40"/>
      <c r="J254" s="40"/>
      <c r="K254" s="40"/>
      <c r="L254" s="40"/>
      <c r="M254" s="40"/>
      <c r="N254" s="40"/>
      <c r="O254" s="41"/>
      <c r="P254" s="101" t="s">
        <v>7</v>
      </c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3"/>
      <c r="AF254" s="104" t="s">
        <v>8</v>
      </c>
      <c r="AG254" s="106" t="s">
        <v>9</v>
      </c>
      <c r="AH254" s="106" t="s">
        <v>10</v>
      </c>
    </row>
    <row r="255" spans="1:34" ht="41.25" customHeight="1" x14ac:dyDescent="0.25">
      <c r="A255" s="109"/>
      <c r="B255" s="109"/>
      <c r="C255" s="111"/>
      <c r="D255" s="111"/>
      <c r="E255" s="111"/>
      <c r="F255" s="111"/>
      <c r="G255" s="42" t="s">
        <v>11</v>
      </c>
      <c r="H255" s="42" t="s">
        <v>12</v>
      </c>
      <c r="I255" s="42" t="s">
        <v>13</v>
      </c>
      <c r="J255" s="42" t="s">
        <v>14</v>
      </c>
      <c r="K255" s="42" t="s">
        <v>15</v>
      </c>
      <c r="L255" s="42" t="s">
        <v>16</v>
      </c>
      <c r="M255" s="42" t="s">
        <v>17</v>
      </c>
      <c r="N255" s="42" t="s">
        <v>18</v>
      </c>
      <c r="O255" s="42" t="s">
        <v>19</v>
      </c>
      <c r="P255" s="4" t="s">
        <v>20</v>
      </c>
      <c r="Q255" s="4" t="s">
        <v>21</v>
      </c>
      <c r="R255" s="4" t="s">
        <v>22</v>
      </c>
      <c r="S255" s="4" t="s">
        <v>23</v>
      </c>
      <c r="T255" s="4" t="s">
        <v>24</v>
      </c>
      <c r="U255" s="4" t="s">
        <v>25</v>
      </c>
      <c r="V255" s="4" t="s">
        <v>26</v>
      </c>
      <c r="W255" s="4" t="s">
        <v>27</v>
      </c>
      <c r="X255" s="4" t="s">
        <v>28</v>
      </c>
      <c r="Y255" s="4" t="s">
        <v>29</v>
      </c>
      <c r="Z255" s="4" t="s">
        <v>30</v>
      </c>
      <c r="AA255" s="5" t="s">
        <v>31</v>
      </c>
      <c r="AB255" s="5" t="s">
        <v>32</v>
      </c>
      <c r="AC255" s="5" t="s">
        <v>33</v>
      </c>
      <c r="AD255" s="6" t="s">
        <v>34</v>
      </c>
      <c r="AE255" s="4" t="s">
        <v>35</v>
      </c>
      <c r="AF255" s="105"/>
      <c r="AG255" s="107"/>
      <c r="AH255" s="107"/>
    </row>
    <row r="256" spans="1:34" ht="21" x14ac:dyDescent="0.35">
      <c r="A256" s="43">
        <f>+التشغيل!A67</f>
        <v>0</v>
      </c>
      <c r="B256" s="44">
        <f>+التشغيل!B67</f>
        <v>0</v>
      </c>
      <c r="C256" s="45">
        <f>+التشغيل!C67</f>
        <v>0</v>
      </c>
      <c r="D256" s="45">
        <f>+التشغيل!D67</f>
        <v>0</v>
      </c>
      <c r="E256" s="45">
        <f>+التشغيل!E67</f>
        <v>0</v>
      </c>
      <c r="F256" s="46">
        <f>التشغيل!F67</f>
        <v>0</v>
      </c>
      <c r="G256" s="46">
        <f>التشغيل!G67</f>
        <v>0</v>
      </c>
      <c r="H256" s="46">
        <f>التشغيل!H67</f>
        <v>0</v>
      </c>
      <c r="I256" s="46">
        <f>التشغيل!I67</f>
        <v>0</v>
      </c>
      <c r="J256" s="46">
        <f>التشغيل!J67</f>
        <v>0</v>
      </c>
      <c r="K256" s="46">
        <f>التشغيل!K67</f>
        <v>0</v>
      </c>
      <c r="L256" s="46">
        <f>التشغيل!L67</f>
        <v>0</v>
      </c>
      <c r="M256" s="46">
        <f>التشغيل!M67</f>
        <v>0</v>
      </c>
      <c r="N256" s="46">
        <f>التشغيل!N67</f>
        <v>0</v>
      </c>
      <c r="O256" s="46">
        <f>التشغيل!O67</f>
        <v>0</v>
      </c>
      <c r="P256" s="46">
        <f>التشغيل!P67</f>
        <v>0</v>
      </c>
      <c r="Q256" s="46">
        <f>التشغيل!Q67</f>
        <v>0</v>
      </c>
      <c r="R256" s="47">
        <f>التشغيل!R67</f>
        <v>0</v>
      </c>
      <c r="S256" s="47">
        <f>التشغيل!S67</f>
        <v>0</v>
      </c>
      <c r="T256" s="46">
        <f>التشغيل!T67</f>
        <v>0</v>
      </c>
      <c r="U256" s="46">
        <f>التشغيل!U67</f>
        <v>0</v>
      </c>
      <c r="V256" s="46">
        <f>التشغيل!V67</f>
        <v>0</v>
      </c>
      <c r="W256" s="46">
        <f>التشغيل!W67</f>
        <v>0</v>
      </c>
      <c r="X256" s="46">
        <f>التشغيل!X67</f>
        <v>0</v>
      </c>
      <c r="Y256" s="46">
        <f>التشغيل!Y67</f>
        <v>0</v>
      </c>
      <c r="Z256" s="46">
        <f>التشغيل!Z67</f>
        <v>0</v>
      </c>
      <c r="AA256" s="46">
        <f>التشغيل!AA67</f>
        <v>0</v>
      </c>
      <c r="AB256" s="46">
        <f>التشغيل!AB67</f>
        <v>0</v>
      </c>
      <c r="AC256" s="46">
        <f>التشغيل!AC67</f>
        <v>0</v>
      </c>
      <c r="AD256" s="46">
        <f>التشغيل!AD67</f>
        <v>0</v>
      </c>
      <c r="AE256" s="46">
        <f>التشغيل!AE67</f>
        <v>0</v>
      </c>
      <c r="AF256" s="46">
        <f>التشغيل!AF67</f>
        <v>0</v>
      </c>
      <c r="AG256" s="46">
        <f>التشغيل!AG67</f>
        <v>0</v>
      </c>
      <c r="AH256" s="46">
        <f>التشغيل!AH67</f>
        <v>0</v>
      </c>
    </row>
    <row r="257" spans="1:34" ht="21" x14ac:dyDescent="0.35">
      <c r="A257" s="43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15.75" x14ac:dyDescent="0.25">
      <c r="A258" s="108" t="s">
        <v>0</v>
      </c>
      <c r="B258" s="108" t="s">
        <v>1</v>
      </c>
      <c r="C258" s="110" t="s">
        <v>2</v>
      </c>
      <c r="D258" s="110" t="s">
        <v>3</v>
      </c>
      <c r="E258" s="110" t="s">
        <v>39</v>
      </c>
      <c r="F258" s="110" t="s">
        <v>5</v>
      </c>
      <c r="G258" s="39" t="s">
        <v>6</v>
      </c>
      <c r="H258" s="40"/>
      <c r="I258" s="40"/>
      <c r="J258" s="40"/>
      <c r="K258" s="40"/>
      <c r="L258" s="40"/>
      <c r="M258" s="40"/>
      <c r="N258" s="40"/>
      <c r="O258" s="41"/>
      <c r="P258" s="101" t="s">
        <v>7</v>
      </c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3"/>
      <c r="AF258" s="104" t="s">
        <v>8</v>
      </c>
      <c r="AG258" s="106" t="s">
        <v>9</v>
      </c>
      <c r="AH258" s="106" t="s">
        <v>10</v>
      </c>
    </row>
    <row r="259" spans="1:34" ht="41.25" customHeight="1" x14ac:dyDescent="0.25">
      <c r="A259" s="109"/>
      <c r="B259" s="109"/>
      <c r="C259" s="111"/>
      <c r="D259" s="111"/>
      <c r="E259" s="111"/>
      <c r="F259" s="111"/>
      <c r="G259" s="42" t="s">
        <v>11</v>
      </c>
      <c r="H259" s="42" t="s">
        <v>12</v>
      </c>
      <c r="I259" s="42" t="s">
        <v>13</v>
      </c>
      <c r="J259" s="42" t="s">
        <v>14</v>
      </c>
      <c r="K259" s="42" t="s">
        <v>15</v>
      </c>
      <c r="L259" s="42" t="s">
        <v>16</v>
      </c>
      <c r="M259" s="42" t="s">
        <v>17</v>
      </c>
      <c r="N259" s="42" t="s">
        <v>18</v>
      </c>
      <c r="O259" s="42" t="s">
        <v>19</v>
      </c>
      <c r="P259" s="4" t="s">
        <v>20</v>
      </c>
      <c r="Q259" s="4" t="s">
        <v>21</v>
      </c>
      <c r="R259" s="4" t="s">
        <v>22</v>
      </c>
      <c r="S259" s="4" t="s">
        <v>23</v>
      </c>
      <c r="T259" s="4" t="s">
        <v>24</v>
      </c>
      <c r="U259" s="4" t="s">
        <v>25</v>
      </c>
      <c r="V259" s="4" t="s">
        <v>26</v>
      </c>
      <c r="W259" s="4" t="s">
        <v>27</v>
      </c>
      <c r="X259" s="4" t="s">
        <v>28</v>
      </c>
      <c r="Y259" s="4" t="s">
        <v>29</v>
      </c>
      <c r="Z259" s="4" t="s">
        <v>30</v>
      </c>
      <c r="AA259" s="5" t="s">
        <v>31</v>
      </c>
      <c r="AB259" s="5" t="s">
        <v>32</v>
      </c>
      <c r="AC259" s="5" t="s">
        <v>33</v>
      </c>
      <c r="AD259" s="6" t="s">
        <v>34</v>
      </c>
      <c r="AE259" s="4" t="s">
        <v>35</v>
      </c>
      <c r="AF259" s="105"/>
      <c r="AG259" s="107"/>
      <c r="AH259" s="107"/>
    </row>
    <row r="260" spans="1:34" ht="21" x14ac:dyDescent="0.35">
      <c r="A260" s="43">
        <f>+التشغيل!A68</f>
        <v>0</v>
      </c>
      <c r="B260" s="44">
        <f>+التشغيل!B68</f>
        <v>0</v>
      </c>
      <c r="C260" s="45">
        <f>+التشغيل!C68</f>
        <v>0</v>
      </c>
      <c r="D260" s="45">
        <f>+التشغيل!D68</f>
        <v>0</v>
      </c>
      <c r="E260" s="45">
        <f>+التشغيل!E68</f>
        <v>0</v>
      </c>
      <c r="F260" s="46">
        <f>التشغيل!F68</f>
        <v>0</v>
      </c>
      <c r="G260" s="46">
        <f>التشغيل!G68</f>
        <v>0</v>
      </c>
      <c r="H260" s="46">
        <f>التشغيل!H68</f>
        <v>0</v>
      </c>
      <c r="I260" s="46">
        <f>التشغيل!I68</f>
        <v>0</v>
      </c>
      <c r="J260" s="46">
        <f>التشغيل!J68</f>
        <v>0</v>
      </c>
      <c r="K260" s="46">
        <f>التشغيل!K68</f>
        <v>0</v>
      </c>
      <c r="L260" s="46">
        <f>التشغيل!L68</f>
        <v>0</v>
      </c>
      <c r="M260" s="46">
        <f>التشغيل!M68</f>
        <v>0</v>
      </c>
      <c r="N260" s="46">
        <f>التشغيل!N68</f>
        <v>0</v>
      </c>
      <c r="O260" s="46">
        <f>التشغيل!O68</f>
        <v>0</v>
      </c>
      <c r="P260" s="46">
        <f>التشغيل!P68</f>
        <v>0</v>
      </c>
      <c r="Q260" s="46">
        <f>التشغيل!Q68</f>
        <v>0</v>
      </c>
      <c r="R260" s="47">
        <f>التشغيل!R68</f>
        <v>0</v>
      </c>
      <c r="S260" s="47">
        <f>التشغيل!S68</f>
        <v>0</v>
      </c>
      <c r="T260" s="46">
        <f>التشغيل!T68</f>
        <v>0</v>
      </c>
      <c r="U260" s="46">
        <f>التشغيل!U68</f>
        <v>0</v>
      </c>
      <c r="V260" s="46">
        <f>التشغيل!V68</f>
        <v>0</v>
      </c>
      <c r="W260" s="46">
        <f>التشغيل!W68</f>
        <v>0</v>
      </c>
      <c r="X260" s="46">
        <f>التشغيل!X68</f>
        <v>0</v>
      </c>
      <c r="Y260" s="46">
        <f>التشغيل!Y68</f>
        <v>0</v>
      </c>
      <c r="Z260" s="46">
        <f>التشغيل!Z68</f>
        <v>0</v>
      </c>
      <c r="AA260" s="46">
        <f>التشغيل!AA68</f>
        <v>0</v>
      </c>
      <c r="AB260" s="46">
        <f>التشغيل!AB68</f>
        <v>0</v>
      </c>
      <c r="AC260" s="46">
        <f>التشغيل!AC68</f>
        <v>0</v>
      </c>
      <c r="AD260" s="46">
        <f>التشغيل!AD68</f>
        <v>0</v>
      </c>
      <c r="AE260" s="46">
        <f>التشغيل!AE68</f>
        <v>0</v>
      </c>
      <c r="AF260" s="46">
        <f>التشغيل!AF68</f>
        <v>0</v>
      </c>
      <c r="AG260" s="46">
        <f>التشغيل!AG68</f>
        <v>0</v>
      </c>
      <c r="AH260" s="46">
        <f>التشغيل!AH68</f>
        <v>0</v>
      </c>
    </row>
    <row r="261" spans="1:34" ht="21" x14ac:dyDescent="0.35">
      <c r="A261" s="43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7"/>
      <c r="S261" s="47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15.75" x14ac:dyDescent="0.25">
      <c r="A262" s="108" t="s">
        <v>0</v>
      </c>
      <c r="B262" s="108" t="s">
        <v>1</v>
      </c>
      <c r="C262" s="110" t="s">
        <v>2</v>
      </c>
      <c r="D262" s="110" t="s">
        <v>3</v>
      </c>
      <c r="E262" s="110" t="s">
        <v>39</v>
      </c>
      <c r="F262" s="110" t="s">
        <v>5</v>
      </c>
      <c r="G262" s="39" t="s">
        <v>6</v>
      </c>
      <c r="H262" s="40"/>
      <c r="I262" s="40"/>
      <c r="J262" s="40"/>
      <c r="K262" s="40"/>
      <c r="L262" s="40"/>
      <c r="M262" s="40"/>
      <c r="N262" s="40"/>
      <c r="O262" s="41"/>
      <c r="P262" s="101" t="s">
        <v>7</v>
      </c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3"/>
      <c r="AF262" s="104" t="s">
        <v>8</v>
      </c>
      <c r="AG262" s="106" t="s">
        <v>9</v>
      </c>
      <c r="AH262" s="106" t="s">
        <v>10</v>
      </c>
    </row>
    <row r="263" spans="1:34" ht="41.25" customHeight="1" x14ac:dyDescent="0.25">
      <c r="A263" s="109"/>
      <c r="B263" s="109"/>
      <c r="C263" s="111"/>
      <c r="D263" s="111"/>
      <c r="E263" s="111"/>
      <c r="F263" s="111"/>
      <c r="G263" s="42" t="s">
        <v>11</v>
      </c>
      <c r="H263" s="42" t="s">
        <v>12</v>
      </c>
      <c r="I263" s="42" t="s">
        <v>13</v>
      </c>
      <c r="J263" s="42" t="s">
        <v>14</v>
      </c>
      <c r="K263" s="42" t="s">
        <v>15</v>
      </c>
      <c r="L263" s="42" t="s">
        <v>16</v>
      </c>
      <c r="M263" s="42" t="s">
        <v>17</v>
      </c>
      <c r="N263" s="42" t="s">
        <v>18</v>
      </c>
      <c r="O263" s="42" t="s">
        <v>19</v>
      </c>
      <c r="P263" s="4" t="s">
        <v>20</v>
      </c>
      <c r="Q263" s="4" t="s">
        <v>21</v>
      </c>
      <c r="R263" s="4" t="s">
        <v>22</v>
      </c>
      <c r="S263" s="4" t="s">
        <v>23</v>
      </c>
      <c r="T263" s="4" t="s">
        <v>24</v>
      </c>
      <c r="U263" s="4" t="s">
        <v>25</v>
      </c>
      <c r="V263" s="4" t="s">
        <v>26</v>
      </c>
      <c r="W263" s="4" t="s">
        <v>27</v>
      </c>
      <c r="X263" s="4" t="s">
        <v>28</v>
      </c>
      <c r="Y263" s="4" t="s">
        <v>29</v>
      </c>
      <c r="Z263" s="4" t="s">
        <v>30</v>
      </c>
      <c r="AA263" s="5" t="s">
        <v>31</v>
      </c>
      <c r="AB263" s="5" t="s">
        <v>32</v>
      </c>
      <c r="AC263" s="5" t="s">
        <v>33</v>
      </c>
      <c r="AD263" s="6" t="s">
        <v>34</v>
      </c>
      <c r="AE263" s="4" t="s">
        <v>35</v>
      </c>
      <c r="AF263" s="105"/>
      <c r="AG263" s="107"/>
      <c r="AH263" s="107"/>
    </row>
    <row r="264" spans="1:34" ht="21" x14ac:dyDescent="0.35">
      <c r="A264" s="43">
        <f>+التشغيل!A69</f>
        <v>0</v>
      </c>
      <c r="B264" s="44">
        <f>+التشغيل!B69</f>
        <v>0</v>
      </c>
      <c r="C264" s="45">
        <f>+التشغيل!C69</f>
        <v>0</v>
      </c>
      <c r="D264" s="45">
        <f>+التشغيل!D69</f>
        <v>0</v>
      </c>
      <c r="E264" s="45">
        <f>+التشغيل!E69</f>
        <v>0</v>
      </c>
      <c r="F264" s="46">
        <f>التشغيل!F69</f>
        <v>0</v>
      </c>
      <c r="G264" s="46">
        <f>التشغيل!G69</f>
        <v>0</v>
      </c>
      <c r="H264" s="46">
        <f>التشغيل!H69</f>
        <v>0</v>
      </c>
      <c r="I264" s="46">
        <f>التشغيل!I69</f>
        <v>0</v>
      </c>
      <c r="J264" s="46">
        <f>التشغيل!J69</f>
        <v>0</v>
      </c>
      <c r="K264" s="46">
        <f>التشغيل!K69</f>
        <v>0</v>
      </c>
      <c r="L264" s="46">
        <f>التشغيل!L69</f>
        <v>0</v>
      </c>
      <c r="M264" s="46">
        <f>التشغيل!M69</f>
        <v>0</v>
      </c>
      <c r="N264" s="46">
        <f>التشغيل!N69</f>
        <v>0</v>
      </c>
      <c r="O264" s="46">
        <f>التشغيل!O69</f>
        <v>0</v>
      </c>
      <c r="P264" s="46">
        <f>التشغيل!P69</f>
        <v>0</v>
      </c>
      <c r="Q264" s="46">
        <f>التشغيل!Q69</f>
        <v>0</v>
      </c>
      <c r="R264" s="47">
        <f>التشغيل!R69</f>
        <v>0</v>
      </c>
      <c r="S264" s="47">
        <f>التشغيل!S69</f>
        <v>0</v>
      </c>
      <c r="T264" s="46">
        <f>التشغيل!T69</f>
        <v>0</v>
      </c>
      <c r="U264" s="46">
        <f>التشغيل!U69</f>
        <v>0</v>
      </c>
      <c r="V264" s="46">
        <f>التشغيل!V69</f>
        <v>0</v>
      </c>
      <c r="W264" s="46">
        <f>التشغيل!W69</f>
        <v>0</v>
      </c>
      <c r="X264" s="46">
        <f>التشغيل!X69</f>
        <v>0</v>
      </c>
      <c r="Y264" s="46">
        <f>التشغيل!Y69</f>
        <v>0</v>
      </c>
      <c r="Z264" s="46">
        <f>التشغيل!Z69</f>
        <v>0</v>
      </c>
      <c r="AA264" s="46">
        <f>التشغيل!AA69</f>
        <v>0</v>
      </c>
      <c r="AB264" s="46">
        <f>التشغيل!AB69</f>
        <v>0</v>
      </c>
      <c r="AC264" s="46">
        <f>التشغيل!AC69</f>
        <v>0</v>
      </c>
      <c r="AD264" s="46">
        <f>التشغيل!AD69</f>
        <v>0</v>
      </c>
      <c r="AE264" s="46">
        <f>التشغيل!AE69</f>
        <v>0</v>
      </c>
      <c r="AF264" s="46">
        <f>التشغيل!AF69</f>
        <v>0</v>
      </c>
      <c r="AG264" s="46">
        <f>التشغيل!AG69</f>
        <v>0</v>
      </c>
      <c r="AH264" s="46">
        <f>التشغيل!AH69</f>
        <v>0</v>
      </c>
    </row>
    <row r="265" spans="1:34" ht="21" x14ac:dyDescent="0.35">
      <c r="A265" s="43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</row>
    <row r="266" spans="1:34" ht="15.75" x14ac:dyDescent="0.25">
      <c r="A266" s="108" t="s">
        <v>0</v>
      </c>
      <c r="B266" s="108" t="s">
        <v>1</v>
      </c>
      <c r="C266" s="110" t="s">
        <v>2</v>
      </c>
      <c r="D266" s="110" t="s">
        <v>3</v>
      </c>
      <c r="E266" s="110" t="s">
        <v>39</v>
      </c>
      <c r="F266" s="110" t="s">
        <v>5</v>
      </c>
      <c r="G266" s="39" t="s">
        <v>6</v>
      </c>
      <c r="H266" s="40"/>
      <c r="I266" s="40"/>
      <c r="J266" s="40"/>
      <c r="K266" s="40"/>
      <c r="L266" s="40"/>
      <c r="M266" s="40"/>
      <c r="N266" s="40"/>
      <c r="O266" s="41"/>
      <c r="P266" s="101" t="s">
        <v>7</v>
      </c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3"/>
      <c r="AF266" s="104" t="s">
        <v>8</v>
      </c>
      <c r="AG266" s="106" t="s">
        <v>9</v>
      </c>
      <c r="AH266" s="106" t="s">
        <v>10</v>
      </c>
    </row>
    <row r="267" spans="1:34" ht="41.25" customHeight="1" x14ac:dyDescent="0.25">
      <c r="A267" s="109"/>
      <c r="B267" s="109"/>
      <c r="C267" s="111"/>
      <c r="D267" s="111"/>
      <c r="E267" s="111"/>
      <c r="F267" s="111"/>
      <c r="G267" s="42" t="s">
        <v>11</v>
      </c>
      <c r="H267" s="42" t="s">
        <v>12</v>
      </c>
      <c r="I267" s="42" t="s">
        <v>13</v>
      </c>
      <c r="J267" s="42" t="s">
        <v>14</v>
      </c>
      <c r="K267" s="42" t="s">
        <v>15</v>
      </c>
      <c r="L267" s="42" t="s">
        <v>16</v>
      </c>
      <c r="M267" s="42" t="s">
        <v>17</v>
      </c>
      <c r="N267" s="42" t="s">
        <v>18</v>
      </c>
      <c r="O267" s="42" t="s">
        <v>19</v>
      </c>
      <c r="P267" s="4" t="s">
        <v>20</v>
      </c>
      <c r="Q267" s="4" t="s">
        <v>21</v>
      </c>
      <c r="R267" s="4" t="s">
        <v>22</v>
      </c>
      <c r="S267" s="4" t="s">
        <v>23</v>
      </c>
      <c r="T267" s="4" t="s">
        <v>24</v>
      </c>
      <c r="U267" s="4" t="s">
        <v>25</v>
      </c>
      <c r="V267" s="4" t="s">
        <v>26</v>
      </c>
      <c r="W267" s="4" t="s">
        <v>27</v>
      </c>
      <c r="X267" s="4" t="s">
        <v>28</v>
      </c>
      <c r="Y267" s="4" t="s">
        <v>29</v>
      </c>
      <c r="Z267" s="4" t="s">
        <v>30</v>
      </c>
      <c r="AA267" s="5" t="s">
        <v>31</v>
      </c>
      <c r="AB267" s="5" t="s">
        <v>32</v>
      </c>
      <c r="AC267" s="5" t="s">
        <v>33</v>
      </c>
      <c r="AD267" s="6" t="s">
        <v>34</v>
      </c>
      <c r="AE267" s="4" t="s">
        <v>35</v>
      </c>
      <c r="AF267" s="105"/>
      <c r="AG267" s="107"/>
      <c r="AH267" s="107"/>
    </row>
    <row r="268" spans="1:34" ht="21" x14ac:dyDescent="0.35">
      <c r="A268" s="43">
        <f>+التشغيل!A70</f>
        <v>0</v>
      </c>
      <c r="B268" s="44">
        <f>+التشغيل!B70</f>
        <v>0</v>
      </c>
      <c r="C268" s="45">
        <f>+التشغيل!C70</f>
        <v>0</v>
      </c>
      <c r="D268" s="45">
        <f>+التشغيل!D70</f>
        <v>0</v>
      </c>
      <c r="E268" s="45">
        <f>+التشغيل!E70</f>
        <v>0</v>
      </c>
      <c r="F268" s="46">
        <f>التشغيل!F70</f>
        <v>0</v>
      </c>
      <c r="G268" s="46">
        <f>التشغيل!G70</f>
        <v>0</v>
      </c>
      <c r="H268" s="46">
        <f>التشغيل!H70</f>
        <v>0</v>
      </c>
      <c r="I268" s="46">
        <f>التشغيل!I70</f>
        <v>0</v>
      </c>
      <c r="J268" s="46">
        <f>التشغيل!J70</f>
        <v>0</v>
      </c>
      <c r="K268" s="46">
        <f>التشغيل!K70</f>
        <v>0</v>
      </c>
      <c r="L268" s="46">
        <f>التشغيل!L70</f>
        <v>0</v>
      </c>
      <c r="M268" s="46">
        <f>التشغيل!M70</f>
        <v>0</v>
      </c>
      <c r="N268" s="46">
        <f>التشغيل!N70</f>
        <v>0</v>
      </c>
      <c r="O268" s="46">
        <f>التشغيل!O70</f>
        <v>0</v>
      </c>
      <c r="P268" s="46">
        <f>التشغيل!P70</f>
        <v>0</v>
      </c>
      <c r="Q268" s="46">
        <f>التشغيل!Q70</f>
        <v>0</v>
      </c>
      <c r="R268" s="47">
        <f>التشغيل!R70</f>
        <v>0</v>
      </c>
      <c r="S268" s="47">
        <f>التشغيل!S70</f>
        <v>0</v>
      </c>
      <c r="T268" s="46">
        <f>التشغيل!T70</f>
        <v>0</v>
      </c>
      <c r="U268" s="46">
        <f>التشغيل!U70</f>
        <v>0</v>
      </c>
      <c r="V268" s="46">
        <f>التشغيل!V70</f>
        <v>0</v>
      </c>
      <c r="W268" s="46">
        <f>التشغيل!W70</f>
        <v>0</v>
      </c>
      <c r="X268" s="46">
        <f>التشغيل!X70</f>
        <v>0</v>
      </c>
      <c r="Y268" s="46">
        <f>التشغيل!Y70</f>
        <v>0</v>
      </c>
      <c r="Z268" s="46">
        <f>التشغيل!Z70</f>
        <v>0</v>
      </c>
      <c r="AA268" s="46">
        <f>التشغيل!AA70</f>
        <v>0</v>
      </c>
      <c r="AB268" s="46">
        <f>التشغيل!AB70</f>
        <v>0</v>
      </c>
      <c r="AC268" s="46">
        <f>التشغيل!AC70</f>
        <v>0</v>
      </c>
      <c r="AD268" s="46">
        <f>التشغيل!AD70</f>
        <v>0</v>
      </c>
      <c r="AE268" s="46">
        <f>التشغيل!AE70</f>
        <v>0</v>
      </c>
      <c r="AF268" s="46">
        <f>التشغيل!AF70</f>
        <v>0</v>
      </c>
      <c r="AG268" s="46">
        <f>التشغيل!AG70</f>
        <v>0</v>
      </c>
      <c r="AH268" s="46">
        <f>التشغيل!AH70</f>
        <v>0</v>
      </c>
    </row>
    <row r="269" spans="1:34" ht="21" x14ac:dyDescent="0.35">
      <c r="A269" s="43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</row>
    <row r="270" spans="1:34" ht="15.75" x14ac:dyDescent="0.25">
      <c r="A270" s="108" t="s">
        <v>0</v>
      </c>
      <c r="B270" s="108" t="s">
        <v>1</v>
      </c>
      <c r="C270" s="110" t="s">
        <v>2</v>
      </c>
      <c r="D270" s="110" t="s">
        <v>3</v>
      </c>
      <c r="E270" s="110" t="s">
        <v>39</v>
      </c>
      <c r="F270" s="110" t="s">
        <v>5</v>
      </c>
      <c r="G270" s="39" t="s">
        <v>6</v>
      </c>
      <c r="H270" s="40"/>
      <c r="I270" s="40"/>
      <c r="J270" s="40"/>
      <c r="K270" s="40"/>
      <c r="L270" s="40"/>
      <c r="M270" s="40"/>
      <c r="N270" s="40"/>
      <c r="O270" s="41"/>
      <c r="P270" s="101" t="s">
        <v>7</v>
      </c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3"/>
      <c r="AF270" s="104" t="s">
        <v>8</v>
      </c>
      <c r="AG270" s="106" t="s">
        <v>9</v>
      </c>
      <c r="AH270" s="106" t="s">
        <v>10</v>
      </c>
    </row>
    <row r="271" spans="1:34" ht="41.25" customHeight="1" x14ac:dyDescent="0.25">
      <c r="A271" s="109"/>
      <c r="B271" s="109"/>
      <c r="C271" s="111"/>
      <c r="D271" s="111"/>
      <c r="E271" s="111"/>
      <c r="F271" s="111"/>
      <c r="G271" s="42" t="s">
        <v>11</v>
      </c>
      <c r="H271" s="42" t="s">
        <v>12</v>
      </c>
      <c r="I271" s="42" t="s">
        <v>13</v>
      </c>
      <c r="J271" s="42" t="s">
        <v>14</v>
      </c>
      <c r="K271" s="42" t="s">
        <v>15</v>
      </c>
      <c r="L271" s="42" t="s">
        <v>16</v>
      </c>
      <c r="M271" s="42" t="s">
        <v>17</v>
      </c>
      <c r="N271" s="42" t="s">
        <v>18</v>
      </c>
      <c r="O271" s="42" t="s">
        <v>19</v>
      </c>
      <c r="P271" s="4" t="s">
        <v>20</v>
      </c>
      <c r="Q271" s="4" t="s">
        <v>21</v>
      </c>
      <c r="R271" s="4" t="s">
        <v>22</v>
      </c>
      <c r="S271" s="4" t="s">
        <v>23</v>
      </c>
      <c r="T271" s="4" t="s">
        <v>24</v>
      </c>
      <c r="U271" s="4" t="s">
        <v>25</v>
      </c>
      <c r="V271" s="4" t="s">
        <v>26</v>
      </c>
      <c r="W271" s="4" t="s">
        <v>27</v>
      </c>
      <c r="X271" s="4" t="s">
        <v>28</v>
      </c>
      <c r="Y271" s="4" t="s">
        <v>29</v>
      </c>
      <c r="Z271" s="4" t="s">
        <v>30</v>
      </c>
      <c r="AA271" s="5" t="s">
        <v>31</v>
      </c>
      <c r="AB271" s="5" t="s">
        <v>32</v>
      </c>
      <c r="AC271" s="5" t="s">
        <v>33</v>
      </c>
      <c r="AD271" s="6" t="s">
        <v>34</v>
      </c>
      <c r="AE271" s="4" t="s">
        <v>35</v>
      </c>
      <c r="AF271" s="105"/>
      <c r="AG271" s="107"/>
      <c r="AH271" s="107"/>
    </row>
    <row r="272" spans="1:34" ht="21" x14ac:dyDescent="0.35">
      <c r="A272" s="43">
        <f>+التشغيل!A71</f>
        <v>0</v>
      </c>
      <c r="B272" s="44">
        <f>+التشغيل!B71</f>
        <v>0</v>
      </c>
      <c r="C272" s="45">
        <f>+التشغيل!C71</f>
        <v>0</v>
      </c>
      <c r="D272" s="45">
        <f>+التشغيل!D71</f>
        <v>0</v>
      </c>
      <c r="E272" s="45">
        <f>+التشغيل!E71</f>
        <v>0</v>
      </c>
      <c r="F272" s="46">
        <f>التشغيل!F71</f>
        <v>0</v>
      </c>
      <c r="G272" s="46">
        <f>التشغيل!G71</f>
        <v>0</v>
      </c>
      <c r="H272" s="46">
        <f>التشغيل!H71</f>
        <v>0</v>
      </c>
      <c r="I272" s="46">
        <f>التشغيل!I71</f>
        <v>0</v>
      </c>
      <c r="J272" s="46">
        <f>التشغيل!J71</f>
        <v>0</v>
      </c>
      <c r="K272" s="46">
        <f>التشغيل!K71</f>
        <v>0</v>
      </c>
      <c r="L272" s="46">
        <f>التشغيل!L71</f>
        <v>0</v>
      </c>
      <c r="M272" s="46">
        <f>التشغيل!M71</f>
        <v>0</v>
      </c>
      <c r="N272" s="46">
        <f>التشغيل!N71</f>
        <v>0</v>
      </c>
      <c r="O272" s="46">
        <f>التشغيل!O71</f>
        <v>0</v>
      </c>
      <c r="P272" s="46">
        <f>التشغيل!P71</f>
        <v>0</v>
      </c>
      <c r="Q272" s="46">
        <f>التشغيل!Q71</f>
        <v>0</v>
      </c>
      <c r="R272" s="47">
        <f>التشغيل!R71</f>
        <v>0</v>
      </c>
      <c r="S272" s="47">
        <f>التشغيل!S71</f>
        <v>0</v>
      </c>
      <c r="T272" s="46">
        <f>التشغيل!T71</f>
        <v>0</v>
      </c>
      <c r="U272" s="46">
        <f>التشغيل!U71</f>
        <v>0</v>
      </c>
      <c r="V272" s="46">
        <f>التشغيل!V71</f>
        <v>0</v>
      </c>
      <c r="W272" s="46">
        <f>التشغيل!W71</f>
        <v>0</v>
      </c>
      <c r="X272" s="46">
        <f>التشغيل!X71</f>
        <v>0</v>
      </c>
      <c r="Y272" s="46">
        <f>التشغيل!Y71</f>
        <v>0</v>
      </c>
      <c r="Z272" s="46">
        <f>التشغيل!Z71</f>
        <v>0</v>
      </c>
      <c r="AA272" s="46">
        <f>التشغيل!AA71</f>
        <v>0</v>
      </c>
      <c r="AB272" s="46">
        <f>التشغيل!AB71</f>
        <v>0</v>
      </c>
      <c r="AC272" s="46">
        <f>التشغيل!AC71</f>
        <v>0</v>
      </c>
      <c r="AD272" s="46">
        <f>التشغيل!AD71</f>
        <v>0</v>
      </c>
      <c r="AE272" s="46">
        <f>التشغيل!AE71</f>
        <v>0</v>
      </c>
      <c r="AF272" s="46">
        <f>التشغيل!AF71</f>
        <v>0</v>
      </c>
      <c r="AG272" s="46">
        <f>التشغيل!AG71</f>
        <v>0</v>
      </c>
      <c r="AH272" s="46">
        <f>التشغيل!AH71</f>
        <v>0</v>
      </c>
    </row>
    <row r="273" spans="1:34" ht="21" x14ac:dyDescent="0.35">
      <c r="A273" s="43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</row>
    <row r="274" spans="1:34" ht="15.75" x14ac:dyDescent="0.25">
      <c r="A274" s="108" t="s">
        <v>0</v>
      </c>
      <c r="B274" s="108" t="s">
        <v>1</v>
      </c>
      <c r="C274" s="110" t="s">
        <v>2</v>
      </c>
      <c r="D274" s="110" t="s">
        <v>3</v>
      </c>
      <c r="E274" s="110" t="s">
        <v>39</v>
      </c>
      <c r="F274" s="110" t="s">
        <v>5</v>
      </c>
      <c r="G274" s="39" t="s">
        <v>6</v>
      </c>
      <c r="H274" s="40"/>
      <c r="I274" s="40"/>
      <c r="J274" s="40"/>
      <c r="K274" s="40"/>
      <c r="L274" s="40"/>
      <c r="M274" s="40"/>
      <c r="N274" s="40"/>
      <c r="O274" s="41"/>
      <c r="P274" s="101" t="s">
        <v>7</v>
      </c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3"/>
      <c r="AF274" s="104" t="s">
        <v>8</v>
      </c>
      <c r="AG274" s="106" t="s">
        <v>9</v>
      </c>
      <c r="AH274" s="106" t="s">
        <v>10</v>
      </c>
    </row>
    <row r="275" spans="1:34" ht="41.25" customHeight="1" x14ac:dyDescent="0.25">
      <c r="A275" s="109"/>
      <c r="B275" s="109"/>
      <c r="C275" s="111"/>
      <c r="D275" s="111"/>
      <c r="E275" s="111"/>
      <c r="F275" s="111"/>
      <c r="G275" s="42" t="s">
        <v>11</v>
      </c>
      <c r="H275" s="42" t="s">
        <v>12</v>
      </c>
      <c r="I275" s="42" t="s">
        <v>13</v>
      </c>
      <c r="J275" s="42" t="s">
        <v>14</v>
      </c>
      <c r="K275" s="42" t="s">
        <v>15</v>
      </c>
      <c r="L275" s="42" t="s">
        <v>16</v>
      </c>
      <c r="M275" s="42" t="s">
        <v>17</v>
      </c>
      <c r="N275" s="42" t="s">
        <v>18</v>
      </c>
      <c r="O275" s="42" t="s">
        <v>19</v>
      </c>
      <c r="P275" s="4" t="s">
        <v>20</v>
      </c>
      <c r="Q275" s="4" t="s">
        <v>21</v>
      </c>
      <c r="R275" s="4" t="s">
        <v>22</v>
      </c>
      <c r="S275" s="4" t="s">
        <v>23</v>
      </c>
      <c r="T275" s="4" t="s">
        <v>24</v>
      </c>
      <c r="U275" s="4" t="s">
        <v>25</v>
      </c>
      <c r="V275" s="4" t="s">
        <v>26</v>
      </c>
      <c r="W275" s="4" t="s">
        <v>27</v>
      </c>
      <c r="X275" s="4" t="s">
        <v>28</v>
      </c>
      <c r="Y275" s="4" t="s">
        <v>29</v>
      </c>
      <c r="Z275" s="4" t="s">
        <v>30</v>
      </c>
      <c r="AA275" s="5" t="s">
        <v>31</v>
      </c>
      <c r="AB275" s="5" t="s">
        <v>32</v>
      </c>
      <c r="AC275" s="5" t="s">
        <v>33</v>
      </c>
      <c r="AD275" s="6" t="s">
        <v>34</v>
      </c>
      <c r="AE275" s="4" t="s">
        <v>35</v>
      </c>
      <c r="AF275" s="105"/>
      <c r="AG275" s="107"/>
      <c r="AH275" s="107"/>
    </row>
    <row r="276" spans="1:34" ht="21" x14ac:dyDescent="0.35">
      <c r="A276" s="43">
        <f>+التشغيل!A72</f>
        <v>0</v>
      </c>
      <c r="B276" s="44">
        <f>+التشغيل!B72</f>
        <v>0</v>
      </c>
      <c r="C276" s="45">
        <f>+التشغيل!C72</f>
        <v>0</v>
      </c>
      <c r="D276" s="45">
        <f>+التشغيل!D72</f>
        <v>0</v>
      </c>
      <c r="E276" s="45">
        <f>+التشغيل!E72</f>
        <v>0</v>
      </c>
      <c r="F276" s="46">
        <f>التشغيل!F72</f>
        <v>0</v>
      </c>
      <c r="G276" s="46">
        <f>التشغيل!G72</f>
        <v>0</v>
      </c>
      <c r="H276" s="46">
        <f>التشغيل!H72</f>
        <v>0</v>
      </c>
      <c r="I276" s="46">
        <f>التشغيل!I72</f>
        <v>0</v>
      </c>
      <c r="J276" s="46">
        <f>التشغيل!J72</f>
        <v>0</v>
      </c>
      <c r="K276" s="46">
        <f>التشغيل!K72</f>
        <v>0</v>
      </c>
      <c r="L276" s="46">
        <f>التشغيل!L72</f>
        <v>0</v>
      </c>
      <c r="M276" s="46">
        <f>التشغيل!M72</f>
        <v>0</v>
      </c>
      <c r="N276" s="46">
        <f>التشغيل!N72</f>
        <v>0</v>
      </c>
      <c r="O276" s="46">
        <f>التشغيل!O72</f>
        <v>0</v>
      </c>
      <c r="P276" s="46">
        <f>التشغيل!P72</f>
        <v>0</v>
      </c>
      <c r="Q276" s="46">
        <f>التشغيل!Q72</f>
        <v>0</v>
      </c>
      <c r="R276" s="47">
        <f>التشغيل!R72</f>
        <v>0</v>
      </c>
      <c r="S276" s="47">
        <f>التشغيل!S72</f>
        <v>0</v>
      </c>
      <c r="T276" s="46">
        <f>التشغيل!T72</f>
        <v>0</v>
      </c>
      <c r="U276" s="46">
        <f>التشغيل!U72</f>
        <v>0</v>
      </c>
      <c r="V276" s="46">
        <f>التشغيل!V72</f>
        <v>0</v>
      </c>
      <c r="W276" s="46">
        <f>التشغيل!W72</f>
        <v>0</v>
      </c>
      <c r="X276" s="46">
        <f>التشغيل!X72</f>
        <v>0</v>
      </c>
      <c r="Y276" s="46">
        <f>التشغيل!Y72</f>
        <v>0</v>
      </c>
      <c r="Z276" s="46">
        <f>التشغيل!Z72</f>
        <v>0</v>
      </c>
      <c r="AA276" s="46">
        <f>التشغيل!AA72</f>
        <v>0</v>
      </c>
      <c r="AB276" s="46">
        <f>التشغيل!AB72</f>
        <v>0</v>
      </c>
      <c r="AC276" s="46">
        <f>التشغيل!AC72</f>
        <v>0</v>
      </c>
      <c r="AD276" s="46">
        <f>التشغيل!AD72</f>
        <v>0</v>
      </c>
      <c r="AE276" s="46">
        <f>التشغيل!AE72</f>
        <v>0</v>
      </c>
      <c r="AF276" s="46">
        <f>التشغيل!AF72</f>
        <v>0</v>
      </c>
      <c r="AG276" s="46">
        <f>التشغيل!AG72</f>
        <v>0</v>
      </c>
      <c r="AH276" s="46">
        <f>التشغيل!AH72</f>
        <v>0</v>
      </c>
    </row>
    <row r="277" spans="1:34" ht="21" x14ac:dyDescent="0.35">
      <c r="A277" s="43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</row>
    <row r="278" spans="1:34" ht="15.75" x14ac:dyDescent="0.25">
      <c r="A278" s="108" t="s">
        <v>0</v>
      </c>
      <c r="B278" s="108" t="s">
        <v>1</v>
      </c>
      <c r="C278" s="110" t="s">
        <v>2</v>
      </c>
      <c r="D278" s="110" t="s">
        <v>3</v>
      </c>
      <c r="E278" s="110" t="s">
        <v>39</v>
      </c>
      <c r="F278" s="110" t="s">
        <v>5</v>
      </c>
      <c r="G278" s="39" t="s">
        <v>6</v>
      </c>
      <c r="H278" s="40"/>
      <c r="I278" s="40"/>
      <c r="J278" s="40"/>
      <c r="K278" s="40"/>
      <c r="L278" s="40"/>
      <c r="M278" s="40"/>
      <c r="N278" s="40"/>
      <c r="O278" s="41"/>
      <c r="P278" s="101" t="s">
        <v>7</v>
      </c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3"/>
      <c r="AF278" s="104" t="s">
        <v>8</v>
      </c>
      <c r="AG278" s="106" t="s">
        <v>9</v>
      </c>
      <c r="AH278" s="106" t="s">
        <v>10</v>
      </c>
    </row>
    <row r="279" spans="1:34" ht="41.25" customHeight="1" x14ac:dyDescent="0.25">
      <c r="A279" s="109"/>
      <c r="B279" s="109"/>
      <c r="C279" s="111"/>
      <c r="D279" s="111"/>
      <c r="E279" s="111"/>
      <c r="F279" s="111"/>
      <c r="G279" s="42" t="s">
        <v>11</v>
      </c>
      <c r="H279" s="42" t="s">
        <v>12</v>
      </c>
      <c r="I279" s="42" t="s">
        <v>13</v>
      </c>
      <c r="J279" s="42" t="s">
        <v>14</v>
      </c>
      <c r="K279" s="42" t="s">
        <v>15</v>
      </c>
      <c r="L279" s="42" t="s">
        <v>16</v>
      </c>
      <c r="M279" s="42" t="s">
        <v>17</v>
      </c>
      <c r="N279" s="42" t="s">
        <v>18</v>
      </c>
      <c r="O279" s="42" t="s">
        <v>19</v>
      </c>
      <c r="P279" s="4" t="s">
        <v>20</v>
      </c>
      <c r="Q279" s="4" t="s">
        <v>21</v>
      </c>
      <c r="R279" s="4" t="s">
        <v>22</v>
      </c>
      <c r="S279" s="4" t="s">
        <v>23</v>
      </c>
      <c r="T279" s="4" t="s">
        <v>24</v>
      </c>
      <c r="U279" s="4" t="s">
        <v>25</v>
      </c>
      <c r="V279" s="4" t="s">
        <v>26</v>
      </c>
      <c r="W279" s="4" t="s">
        <v>27</v>
      </c>
      <c r="X279" s="4" t="s">
        <v>28</v>
      </c>
      <c r="Y279" s="4" t="s">
        <v>29</v>
      </c>
      <c r="Z279" s="4" t="s">
        <v>30</v>
      </c>
      <c r="AA279" s="5" t="s">
        <v>31</v>
      </c>
      <c r="AB279" s="5" t="s">
        <v>32</v>
      </c>
      <c r="AC279" s="5" t="s">
        <v>33</v>
      </c>
      <c r="AD279" s="6" t="s">
        <v>34</v>
      </c>
      <c r="AE279" s="4" t="s">
        <v>35</v>
      </c>
      <c r="AF279" s="105"/>
      <c r="AG279" s="107"/>
      <c r="AH279" s="107"/>
    </row>
    <row r="280" spans="1:34" ht="21" x14ac:dyDescent="0.35">
      <c r="A280" s="43">
        <f>+التشغيل!A73</f>
        <v>0</v>
      </c>
      <c r="B280" s="44">
        <f>+التشغيل!B73</f>
        <v>0</v>
      </c>
      <c r="C280" s="45">
        <f>+التشغيل!C73</f>
        <v>0</v>
      </c>
      <c r="D280" s="45">
        <f>+التشغيل!D73</f>
        <v>0</v>
      </c>
      <c r="E280" s="45">
        <f>+التشغيل!E73</f>
        <v>0</v>
      </c>
      <c r="F280" s="46">
        <f>التشغيل!F73</f>
        <v>0</v>
      </c>
      <c r="G280" s="46">
        <f>التشغيل!G73</f>
        <v>0</v>
      </c>
      <c r="H280" s="46">
        <f>التشغيل!H73</f>
        <v>0</v>
      </c>
      <c r="I280" s="46">
        <f>التشغيل!I73</f>
        <v>0</v>
      </c>
      <c r="J280" s="46">
        <f>التشغيل!J73</f>
        <v>0</v>
      </c>
      <c r="K280" s="46">
        <f>التشغيل!K73</f>
        <v>0</v>
      </c>
      <c r="L280" s="46">
        <f>التشغيل!L73</f>
        <v>0</v>
      </c>
      <c r="M280" s="46">
        <f>التشغيل!M73</f>
        <v>0</v>
      </c>
      <c r="N280" s="46">
        <f>التشغيل!N73</f>
        <v>0</v>
      </c>
      <c r="O280" s="46">
        <f>التشغيل!O73</f>
        <v>0</v>
      </c>
      <c r="P280" s="46">
        <f>التشغيل!P73</f>
        <v>0</v>
      </c>
      <c r="Q280" s="46">
        <f>التشغيل!Q73</f>
        <v>0</v>
      </c>
      <c r="R280" s="47">
        <f>التشغيل!R73</f>
        <v>0</v>
      </c>
      <c r="S280" s="47">
        <f>التشغيل!S73</f>
        <v>0</v>
      </c>
      <c r="T280" s="46">
        <f>التشغيل!T73</f>
        <v>0</v>
      </c>
      <c r="U280" s="46">
        <f>التشغيل!U73</f>
        <v>0</v>
      </c>
      <c r="V280" s="46">
        <f>التشغيل!V73</f>
        <v>0</v>
      </c>
      <c r="W280" s="46">
        <f>التشغيل!W73</f>
        <v>0</v>
      </c>
      <c r="X280" s="46">
        <f>التشغيل!X73</f>
        <v>0</v>
      </c>
      <c r="Y280" s="46">
        <f>التشغيل!Y73</f>
        <v>0</v>
      </c>
      <c r="Z280" s="46">
        <f>التشغيل!Z73</f>
        <v>0</v>
      </c>
      <c r="AA280" s="46">
        <f>التشغيل!AA73</f>
        <v>0</v>
      </c>
      <c r="AB280" s="46">
        <f>التشغيل!AB73</f>
        <v>0</v>
      </c>
      <c r="AC280" s="46">
        <f>التشغيل!AC73</f>
        <v>0</v>
      </c>
      <c r="AD280" s="46">
        <f>التشغيل!AD73</f>
        <v>0</v>
      </c>
      <c r="AE280" s="46">
        <f>التشغيل!AE73</f>
        <v>0</v>
      </c>
      <c r="AF280" s="46">
        <f>التشغيل!AF73</f>
        <v>0</v>
      </c>
      <c r="AG280" s="46">
        <f>التشغيل!AG73</f>
        <v>0</v>
      </c>
      <c r="AH280" s="46">
        <f>التشغيل!AH73</f>
        <v>0</v>
      </c>
    </row>
    <row r="281" spans="1:34" ht="21" x14ac:dyDescent="0.35">
      <c r="A281" s="43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7"/>
      <c r="S281" s="47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</row>
    <row r="282" spans="1:34" ht="15.75" x14ac:dyDescent="0.25">
      <c r="A282" s="108" t="s">
        <v>0</v>
      </c>
      <c r="B282" s="108" t="s">
        <v>1</v>
      </c>
      <c r="C282" s="110" t="s">
        <v>2</v>
      </c>
      <c r="D282" s="110" t="s">
        <v>3</v>
      </c>
      <c r="E282" s="110" t="s">
        <v>39</v>
      </c>
      <c r="F282" s="110" t="s">
        <v>5</v>
      </c>
      <c r="G282" s="39" t="s">
        <v>6</v>
      </c>
      <c r="H282" s="40"/>
      <c r="I282" s="40"/>
      <c r="J282" s="40"/>
      <c r="K282" s="40"/>
      <c r="L282" s="40"/>
      <c r="M282" s="40"/>
      <c r="N282" s="40"/>
      <c r="O282" s="41"/>
      <c r="P282" s="101" t="s">
        <v>7</v>
      </c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3"/>
      <c r="AF282" s="104" t="s">
        <v>8</v>
      </c>
      <c r="AG282" s="106" t="s">
        <v>9</v>
      </c>
      <c r="AH282" s="106" t="s">
        <v>10</v>
      </c>
    </row>
    <row r="283" spans="1:34" ht="41.25" customHeight="1" x14ac:dyDescent="0.25">
      <c r="A283" s="109"/>
      <c r="B283" s="109"/>
      <c r="C283" s="111"/>
      <c r="D283" s="111"/>
      <c r="E283" s="111"/>
      <c r="F283" s="111"/>
      <c r="G283" s="42" t="s">
        <v>11</v>
      </c>
      <c r="H283" s="42" t="s">
        <v>12</v>
      </c>
      <c r="I283" s="42" t="s">
        <v>13</v>
      </c>
      <c r="J283" s="42" t="s">
        <v>14</v>
      </c>
      <c r="K283" s="42" t="s">
        <v>15</v>
      </c>
      <c r="L283" s="42" t="s">
        <v>16</v>
      </c>
      <c r="M283" s="42" t="s">
        <v>17</v>
      </c>
      <c r="N283" s="42" t="s">
        <v>18</v>
      </c>
      <c r="O283" s="42" t="s">
        <v>19</v>
      </c>
      <c r="P283" s="4" t="s">
        <v>20</v>
      </c>
      <c r="Q283" s="4" t="s">
        <v>21</v>
      </c>
      <c r="R283" s="4" t="s">
        <v>22</v>
      </c>
      <c r="S283" s="4" t="s">
        <v>23</v>
      </c>
      <c r="T283" s="4" t="s">
        <v>24</v>
      </c>
      <c r="U283" s="4" t="s">
        <v>25</v>
      </c>
      <c r="V283" s="4" t="s">
        <v>26</v>
      </c>
      <c r="W283" s="4" t="s">
        <v>27</v>
      </c>
      <c r="X283" s="4" t="s">
        <v>28</v>
      </c>
      <c r="Y283" s="4" t="s">
        <v>29</v>
      </c>
      <c r="Z283" s="4" t="s">
        <v>30</v>
      </c>
      <c r="AA283" s="5" t="s">
        <v>31</v>
      </c>
      <c r="AB283" s="5" t="s">
        <v>32</v>
      </c>
      <c r="AC283" s="5" t="s">
        <v>33</v>
      </c>
      <c r="AD283" s="6" t="s">
        <v>34</v>
      </c>
      <c r="AE283" s="4" t="s">
        <v>35</v>
      </c>
      <c r="AF283" s="105"/>
      <c r="AG283" s="107"/>
      <c r="AH283" s="107"/>
    </row>
    <row r="284" spans="1:34" ht="21" x14ac:dyDescent="0.35">
      <c r="A284" s="43">
        <f>+التشغيل!A74</f>
        <v>0</v>
      </c>
      <c r="B284" s="44">
        <f>+التشغيل!B74</f>
        <v>0</v>
      </c>
      <c r="C284" s="45">
        <f>+التشغيل!C74</f>
        <v>0</v>
      </c>
      <c r="D284" s="45">
        <f>+التشغيل!D74</f>
        <v>0</v>
      </c>
      <c r="E284" s="45">
        <f>+التشغيل!E74</f>
        <v>0</v>
      </c>
      <c r="F284" s="46">
        <f>التشغيل!F74</f>
        <v>0</v>
      </c>
      <c r="G284" s="46">
        <f>التشغيل!G74</f>
        <v>0</v>
      </c>
      <c r="H284" s="46">
        <f>التشغيل!H74</f>
        <v>0</v>
      </c>
      <c r="I284" s="46">
        <f>التشغيل!I74</f>
        <v>0</v>
      </c>
      <c r="J284" s="46">
        <f>التشغيل!J74</f>
        <v>0</v>
      </c>
      <c r="K284" s="46">
        <f>التشغيل!K74</f>
        <v>0</v>
      </c>
      <c r="L284" s="46">
        <f>التشغيل!L74</f>
        <v>0</v>
      </c>
      <c r="M284" s="46">
        <f>التشغيل!M74</f>
        <v>0</v>
      </c>
      <c r="N284" s="46">
        <f>التشغيل!N74</f>
        <v>0</v>
      </c>
      <c r="O284" s="46">
        <f>التشغيل!O74</f>
        <v>0</v>
      </c>
      <c r="P284" s="46">
        <f>التشغيل!P74</f>
        <v>0</v>
      </c>
      <c r="Q284" s="46">
        <f>التشغيل!Q74</f>
        <v>0</v>
      </c>
      <c r="R284" s="47">
        <f>التشغيل!R74</f>
        <v>0</v>
      </c>
      <c r="S284" s="47">
        <f>التشغيل!S74</f>
        <v>0</v>
      </c>
      <c r="T284" s="46">
        <f>التشغيل!T74</f>
        <v>0</v>
      </c>
      <c r="U284" s="46">
        <f>التشغيل!U74</f>
        <v>0</v>
      </c>
      <c r="V284" s="46">
        <f>التشغيل!V74</f>
        <v>0</v>
      </c>
      <c r="W284" s="46">
        <f>التشغيل!W74</f>
        <v>0</v>
      </c>
      <c r="X284" s="46">
        <f>التشغيل!X74</f>
        <v>0</v>
      </c>
      <c r="Y284" s="46">
        <f>التشغيل!Y74</f>
        <v>0</v>
      </c>
      <c r="Z284" s="46">
        <f>التشغيل!Z74</f>
        <v>0</v>
      </c>
      <c r="AA284" s="46">
        <f>التشغيل!AA74</f>
        <v>0</v>
      </c>
      <c r="AB284" s="46">
        <f>التشغيل!AB74</f>
        <v>0</v>
      </c>
      <c r="AC284" s="46">
        <f>التشغيل!AC74</f>
        <v>0</v>
      </c>
      <c r="AD284" s="46">
        <f>التشغيل!AD74</f>
        <v>0</v>
      </c>
      <c r="AE284" s="46">
        <f>التشغيل!AE74</f>
        <v>0</v>
      </c>
      <c r="AF284" s="46">
        <f>التشغيل!AF74</f>
        <v>0</v>
      </c>
      <c r="AG284" s="46">
        <f>التشغيل!AG74</f>
        <v>0</v>
      </c>
      <c r="AH284" s="46">
        <f>التشغيل!AH74</f>
        <v>0</v>
      </c>
    </row>
    <row r="285" spans="1:34" ht="21" x14ac:dyDescent="0.35">
      <c r="A285" s="43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</row>
    <row r="286" spans="1:34" ht="15.75" x14ac:dyDescent="0.25">
      <c r="A286" s="108" t="s">
        <v>0</v>
      </c>
      <c r="B286" s="108" t="s">
        <v>1</v>
      </c>
      <c r="C286" s="110" t="s">
        <v>2</v>
      </c>
      <c r="D286" s="110" t="s">
        <v>3</v>
      </c>
      <c r="E286" s="110" t="s">
        <v>39</v>
      </c>
      <c r="F286" s="110" t="s">
        <v>5</v>
      </c>
      <c r="G286" s="39" t="s">
        <v>6</v>
      </c>
      <c r="H286" s="40"/>
      <c r="I286" s="40"/>
      <c r="J286" s="40"/>
      <c r="K286" s="40"/>
      <c r="L286" s="40"/>
      <c r="M286" s="40"/>
      <c r="N286" s="40"/>
      <c r="O286" s="41"/>
      <c r="P286" s="101" t="s">
        <v>7</v>
      </c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3"/>
      <c r="AF286" s="104" t="s">
        <v>8</v>
      </c>
      <c r="AG286" s="106" t="s">
        <v>9</v>
      </c>
      <c r="AH286" s="106" t="s">
        <v>10</v>
      </c>
    </row>
    <row r="287" spans="1:34" ht="41.25" customHeight="1" x14ac:dyDescent="0.25">
      <c r="A287" s="109"/>
      <c r="B287" s="109"/>
      <c r="C287" s="111"/>
      <c r="D287" s="111"/>
      <c r="E287" s="111"/>
      <c r="F287" s="111"/>
      <c r="G287" s="42" t="s">
        <v>11</v>
      </c>
      <c r="H287" s="42" t="s">
        <v>12</v>
      </c>
      <c r="I287" s="42" t="s">
        <v>13</v>
      </c>
      <c r="J287" s="42" t="s">
        <v>14</v>
      </c>
      <c r="K287" s="42" t="s">
        <v>15</v>
      </c>
      <c r="L287" s="42" t="s">
        <v>16</v>
      </c>
      <c r="M287" s="42" t="s">
        <v>17</v>
      </c>
      <c r="N287" s="42" t="s">
        <v>18</v>
      </c>
      <c r="O287" s="42" t="s">
        <v>19</v>
      </c>
      <c r="P287" s="4" t="s">
        <v>20</v>
      </c>
      <c r="Q287" s="4" t="s">
        <v>21</v>
      </c>
      <c r="R287" s="4" t="s">
        <v>22</v>
      </c>
      <c r="S287" s="4" t="s">
        <v>23</v>
      </c>
      <c r="T287" s="4" t="s">
        <v>24</v>
      </c>
      <c r="U287" s="4" t="s">
        <v>25</v>
      </c>
      <c r="V287" s="4" t="s">
        <v>26</v>
      </c>
      <c r="W287" s="4" t="s">
        <v>27</v>
      </c>
      <c r="X287" s="4" t="s">
        <v>28</v>
      </c>
      <c r="Y287" s="4" t="s">
        <v>29</v>
      </c>
      <c r="Z287" s="4" t="s">
        <v>30</v>
      </c>
      <c r="AA287" s="5" t="s">
        <v>31</v>
      </c>
      <c r="AB287" s="5" t="s">
        <v>32</v>
      </c>
      <c r="AC287" s="5" t="s">
        <v>33</v>
      </c>
      <c r="AD287" s="6" t="s">
        <v>34</v>
      </c>
      <c r="AE287" s="4" t="s">
        <v>35</v>
      </c>
      <c r="AF287" s="105"/>
      <c r="AG287" s="107"/>
      <c r="AH287" s="107"/>
    </row>
    <row r="288" spans="1:34" ht="21" x14ac:dyDescent="0.35">
      <c r="A288" s="43">
        <f>+التشغيل!A75</f>
        <v>0</v>
      </c>
      <c r="B288" s="44">
        <f>+التشغيل!B75</f>
        <v>0</v>
      </c>
      <c r="C288" s="45">
        <f>+التشغيل!C75</f>
        <v>0</v>
      </c>
      <c r="D288" s="45">
        <f>+التشغيل!D75</f>
        <v>0</v>
      </c>
      <c r="E288" s="45">
        <f>+التشغيل!E75</f>
        <v>0</v>
      </c>
      <c r="F288" s="46">
        <f>التشغيل!F75</f>
        <v>0</v>
      </c>
      <c r="G288" s="46">
        <f>التشغيل!G75</f>
        <v>0</v>
      </c>
      <c r="H288" s="46">
        <f>التشغيل!H75</f>
        <v>0</v>
      </c>
      <c r="I288" s="46">
        <f>التشغيل!I75</f>
        <v>0</v>
      </c>
      <c r="J288" s="46">
        <f>التشغيل!J75</f>
        <v>0</v>
      </c>
      <c r="K288" s="46">
        <f>التشغيل!K75</f>
        <v>0</v>
      </c>
      <c r="L288" s="46">
        <f>التشغيل!L75</f>
        <v>0</v>
      </c>
      <c r="M288" s="46">
        <f>التشغيل!M75</f>
        <v>0</v>
      </c>
      <c r="N288" s="46">
        <f>التشغيل!N75</f>
        <v>0</v>
      </c>
      <c r="O288" s="46">
        <f>التشغيل!O75</f>
        <v>0</v>
      </c>
      <c r="P288" s="46">
        <f>التشغيل!P75</f>
        <v>0</v>
      </c>
      <c r="Q288" s="46">
        <f>التشغيل!Q75</f>
        <v>0</v>
      </c>
      <c r="R288" s="47">
        <f>التشغيل!R75</f>
        <v>0</v>
      </c>
      <c r="S288" s="47">
        <f>التشغيل!S75</f>
        <v>0</v>
      </c>
      <c r="T288" s="46">
        <f>التشغيل!T75</f>
        <v>0</v>
      </c>
      <c r="U288" s="46">
        <f>التشغيل!U75</f>
        <v>0</v>
      </c>
      <c r="V288" s="46">
        <f>التشغيل!V75</f>
        <v>0</v>
      </c>
      <c r="W288" s="46">
        <f>التشغيل!W75</f>
        <v>0</v>
      </c>
      <c r="X288" s="46">
        <f>التشغيل!X75</f>
        <v>0</v>
      </c>
      <c r="Y288" s="46">
        <f>التشغيل!Y75</f>
        <v>0</v>
      </c>
      <c r="Z288" s="46">
        <f>التشغيل!Z75</f>
        <v>0</v>
      </c>
      <c r="AA288" s="46">
        <f>التشغيل!AA75</f>
        <v>0</v>
      </c>
      <c r="AB288" s="46">
        <f>التشغيل!AB75</f>
        <v>0</v>
      </c>
      <c r="AC288" s="46">
        <f>التشغيل!AC75</f>
        <v>0</v>
      </c>
      <c r="AD288" s="46">
        <f>التشغيل!AD75</f>
        <v>0</v>
      </c>
      <c r="AE288" s="46">
        <f>التشغيل!AE75</f>
        <v>0</v>
      </c>
      <c r="AF288" s="46">
        <f>التشغيل!AF75</f>
        <v>0</v>
      </c>
      <c r="AG288" s="46">
        <f>التشغيل!AG75</f>
        <v>0</v>
      </c>
      <c r="AH288" s="46">
        <f>التشغيل!AH75</f>
        <v>0</v>
      </c>
    </row>
    <row r="289" spans="1:34" ht="21" x14ac:dyDescent="0.35">
      <c r="A289" s="43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</row>
    <row r="290" spans="1:34" ht="15.75" x14ac:dyDescent="0.25">
      <c r="A290" s="108" t="s">
        <v>0</v>
      </c>
      <c r="B290" s="108" t="s">
        <v>1</v>
      </c>
      <c r="C290" s="110" t="s">
        <v>2</v>
      </c>
      <c r="D290" s="110" t="s">
        <v>3</v>
      </c>
      <c r="E290" s="110" t="s">
        <v>39</v>
      </c>
      <c r="F290" s="110" t="s">
        <v>5</v>
      </c>
      <c r="G290" s="39" t="s">
        <v>6</v>
      </c>
      <c r="H290" s="40"/>
      <c r="I290" s="40"/>
      <c r="J290" s="40"/>
      <c r="K290" s="40"/>
      <c r="L290" s="40"/>
      <c r="M290" s="40"/>
      <c r="N290" s="40"/>
      <c r="O290" s="41"/>
      <c r="P290" s="101" t="s">
        <v>7</v>
      </c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3"/>
      <c r="AF290" s="104" t="s">
        <v>8</v>
      </c>
      <c r="AG290" s="106" t="s">
        <v>9</v>
      </c>
      <c r="AH290" s="106" t="s">
        <v>10</v>
      </c>
    </row>
    <row r="291" spans="1:34" ht="41.25" customHeight="1" x14ac:dyDescent="0.25">
      <c r="A291" s="109"/>
      <c r="B291" s="109"/>
      <c r="C291" s="111"/>
      <c r="D291" s="111"/>
      <c r="E291" s="111"/>
      <c r="F291" s="111"/>
      <c r="G291" s="42" t="s">
        <v>11</v>
      </c>
      <c r="H291" s="42" t="s">
        <v>12</v>
      </c>
      <c r="I291" s="42" t="s">
        <v>13</v>
      </c>
      <c r="J291" s="42" t="s">
        <v>14</v>
      </c>
      <c r="K291" s="42" t="s">
        <v>15</v>
      </c>
      <c r="L291" s="42" t="s">
        <v>16</v>
      </c>
      <c r="M291" s="42" t="s">
        <v>17</v>
      </c>
      <c r="N291" s="42" t="s">
        <v>18</v>
      </c>
      <c r="O291" s="42" t="s">
        <v>19</v>
      </c>
      <c r="P291" s="4" t="s">
        <v>20</v>
      </c>
      <c r="Q291" s="4" t="s">
        <v>21</v>
      </c>
      <c r="R291" s="4" t="s">
        <v>22</v>
      </c>
      <c r="S291" s="4" t="s">
        <v>23</v>
      </c>
      <c r="T291" s="4" t="s">
        <v>24</v>
      </c>
      <c r="U291" s="4" t="s">
        <v>25</v>
      </c>
      <c r="V291" s="4" t="s">
        <v>26</v>
      </c>
      <c r="W291" s="4" t="s">
        <v>27</v>
      </c>
      <c r="X291" s="4" t="s">
        <v>28</v>
      </c>
      <c r="Y291" s="4" t="s">
        <v>29</v>
      </c>
      <c r="Z291" s="4" t="s">
        <v>30</v>
      </c>
      <c r="AA291" s="5" t="s">
        <v>31</v>
      </c>
      <c r="AB291" s="5" t="s">
        <v>32</v>
      </c>
      <c r="AC291" s="5" t="s">
        <v>33</v>
      </c>
      <c r="AD291" s="6" t="s">
        <v>34</v>
      </c>
      <c r="AE291" s="4" t="s">
        <v>35</v>
      </c>
      <c r="AF291" s="105"/>
      <c r="AG291" s="107"/>
      <c r="AH291" s="107"/>
    </row>
    <row r="292" spans="1:34" ht="21" x14ac:dyDescent="0.35">
      <c r="A292" s="43">
        <f>+التشغيل!A76</f>
        <v>0</v>
      </c>
      <c r="B292" s="44">
        <f>+التشغيل!B76</f>
        <v>0</v>
      </c>
      <c r="C292" s="45">
        <f>+التشغيل!C76</f>
        <v>0</v>
      </c>
      <c r="D292" s="45">
        <f>+التشغيل!D76</f>
        <v>0</v>
      </c>
      <c r="E292" s="45">
        <f>+التشغيل!E76</f>
        <v>0</v>
      </c>
      <c r="F292" s="46">
        <f>التشغيل!F76</f>
        <v>0</v>
      </c>
      <c r="G292" s="46">
        <f>التشغيل!G76</f>
        <v>0</v>
      </c>
      <c r="H292" s="46">
        <f>التشغيل!H76</f>
        <v>0</v>
      </c>
      <c r="I292" s="46">
        <f>التشغيل!I76</f>
        <v>0</v>
      </c>
      <c r="J292" s="46">
        <f>التشغيل!J76</f>
        <v>0</v>
      </c>
      <c r="K292" s="46">
        <f>التشغيل!K76</f>
        <v>0</v>
      </c>
      <c r="L292" s="46">
        <f>التشغيل!L76</f>
        <v>0</v>
      </c>
      <c r="M292" s="46">
        <f>التشغيل!M76</f>
        <v>0</v>
      </c>
      <c r="N292" s="46">
        <f>التشغيل!N76</f>
        <v>0</v>
      </c>
      <c r="O292" s="46">
        <f>التشغيل!O76</f>
        <v>0</v>
      </c>
      <c r="P292" s="46">
        <f>التشغيل!P76</f>
        <v>0</v>
      </c>
      <c r="Q292" s="46">
        <f>التشغيل!Q76</f>
        <v>0</v>
      </c>
      <c r="R292" s="47">
        <f>التشغيل!R76</f>
        <v>0</v>
      </c>
      <c r="S292" s="47">
        <f>التشغيل!S76</f>
        <v>0</v>
      </c>
      <c r="T292" s="46">
        <f>التشغيل!T76</f>
        <v>0</v>
      </c>
      <c r="U292" s="46">
        <f>التشغيل!U76</f>
        <v>0</v>
      </c>
      <c r="V292" s="46">
        <f>التشغيل!V76</f>
        <v>0</v>
      </c>
      <c r="W292" s="46">
        <f>التشغيل!W76</f>
        <v>0</v>
      </c>
      <c r="X292" s="46">
        <f>التشغيل!X76</f>
        <v>0</v>
      </c>
      <c r="Y292" s="46">
        <f>التشغيل!Y76</f>
        <v>0</v>
      </c>
      <c r="Z292" s="46">
        <f>التشغيل!Z76</f>
        <v>0</v>
      </c>
      <c r="AA292" s="46">
        <f>التشغيل!AA76</f>
        <v>0</v>
      </c>
      <c r="AB292" s="46">
        <f>التشغيل!AB76</f>
        <v>0</v>
      </c>
      <c r="AC292" s="46">
        <f>التشغيل!AC76</f>
        <v>0</v>
      </c>
      <c r="AD292" s="46">
        <f>التشغيل!AD76</f>
        <v>0</v>
      </c>
      <c r="AE292" s="46">
        <f>التشغيل!AE76</f>
        <v>0</v>
      </c>
      <c r="AF292" s="46">
        <f>التشغيل!AF76</f>
        <v>0</v>
      </c>
      <c r="AG292" s="46">
        <f>التشغيل!AG76</f>
        <v>0</v>
      </c>
      <c r="AH292" s="46">
        <f>التشغيل!AH76</f>
        <v>0</v>
      </c>
    </row>
    <row r="293" spans="1:34" ht="21" x14ac:dyDescent="0.35">
      <c r="A293" s="43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ht="15.75" x14ac:dyDescent="0.25">
      <c r="A294" s="108" t="s">
        <v>0</v>
      </c>
      <c r="B294" s="108" t="s">
        <v>1</v>
      </c>
      <c r="C294" s="110" t="s">
        <v>2</v>
      </c>
      <c r="D294" s="110" t="s">
        <v>3</v>
      </c>
      <c r="E294" s="110" t="s">
        <v>39</v>
      </c>
      <c r="F294" s="110" t="s">
        <v>5</v>
      </c>
      <c r="G294" s="39" t="s">
        <v>6</v>
      </c>
      <c r="H294" s="40"/>
      <c r="I294" s="40"/>
      <c r="J294" s="40"/>
      <c r="K294" s="40"/>
      <c r="L294" s="40"/>
      <c r="M294" s="40"/>
      <c r="N294" s="40"/>
      <c r="O294" s="41"/>
      <c r="P294" s="101" t="s">
        <v>7</v>
      </c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3"/>
      <c r="AF294" s="104" t="s">
        <v>8</v>
      </c>
      <c r="AG294" s="106" t="s">
        <v>9</v>
      </c>
      <c r="AH294" s="106" t="s">
        <v>10</v>
      </c>
    </row>
    <row r="295" spans="1:34" ht="41.25" customHeight="1" x14ac:dyDescent="0.25">
      <c r="A295" s="109"/>
      <c r="B295" s="109"/>
      <c r="C295" s="111"/>
      <c r="D295" s="111"/>
      <c r="E295" s="111"/>
      <c r="F295" s="111"/>
      <c r="G295" s="42" t="s">
        <v>11</v>
      </c>
      <c r="H295" s="42" t="s">
        <v>12</v>
      </c>
      <c r="I295" s="42" t="s">
        <v>13</v>
      </c>
      <c r="J295" s="42" t="s">
        <v>14</v>
      </c>
      <c r="K295" s="42" t="s">
        <v>15</v>
      </c>
      <c r="L295" s="42" t="s">
        <v>16</v>
      </c>
      <c r="M295" s="42" t="s">
        <v>17</v>
      </c>
      <c r="N295" s="42" t="s">
        <v>18</v>
      </c>
      <c r="O295" s="42" t="s">
        <v>19</v>
      </c>
      <c r="P295" s="4" t="s">
        <v>20</v>
      </c>
      <c r="Q295" s="4" t="s">
        <v>21</v>
      </c>
      <c r="R295" s="4" t="s">
        <v>22</v>
      </c>
      <c r="S295" s="4" t="s">
        <v>23</v>
      </c>
      <c r="T295" s="4" t="s">
        <v>24</v>
      </c>
      <c r="U295" s="4" t="s">
        <v>25</v>
      </c>
      <c r="V295" s="4" t="s">
        <v>26</v>
      </c>
      <c r="W295" s="4" t="s">
        <v>27</v>
      </c>
      <c r="X295" s="4" t="s">
        <v>28</v>
      </c>
      <c r="Y295" s="4" t="s">
        <v>29</v>
      </c>
      <c r="Z295" s="4" t="s">
        <v>30</v>
      </c>
      <c r="AA295" s="5" t="s">
        <v>31</v>
      </c>
      <c r="AB295" s="5" t="s">
        <v>32</v>
      </c>
      <c r="AC295" s="5" t="s">
        <v>33</v>
      </c>
      <c r="AD295" s="6" t="s">
        <v>34</v>
      </c>
      <c r="AE295" s="4" t="s">
        <v>35</v>
      </c>
      <c r="AF295" s="105"/>
      <c r="AG295" s="107"/>
      <c r="AH295" s="107"/>
    </row>
    <row r="296" spans="1:34" ht="21" x14ac:dyDescent="0.35">
      <c r="A296" s="43">
        <f>+التشغيل!A77</f>
        <v>0</v>
      </c>
      <c r="B296" s="44">
        <f>+التشغيل!B77</f>
        <v>0</v>
      </c>
      <c r="C296" s="45">
        <f>+التشغيل!C77</f>
        <v>0</v>
      </c>
      <c r="D296" s="45">
        <f>+التشغيل!D77</f>
        <v>0</v>
      </c>
      <c r="E296" s="45">
        <f>+التشغيل!E77</f>
        <v>0</v>
      </c>
      <c r="F296" s="46">
        <f>التشغيل!F77</f>
        <v>0</v>
      </c>
      <c r="G296" s="46">
        <f>التشغيل!G77</f>
        <v>0</v>
      </c>
      <c r="H296" s="46">
        <f>التشغيل!H77</f>
        <v>0</v>
      </c>
      <c r="I296" s="46">
        <f>التشغيل!I77</f>
        <v>0</v>
      </c>
      <c r="J296" s="46">
        <f>التشغيل!J77</f>
        <v>0</v>
      </c>
      <c r="K296" s="46">
        <f>التشغيل!K77</f>
        <v>0</v>
      </c>
      <c r="L296" s="46">
        <f>التشغيل!L77</f>
        <v>0</v>
      </c>
      <c r="M296" s="46">
        <f>التشغيل!M77</f>
        <v>0</v>
      </c>
      <c r="N296" s="46">
        <f>التشغيل!N77</f>
        <v>0</v>
      </c>
      <c r="O296" s="46">
        <f>التشغيل!O77</f>
        <v>0</v>
      </c>
      <c r="P296" s="46">
        <f>التشغيل!P77</f>
        <v>0</v>
      </c>
      <c r="Q296" s="46">
        <f>التشغيل!Q77</f>
        <v>0</v>
      </c>
      <c r="R296" s="47">
        <f>التشغيل!R77</f>
        <v>0</v>
      </c>
      <c r="S296" s="47">
        <f>التشغيل!S77</f>
        <v>0</v>
      </c>
      <c r="T296" s="46">
        <f>التشغيل!T77</f>
        <v>0</v>
      </c>
      <c r="U296" s="46">
        <f>التشغيل!U77</f>
        <v>0</v>
      </c>
      <c r="V296" s="46">
        <f>التشغيل!V77</f>
        <v>0</v>
      </c>
      <c r="W296" s="46">
        <f>التشغيل!W77</f>
        <v>0</v>
      </c>
      <c r="X296" s="46">
        <f>التشغيل!X77</f>
        <v>0</v>
      </c>
      <c r="Y296" s="46">
        <f>التشغيل!Y77</f>
        <v>0</v>
      </c>
      <c r="Z296" s="46">
        <f>التشغيل!Z77</f>
        <v>0</v>
      </c>
      <c r="AA296" s="46">
        <f>التشغيل!AA77</f>
        <v>0</v>
      </c>
      <c r="AB296" s="46">
        <f>التشغيل!AB77</f>
        <v>0</v>
      </c>
      <c r="AC296" s="46">
        <f>التشغيل!AC77</f>
        <v>0</v>
      </c>
      <c r="AD296" s="46">
        <f>التشغيل!AD77</f>
        <v>0</v>
      </c>
      <c r="AE296" s="46">
        <f>التشغيل!AE77</f>
        <v>0</v>
      </c>
      <c r="AF296" s="46">
        <f>التشغيل!AF77</f>
        <v>0</v>
      </c>
      <c r="AG296" s="46">
        <f>التشغيل!AG77</f>
        <v>0</v>
      </c>
      <c r="AH296" s="46">
        <f>التشغيل!AH77</f>
        <v>0</v>
      </c>
    </row>
    <row r="297" spans="1:34" ht="21" x14ac:dyDescent="0.35">
      <c r="A297" s="43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ht="15.75" x14ac:dyDescent="0.25">
      <c r="A298" s="108" t="s">
        <v>0</v>
      </c>
      <c r="B298" s="108" t="s">
        <v>1</v>
      </c>
      <c r="C298" s="110" t="s">
        <v>2</v>
      </c>
      <c r="D298" s="110" t="s">
        <v>3</v>
      </c>
      <c r="E298" s="110" t="s">
        <v>39</v>
      </c>
      <c r="F298" s="110" t="s">
        <v>5</v>
      </c>
      <c r="G298" s="39" t="s">
        <v>6</v>
      </c>
      <c r="H298" s="40"/>
      <c r="I298" s="40"/>
      <c r="J298" s="40"/>
      <c r="K298" s="40"/>
      <c r="L298" s="40"/>
      <c r="M298" s="40"/>
      <c r="N298" s="40"/>
      <c r="O298" s="41"/>
      <c r="P298" s="101" t="s">
        <v>7</v>
      </c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3"/>
      <c r="AF298" s="104" t="s">
        <v>8</v>
      </c>
      <c r="AG298" s="106" t="s">
        <v>9</v>
      </c>
      <c r="AH298" s="106" t="s">
        <v>10</v>
      </c>
    </row>
    <row r="299" spans="1:34" ht="41.25" customHeight="1" x14ac:dyDescent="0.25">
      <c r="A299" s="109"/>
      <c r="B299" s="109"/>
      <c r="C299" s="111"/>
      <c r="D299" s="111"/>
      <c r="E299" s="111"/>
      <c r="F299" s="111"/>
      <c r="G299" s="42" t="s">
        <v>11</v>
      </c>
      <c r="H299" s="42" t="s">
        <v>12</v>
      </c>
      <c r="I299" s="42" t="s">
        <v>13</v>
      </c>
      <c r="J299" s="42" t="s">
        <v>14</v>
      </c>
      <c r="K299" s="42" t="s">
        <v>15</v>
      </c>
      <c r="L299" s="42" t="s">
        <v>16</v>
      </c>
      <c r="M299" s="42" t="s">
        <v>17</v>
      </c>
      <c r="N299" s="42" t="s">
        <v>18</v>
      </c>
      <c r="O299" s="42" t="s">
        <v>19</v>
      </c>
      <c r="P299" s="4" t="s">
        <v>20</v>
      </c>
      <c r="Q299" s="4" t="s">
        <v>21</v>
      </c>
      <c r="R299" s="4" t="s">
        <v>22</v>
      </c>
      <c r="S299" s="4" t="s">
        <v>23</v>
      </c>
      <c r="T299" s="4" t="s">
        <v>24</v>
      </c>
      <c r="U299" s="4" t="s">
        <v>25</v>
      </c>
      <c r="V299" s="4" t="s">
        <v>26</v>
      </c>
      <c r="W299" s="4" t="s">
        <v>27</v>
      </c>
      <c r="X299" s="4" t="s">
        <v>28</v>
      </c>
      <c r="Y299" s="4" t="s">
        <v>29</v>
      </c>
      <c r="Z299" s="4" t="s">
        <v>30</v>
      </c>
      <c r="AA299" s="5" t="s">
        <v>31</v>
      </c>
      <c r="AB299" s="5" t="s">
        <v>32</v>
      </c>
      <c r="AC299" s="5" t="s">
        <v>33</v>
      </c>
      <c r="AD299" s="6" t="s">
        <v>34</v>
      </c>
      <c r="AE299" s="4" t="s">
        <v>35</v>
      </c>
      <c r="AF299" s="105"/>
      <c r="AG299" s="107"/>
      <c r="AH299" s="107"/>
    </row>
    <row r="300" spans="1:34" ht="21" x14ac:dyDescent="0.35">
      <c r="A300" s="43">
        <f>+التشغيل!A78</f>
        <v>0</v>
      </c>
      <c r="B300" s="44">
        <f>+التشغيل!B78</f>
        <v>0</v>
      </c>
      <c r="C300" s="45">
        <f>+التشغيل!C78</f>
        <v>0</v>
      </c>
      <c r="D300" s="45">
        <f>+التشغيل!D78</f>
        <v>0</v>
      </c>
      <c r="E300" s="45">
        <f>+التشغيل!E78</f>
        <v>0</v>
      </c>
      <c r="F300" s="46">
        <f>التشغيل!F78</f>
        <v>0</v>
      </c>
      <c r="G300" s="46">
        <f>التشغيل!G78</f>
        <v>0</v>
      </c>
      <c r="H300" s="46">
        <f>التشغيل!H78</f>
        <v>0</v>
      </c>
      <c r="I300" s="46">
        <f>التشغيل!I78</f>
        <v>0</v>
      </c>
      <c r="J300" s="46">
        <f>التشغيل!J78</f>
        <v>0</v>
      </c>
      <c r="K300" s="46">
        <f>التشغيل!K78</f>
        <v>0</v>
      </c>
      <c r="L300" s="46">
        <f>التشغيل!L78</f>
        <v>0</v>
      </c>
      <c r="M300" s="46">
        <f>التشغيل!M78</f>
        <v>0</v>
      </c>
      <c r="N300" s="46">
        <f>التشغيل!N78</f>
        <v>0</v>
      </c>
      <c r="O300" s="46">
        <f>التشغيل!O78</f>
        <v>0</v>
      </c>
      <c r="P300" s="46">
        <f>التشغيل!P78</f>
        <v>0</v>
      </c>
      <c r="Q300" s="46">
        <f>التشغيل!Q78</f>
        <v>0</v>
      </c>
      <c r="R300" s="47">
        <f>التشغيل!R78</f>
        <v>0</v>
      </c>
      <c r="S300" s="47">
        <f>التشغيل!S78</f>
        <v>0</v>
      </c>
      <c r="T300" s="46">
        <f>التشغيل!T78</f>
        <v>0</v>
      </c>
      <c r="U300" s="46">
        <f>التشغيل!U78</f>
        <v>0</v>
      </c>
      <c r="V300" s="46">
        <f>التشغيل!V78</f>
        <v>0</v>
      </c>
      <c r="W300" s="46">
        <f>التشغيل!W78</f>
        <v>0</v>
      </c>
      <c r="X300" s="46">
        <f>التشغيل!X78</f>
        <v>0</v>
      </c>
      <c r="Y300" s="46">
        <f>التشغيل!Y78</f>
        <v>0</v>
      </c>
      <c r="Z300" s="46">
        <f>التشغيل!Z78</f>
        <v>0</v>
      </c>
      <c r="AA300" s="46">
        <f>التشغيل!AA78</f>
        <v>0</v>
      </c>
      <c r="AB300" s="46">
        <f>التشغيل!AB78</f>
        <v>0</v>
      </c>
      <c r="AC300" s="46">
        <f>التشغيل!AC78</f>
        <v>0</v>
      </c>
      <c r="AD300" s="46">
        <f>التشغيل!AD78</f>
        <v>0</v>
      </c>
      <c r="AE300" s="46">
        <f>التشغيل!AE78</f>
        <v>0</v>
      </c>
      <c r="AF300" s="46">
        <f>التشغيل!AF78</f>
        <v>0</v>
      </c>
      <c r="AG300" s="46">
        <f>التشغيل!AG78</f>
        <v>0</v>
      </c>
      <c r="AH300" s="46">
        <f>التشغيل!AH78</f>
        <v>0</v>
      </c>
    </row>
    <row r="301" spans="1:34" ht="21" x14ac:dyDescent="0.35">
      <c r="A301" s="43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ht="15.75" x14ac:dyDescent="0.25">
      <c r="A302" s="108" t="s">
        <v>0</v>
      </c>
      <c r="B302" s="108" t="s">
        <v>1</v>
      </c>
      <c r="C302" s="110" t="s">
        <v>2</v>
      </c>
      <c r="D302" s="110" t="s">
        <v>3</v>
      </c>
      <c r="E302" s="110" t="s">
        <v>39</v>
      </c>
      <c r="F302" s="110" t="s">
        <v>5</v>
      </c>
      <c r="G302" s="39" t="s">
        <v>6</v>
      </c>
      <c r="H302" s="40"/>
      <c r="I302" s="40"/>
      <c r="J302" s="40"/>
      <c r="K302" s="40"/>
      <c r="L302" s="40"/>
      <c r="M302" s="40"/>
      <c r="N302" s="40"/>
      <c r="O302" s="41"/>
      <c r="P302" s="101" t="s">
        <v>7</v>
      </c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3"/>
      <c r="AF302" s="104" t="s">
        <v>8</v>
      </c>
      <c r="AG302" s="106" t="s">
        <v>9</v>
      </c>
      <c r="AH302" s="106" t="s">
        <v>10</v>
      </c>
    </row>
    <row r="303" spans="1:34" ht="41.25" customHeight="1" x14ac:dyDescent="0.25">
      <c r="A303" s="109"/>
      <c r="B303" s="109"/>
      <c r="C303" s="111"/>
      <c r="D303" s="111"/>
      <c r="E303" s="111"/>
      <c r="F303" s="111"/>
      <c r="G303" s="42" t="s">
        <v>11</v>
      </c>
      <c r="H303" s="42" t="s">
        <v>12</v>
      </c>
      <c r="I303" s="42" t="s">
        <v>13</v>
      </c>
      <c r="J303" s="42" t="s">
        <v>14</v>
      </c>
      <c r="K303" s="42" t="s">
        <v>15</v>
      </c>
      <c r="L303" s="42" t="s">
        <v>16</v>
      </c>
      <c r="M303" s="42" t="s">
        <v>17</v>
      </c>
      <c r="N303" s="42" t="s">
        <v>18</v>
      </c>
      <c r="O303" s="42" t="s">
        <v>19</v>
      </c>
      <c r="P303" s="4" t="s">
        <v>20</v>
      </c>
      <c r="Q303" s="4" t="s">
        <v>21</v>
      </c>
      <c r="R303" s="4" t="s">
        <v>22</v>
      </c>
      <c r="S303" s="4" t="s">
        <v>23</v>
      </c>
      <c r="T303" s="4" t="s">
        <v>24</v>
      </c>
      <c r="U303" s="4" t="s">
        <v>25</v>
      </c>
      <c r="V303" s="4" t="s">
        <v>26</v>
      </c>
      <c r="W303" s="4" t="s">
        <v>27</v>
      </c>
      <c r="X303" s="4" t="s">
        <v>28</v>
      </c>
      <c r="Y303" s="4" t="s">
        <v>29</v>
      </c>
      <c r="Z303" s="4" t="s">
        <v>30</v>
      </c>
      <c r="AA303" s="5" t="s">
        <v>31</v>
      </c>
      <c r="AB303" s="5" t="s">
        <v>32</v>
      </c>
      <c r="AC303" s="5" t="s">
        <v>33</v>
      </c>
      <c r="AD303" s="6" t="s">
        <v>34</v>
      </c>
      <c r="AE303" s="4" t="s">
        <v>35</v>
      </c>
      <c r="AF303" s="105"/>
      <c r="AG303" s="107"/>
      <c r="AH303" s="107"/>
    </row>
    <row r="304" spans="1:34" ht="21" x14ac:dyDescent="0.35">
      <c r="A304" s="43">
        <f>+التشغيل!A79</f>
        <v>0</v>
      </c>
      <c r="B304" s="44">
        <f>+التشغيل!B79</f>
        <v>0</v>
      </c>
      <c r="C304" s="45">
        <f>+التشغيل!C79</f>
        <v>0</v>
      </c>
      <c r="D304" s="45">
        <f>+التشغيل!D79</f>
        <v>0</v>
      </c>
      <c r="E304" s="45">
        <f>+التشغيل!E79</f>
        <v>0</v>
      </c>
      <c r="F304" s="46">
        <f>التشغيل!F79</f>
        <v>0</v>
      </c>
      <c r="G304" s="46">
        <f>التشغيل!G79</f>
        <v>0</v>
      </c>
      <c r="H304" s="46">
        <f>التشغيل!H79</f>
        <v>0</v>
      </c>
      <c r="I304" s="46">
        <f>التشغيل!I79</f>
        <v>0</v>
      </c>
      <c r="J304" s="46">
        <f>التشغيل!J79</f>
        <v>0</v>
      </c>
      <c r="K304" s="46">
        <f>التشغيل!K79</f>
        <v>0</v>
      </c>
      <c r="L304" s="46">
        <f>التشغيل!L79</f>
        <v>0</v>
      </c>
      <c r="M304" s="46">
        <f>التشغيل!M79</f>
        <v>0</v>
      </c>
      <c r="N304" s="46">
        <f>التشغيل!N79</f>
        <v>0</v>
      </c>
      <c r="O304" s="46">
        <f>التشغيل!O79</f>
        <v>0</v>
      </c>
      <c r="P304" s="46">
        <f>التشغيل!P79</f>
        <v>0</v>
      </c>
      <c r="Q304" s="46">
        <f>التشغيل!Q79</f>
        <v>0</v>
      </c>
      <c r="R304" s="47">
        <f>التشغيل!R79</f>
        <v>0</v>
      </c>
      <c r="S304" s="47">
        <f>التشغيل!S79</f>
        <v>0</v>
      </c>
      <c r="T304" s="46">
        <f>التشغيل!T79</f>
        <v>0</v>
      </c>
      <c r="U304" s="46">
        <f>التشغيل!U79</f>
        <v>0</v>
      </c>
      <c r="V304" s="46">
        <f>التشغيل!V79</f>
        <v>0</v>
      </c>
      <c r="W304" s="46">
        <f>التشغيل!W79</f>
        <v>0</v>
      </c>
      <c r="X304" s="46">
        <f>التشغيل!X79</f>
        <v>0</v>
      </c>
      <c r="Y304" s="46">
        <f>التشغيل!Y79</f>
        <v>0</v>
      </c>
      <c r="Z304" s="46">
        <f>التشغيل!Z79</f>
        <v>0</v>
      </c>
      <c r="AA304" s="46">
        <f>التشغيل!AA79</f>
        <v>0</v>
      </c>
      <c r="AB304" s="46">
        <f>التشغيل!AB79</f>
        <v>0</v>
      </c>
      <c r="AC304" s="46">
        <f>التشغيل!AC79</f>
        <v>0</v>
      </c>
      <c r="AD304" s="46">
        <f>التشغيل!AD79</f>
        <v>0</v>
      </c>
      <c r="AE304" s="46">
        <f>التشغيل!AE79</f>
        <v>0</v>
      </c>
      <c r="AF304" s="46">
        <f>التشغيل!AF79</f>
        <v>0</v>
      </c>
      <c r="AG304" s="46">
        <f>التشغيل!AG79</f>
        <v>0</v>
      </c>
      <c r="AH304" s="46">
        <f>التشغيل!AH79</f>
        <v>0</v>
      </c>
    </row>
    <row r="305" spans="1:34" ht="21" x14ac:dyDescent="0.35">
      <c r="A305" s="43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7"/>
      <c r="S305" s="47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ht="15.75" x14ac:dyDescent="0.25">
      <c r="A306" s="108" t="s">
        <v>0</v>
      </c>
      <c r="B306" s="108" t="s">
        <v>1</v>
      </c>
      <c r="C306" s="110" t="s">
        <v>2</v>
      </c>
      <c r="D306" s="110" t="s">
        <v>3</v>
      </c>
      <c r="E306" s="110" t="s">
        <v>39</v>
      </c>
      <c r="F306" s="110" t="s">
        <v>5</v>
      </c>
      <c r="G306" s="39" t="s">
        <v>6</v>
      </c>
      <c r="H306" s="40"/>
      <c r="I306" s="40"/>
      <c r="J306" s="40"/>
      <c r="K306" s="40"/>
      <c r="L306" s="40"/>
      <c r="M306" s="40"/>
      <c r="N306" s="40"/>
      <c r="O306" s="41"/>
      <c r="P306" s="101" t="s">
        <v>7</v>
      </c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3"/>
      <c r="AF306" s="104" t="s">
        <v>8</v>
      </c>
      <c r="AG306" s="106" t="s">
        <v>9</v>
      </c>
      <c r="AH306" s="106" t="s">
        <v>10</v>
      </c>
    </row>
    <row r="307" spans="1:34" ht="41.25" customHeight="1" x14ac:dyDescent="0.25">
      <c r="A307" s="109"/>
      <c r="B307" s="109"/>
      <c r="C307" s="111"/>
      <c r="D307" s="111"/>
      <c r="E307" s="111"/>
      <c r="F307" s="111"/>
      <c r="G307" s="42" t="s">
        <v>11</v>
      </c>
      <c r="H307" s="42" t="s">
        <v>12</v>
      </c>
      <c r="I307" s="42" t="s">
        <v>13</v>
      </c>
      <c r="J307" s="42" t="s">
        <v>14</v>
      </c>
      <c r="K307" s="42" t="s">
        <v>15</v>
      </c>
      <c r="L307" s="42" t="s">
        <v>16</v>
      </c>
      <c r="M307" s="42" t="s">
        <v>17</v>
      </c>
      <c r="N307" s="42" t="s">
        <v>18</v>
      </c>
      <c r="O307" s="42" t="s">
        <v>19</v>
      </c>
      <c r="P307" s="4" t="s">
        <v>20</v>
      </c>
      <c r="Q307" s="4" t="s">
        <v>21</v>
      </c>
      <c r="R307" s="4" t="s">
        <v>22</v>
      </c>
      <c r="S307" s="4" t="s">
        <v>23</v>
      </c>
      <c r="T307" s="4" t="s">
        <v>24</v>
      </c>
      <c r="U307" s="4" t="s">
        <v>25</v>
      </c>
      <c r="V307" s="4" t="s">
        <v>26</v>
      </c>
      <c r="W307" s="4" t="s">
        <v>27</v>
      </c>
      <c r="X307" s="4" t="s">
        <v>28</v>
      </c>
      <c r="Y307" s="4" t="s">
        <v>29</v>
      </c>
      <c r="Z307" s="4" t="s">
        <v>30</v>
      </c>
      <c r="AA307" s="5" t="s">
        <v>31</v>
      </c>
      <c r="AB307" s="5" t="s">
        <v>32</v>
      </c>
      <c r="AC307" s="5" t="s">
        <v>33</v>
      </c>
      <c r="AD307" s="6" t="s">
        <v>34</v>
      </c>
      <c r="AE307" s="4" t="s">
        <v>35</v>
      </c>
      <c r="AF307" s="105"/>
      <c r="AG307" s="107"/>
      <c r="AH307" s="107"/>
    </row>
    <row r="308" spans="1:34" ht="21" x14ac:dyDescent="0.35">
      <c r="A308" s="43">
        <f>+التشغيل!A80</f>
        <v>0</v>
      </c>
      <c r="B308" s="44">
        <f>+التشغيل!B80</f>
        <v>0</v>
      </c>
      <c r="C308" s="45">
        <f>+التشغيل!C80</f>
        <v>0</v>
      </c>
      <c r="D308" s="45">
        <f>+التشغيل!D80</f>
        <v>0</v>
      </c>
      <c r="E308" s="45">
        <f>+التشغيل!E80</f>
        <v>0</v>
      </c>
      <c r="F308" s="46">
        <f>التشغيل!F80</f>
        <v>0</v>
      </c>
      <c r="G308" s="46">
        <f>التشغيل!G80</f>
        <v>0</v>
      </c>
      <c r="H308" s="46">
        <f>التشغيل!H80</f>
        <v>0</v>
      </c>
      <c r="I308" s="46">
        <f>التشغيل!I80</f>
        <v>0</v>
      </c>
      <c r="J308" s="46">
        <f>التشغيل!J80</f>
        <v>0</v>
      </c>
      <c r="K308" s="46">
        <f>التشغيل!K80</f>
        <v>0</v>
      </c>
      <c r="L308" s="46">
        <f>التشغيل!L80</f>
        <v>0</v>
      </c>
      <c r="M308" s="46">
        <f>التشغيل!M80</f>
        <v>0</v>
      </c>
      <c r="N308" s="46">
        <f>التشغيل!N80</f>
        <v>0</v>
      </c>
      <c r="O308" s="46">
        <f>التشغيل!O80</f>
        <v>0</v>
      </c>
      <c r="P308" s="46">
        <f>التشغيل!P80</f>
        <v>0</v>
      </c>
      <c r="Q308" s="46">
        <f>التشغيل!Q80</f>
        <v>0</v>
      </c>
      <c r="R308" s="47">
        <f>التشغيل!R80</f>
        <v>0</v>
      </c>
      <c r="S308" s="47">
        <f>التشغيل!S80</f>
        <v>0</v>
      </c>
      <c r="T308" s="46">
        <f>التشغيل!T80</f>
        <v>0</v>
      </c>
      <c r="U308" s="46">
        <f>التشغيل!U80</f>
        <v>0</v>
      </c>
      <c r="V308" s="46">
        <f>التشغيل!V80</f>
        <v>0</v>
      </c>
      <c r="W308" s="46">
        <f>التشغيل!W80</f>
        <v>0</v>
      </c>
      <c r="X308" s="46">
        <f>التشغيل!X80</f>
        <v>0</v>
      </c>
      <c r="Y308" s="46">
        <f>التشغيل!Y80</f>
        <v>0</v>
      </c>
      <c r="Z308" s="46">
        <f>التشغيل!Z80</f>
        <v>0</v>
      </c>
      <c r="AA308" s="46">
        <f>التشغيل!AA80</f>
        <v>0</v>
      </c>
      <c r="AB308" s="46">
        <f>التشغيل!AB80</f>
        <v>0</v>
      </c>
      <c r="AC308" s="46">
        <f>التشغيل!AC80</f>
        <v>0</v>
      </c>
      <c r="AD308" s="46">
        <f>التشغيل!AD80</f>
        <v>0</v>
      </c>
      <c r="AE308" s="46">
        <f>التشغيل!AE80</f>
        <v>0</v>
      </c>
      <c r="AF308" s="46">
        <f>التشغيل!AF80</f>
        <v>0</v>
      </c>
      <c r="AG308" s="46">
        <f>التشغيل!AG80</f>
        <v>0</v>
      </c>
      <c r="AH308" s="46">
        <f>التشغيل!AH80</f>
        <v>0</v>
      </c>
    </row>
    <row r="309" spans="1:34" ht="21" x14ac:dyDescent="0.35">
      <c r="A309" s="43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</sheetData>
  <mergeCells count="770">
    <mergeCell ref="AH298:AH299"/>
    <mergeCell ref="A302:A303"/>
    <mergeCell ref="B302:B303"/>
    <mergeCell ref="C302:C303"/>
    <mergeCell ref="D302:D303"/>
    <mergeCell ref="E302:E303"/>
    <mergeCell ref="F302:F303"/>
    <mergeCell ref="P306:AE306"/>
    <mergeCell ref="AF306:AF307"/>
    <mergeCell ref="AG306:AG307"/>
    <mergeCell ref="AH306:AH307"/>
    <mergeCell ref="P302:AE302"/>
    <mergeCell ref="AF302:AF303"/>
    <mergeCell ref="AG302:AG303"/>
    <mergeCell ref="AH302:AH303"/>
    <mergeCell ref="A306:A307"/>
    <mergeCell ref="B306:B307"/>
    <mergeCell ref="C306:C307"/>
    <mergeCell ref="D306:D307"/>
    <mergeCell ref="E306:E307"/>
    <mergeCell ref="F306:F307"/>
    <mergeCell ref="A298:A299"/>
    <mergeCell ref="B298:B299"/>
    <mergeCell ref="C298:C299"/>
    <mergeCell ref="D298:D299"/>
    <mergeCell ref="E298:E299"/>
    <mergeCell ref="F298:F299"/>
    <mergeCell ref="P298:AE298"/>
    <mergeCell ref="AF298:AF299"/>
    <mergeCell ref="AG298:AG299"/>
    <mergeCell ref="AH290:AH291"/>
    <mergeCell ref="A294:A295"/>
    <mergeCell ref="B294:B295"/>
    <mergeCell ref="C294:C295"/>
    <mergeCell ref="D294:D295"/>
    <mergeCell ref="E294:E295"/>
    <mergeCell ref="F294:F295"/>
    <mergeCell ref="P294:AE294"/>
    <mergeCell ref="AF294:AF295"/>
    <mergeCell ref="AG294:AG295"/>
    <mergeCell ref="AH294:AH295"/>
    <mergeCell ref="A290:A291"/>
    <mergeCell ref="B290:B291"/>
    <mergeCell ref="C290:C291"/>
    <mergeCell ref="D290:D291"/>
    <mergeCell ref="E290:E291"/>
    <mergeCell ref="F290:F291"/>
    <mergeCell ref="P290:AE290"/>
    <mergeCell ref="AF290:AF291"/>
    <mergeCell ref="AG290:AG291"/>
    <mergeCell ref="AH282:AH283"/>
    <mergeCell ref="A286:A287"/>
    <mergeCell ref="B286:B287"/>
    <mergeCell ref="C286:C287"/>
    <mergeCell ref="D286:D287"/>
    <mergeCell ref="E286:E287"/>
    <mergeCell ref="F286:F287"/>
    <mergeCell ref="P286:AE286"/>
    <mergeCell ref="AF286:AF287"/>
    <mergeCell ref="AG286:AG287"/>
    <mergeCell ref="AH286:AH287"/>
    <mergeCell ref="A282:A283"/>
    <mergeCell ref="B282:B283"/>
    <mergeCell ref="C282:C283"/>
    <mergeCell ref="D282:D283"/>
    <mergeCell ref="E282:E283"/>
    <mergeCell ref="F282:F283"/>
    <mergeCell ref="P282:AE282"/>
    <mergeCell ref="AF282:AF283"/>
    <mergeCell ref="AG282:AG283"/>
    <mergeCell ref="AH274:AH275"/>
    <mergeCell ref="A278:A279"/>
    <mergeCell ref="B278:B279"/>
    <mergeCell ref="C278:C279"/>
    <mergeCell ref="D278:D279"/>
    <mergeCell ref="E278:E279"/>
    <mergeCell ref="F278:F279"/>
    <mergeCell ref="P278:AE278"/>
    <mergeCell ref="AF278:AF279"/>
    <mergeCell ref="AG278:AG279"/>
    <mergeCell ref="AH278:AH279"/>
    <mergeCell ref="A274:A275"/>
    <mergeCell ref="B274:B275"/>
    <mergeCell ref="C274:C275"/>
    <mergeCell ref="D274:D275"/>
    <mergeCell ref="E274:E275"/>
    <mergeCell ref="F274:F275"/>
    <mergeCell ref="P274:AE274"/>
    <mergeCell ref="AF274:AF275"/>
    <mergeCell ref="AG274:AG275"/>
    <mergeCell ref="AH266:AH267"/>
    <mergeCell ref="A270:A271"/>
    <mergeCell ref="B270:B271"/>
    <mergeCell ref="C270:C271"/>
    <mergeCell ref="D270:D271"/>
    <mergeCell ref="E270:E271"/>
    <mergeCell ref="F270:F271"/>
    <mergeCell ref="P270:AE270"/>
    <mergeCell ref="AF270:AF271"/>
    <mergeCell ref="AG270:AG271"/>
    <mergeCell ref="AH270:AH271"/>
    <mergeCell ref="A266:A267"/>
    <mergeCell ref="B266:B267"/>
    <mergeCell ref="C266:C267"/>
    <mergeCell ref="D266:D267"/>
    <mergeCell ref="E266:E267"/>
    <mergeCell ref="F266:F267"/>
    <mergeCell ref="P266:AE266"/>
    <mergeCell ref="AF266:AF267"/>
    <mergeCell ref="AG266:AG267"/>
    <mergeCell ref="AH258:AH259"/>
    <mergeCell ref="A262:A263"/>
    <mergeCell ref="B262:B263"/>
    <mergeCell ref="C262:C263"/>
    <mergeCell ref="D262:D263"/>
    <mergeCell ref="E262:E263"/>
    <mergeCell ref="F262:F263"/>
    <mergeCell ref="P262:AE262"/>
    <mergeCell ref="AF262:AF263"/>
    <mergeCell ref="AG262:AG263"/>
    <mergeCell ref="AH262:AH263"/>
    <mergeCell ref="A258:A259"/>
    <mergeCell ref="B258:B259"/>
    <mergeCell ref="C258:C259"/>
    <mergeCell ref="D258:D259"/>
    <mergeCell ref="E258:E259"/>
    <mergeCell ref="F258:F259"/>
    <mergeCell ref="P258:AE258"/>
    <mergeCell ref="AF258:AF259"/>
    <mergeCell ref="AG258:AG259"/>
    <mergeCell ref="AH250:AH251"/>
    <mergeCell ref="A254:A255"/>
    <mergeCell ref="B254:B255"/>
    <mergeCell ref="C254:C255"/>
    <mergeCell ref="D254:D255"/>
    <mergeCell ref="E254:E255"/>
    <mergeCell ref="F254:F255"/>
    <mergeCell ref="P254:AE254"/>
    <mergeCell ref="AF254:AF255"/>
    <mergeCell ref="AG254:AG255"/>
    <mergeCell ref="AH254:AH255"/>
    <mergeCell ref="A250:A251"/>
    <mergeCell ref="B250:B251"/>
    <mergeCell ref="C250:C251"/>
    <mergeCell ref="D250:D251"/>
    <mergeCell ref="E250:E251"/>
    <mergeCell ref="F250:F251"/>
    <mergeCell ref="P250:AE250"/>
    <mergeCell ref="AF250:AF251"/>
    <mergeCell ref="AG250:AG251"/>
    <mergeCell ref="AH242:AH243"/>
    <mergeCell ref="A246:A247"/>
    <mergeCell ref="B246:B247"/>
    <mergeCell ref="C246:C247"/>
    <mergeCell ref="D246:D247"/>
    <mergeCell ref="E246:E247"/>
    <mergeCell ref="F246:F247"/>
    <mergeCell ref="P246:AE246"/>
    <mergeCell ref="AF246:AF247"/>
    <mergeCell ref="AG246:AG247"/>
    <mergeCell ref="AH246:AH247"/>
    <mergeCell ref="A242:A243"/>
    <mergeCell ref="B242:B243"/>
    <mergeCell ref="C242:C243"/>
    <mergeCell ref="D242:D243"/>
    <mergeCell ref="E242:E243"/>
    <mergeCell ref="F242:F243"/>
    <mergeCell ref="P242:AE242"/>
    <mergeCell ref="AF242:AF243"/>
    <mergeCell ref="AG242:AG243"/>
    <mergeCell ref="AH234:AH235"/>
    <mergeCell ref="A238:A239"/>
    <mergeCell ref="B238:B239"/>
    <mergeCell ref="C238:C239"/>
    <mergeCell ref="D238:D239"/>
    <mergeCell ref="E238:E239"/>
    <mergeCell ref="F238:F239"/>
    <mergeCell ref="P238:AE238"/>
    <mergeCell ref="AF238:AF239"/>
    <mergeCell ref="AG238:AG239"/>
    <mergeCell ref="AH238:AH239"/>
    <mergeCell ref="A234:A235"/>
    <mergeCell ref="B234:B235"/>
    <mergeCell ref="C234:C235"/>
    <mergeCell ref="D234:D235"/>
    <mergeCell ref="E234:E235"/>
    <mergeCell ref="F234:F235"/>
    <mergeCell ref="P234:AE234"/>
    <mergeCell ref="AF234:AF235"/>
    <mergeCell ref="AG234:AG235"/>
    <mergeCell ref="AH226:AH227"/>
    <mergeCell ref="A230:A231"/>
    <mergeCell ref="B230:B231"/>
    <mergeCell ref="C230:C231"/>
    <mergeCell ref="D230:D231"/>
    <mergeCell ref="E230:E231"/>
    <mergeCell ref="F230:F231"/>
    <mergeCell ref="P230:AE230"/>
    <mergeCell ref="AF230:AF231"/>
    <mergeCell ref="AG230:AG231"/>
    <mergeCell ref="AH230:AH231"/>
    <mergeCell ref="A226:A227"/>
    <mergeCell ref="B226:B227"/>
    <mergeCell ref="C226:C227"/>
    <mergeCell ref="D226:D227"/>
    <mergeCell ref="E226:E227"/>
    <mergeCell ref="F226:F227"/>
    <mergeCell ref="P226:AE226"/>
    <mergeCell ref="AF226:AF227"/>
    <mergeCell ref="AG226:AG227"/>
    <mergeCell ref="AH218:AH219"/>
    <mergeCell ref="A222:A223"/>
    <mergeCell ref="B222:B223"/>
    <mergeCell ref="C222:C223"/>
    <mergeCell ref="D222:D223"/>
    <mergeCell ref="E222:E223"/>
    <mergeCell ref="F222:F223"/>
    <mergeCell ref="P222:AE222"/>
    <mergeCell ref="AF222:AF223"/>
    <mergeCell ref="AG222:AG223"/>
    <mergeCell ref="AH222:AH223"/>
    <mergeCell ref="A218:A219"/>
    <mergeCell ref="B218:B219"/>
    <mergeCell ref="C218:C219"/>
    <mergeCell ref="D218:D219"/>
    <mergeCell ref="E218:E219"/>
    <mergeCell ref="F218:F219"/>
    <mergeCell ref="P218:AE218"/>
    <mergeCell ref="AF218:AF219"/>
    <mergeCell ref="AG218:AG219"/>
    <mergeCell ref="AH210:AH211"/>
    <mergeCell ref="A214:A215"/>
    <mergeCell ref="B214:B215"/>
    <mergeCell ref="C214:C215"/>
    <mergeCell ref="D214:D215"/>
    <mergeCell ref="E214:E215"/>
    <mergeCell ref="F214:F215"/>
    <mergeCell ref="P214:AE214"/>
    <mergeCell ref="AF214:AF215"/>
    <mergeCell ref="AG214:AG215"/>
    <mergeCell ref="AH214:AH215"/>
    <mergeCell ref="A210:A211"/>
    <mergeCell ref="B210:B211"/>
    <mergeCell ref="C210:C211"/>
    <mergeCell ref="D210:D211"/>
    <mergeCell ref="E210:E211"/>
    <mergeCell ref="F210:F211"/>
    <mergeCell ref="P210:AE210"/>
    <mergeCell ref="AF210:AF211"/>
    <mergeCell ref="AG210:AG211"/>
    <mergeCell ref="AH202:AH203"/>
    <mergeCell ref="A206:A207"/>
    <mergeCell ref="B206:B207"/>
    <mergeCell ref="C206:C207"/>
    <mergeCell ref="D206:D207"/>
    <mergeCell ref="E206:E207"/>
    <mergeCell ref="F206:F207"/>
    <mergeCell ref="P206:AE206"/>
    <mergeCell ref="AF206:AF207"/>
    <mergeCell ref="AG206:AG207"/>
    <mergeCell ref="AH206:AH207"/>
    <mergeCell ref="A202:A203"/>
    <mergeCell ref="B202:B203"/>
    <mergeCell ref="C202:C203"/>
    <mergeCell ref="D202:D203"/>
    <mergeCell ref="E202:E203"/>
    <mergeCell ref="F202:F203"/>
    <mergeCell ref="P202:AE202"/>
    <mergeCell ref="AF202:AF203"/>
    <mergeCell ref="AG202:AG203"/>
    <mergeCell ref="AH194:AH195"/>
    <mergeCell ref="A198:A199"/>
    <mergeCell ref="B198:B199"/>
    <mergeCell ref="C198:C199"/>
    <mergeCell ref="D198:D199"/>
    <mergeCell ref="E198:E199"/>
    <mergeCell ref="F198:F199"/>
    <mergeCell ref="P198:AE198"/>
    <mergeCell ref="AF198:AF199"/>
    <mergeCell ref="AG198:AG199"/>
    <mergeCell ref="AH198:AH199"/>
    <mergeCell ref="A194:A195"/>
    <mergeCell ref="B194:B195"/>
    <mergeCell ref="C194:C195"/>
    <mergeCell ref="D194:D195"/>
    <mergeCell ref="E194:E195"/>
    <mergeCell ref="F194:F195"/>
    <mergeCell ref="P194:AE194"/>
    <mergeCell ref="AF194:AF195"/>
    <mergeCell ref="AG194:AG195"/>
    <mergeCell ref="AH186:AH187"/>
    <mergeCell ref="A190:A191"/>
    <mergeCell ref="B190:B191"/>
    <mergeCell ref="C190:C191"/>
    <mergeCell ref="D190:D191"/>
    <mergeCell ref="E190:E191"/>
    <mergeCell ref="F190:F191"/>
    <mergeCell ref="P190:AE190"/>
    <mergeCell ref="AF190:AF191"/>
    <mergeCell ref="AG190:AG191"/>
    <mergeCell ref="AH190:AH191"/>
    <mergeCell ref="A186:A187"/>
    <mergeCell ref="B186:B187"/>
    <mergeCell ref="C186:C187"/>
    <mergeCell ref="D186:D187"/>
    <mergeCell ref="E186:E187"/>
    <mergeCell ref="F186:F187"/>
    <mergeCell ref="P186:AE186"/>
    <mergeCell ref="AF186:AF187"/>
    <mergeCell ref="AG186:AG187"/>
    <mergeCell ref="AH178:AH179"/>
    <mergeCell ref="A182:A183"/>
    <mergeCell ref="B182:B183"/>
    <mergeCell ref="C182:C183"/>
    <mergeCell ref="D182:D183"/>
    <mergeCell ref="E182:E183"/>
    <mergeCell ref="F182:F183"/>
    <mergeCell ref="P182:AE182"/>
    <mergeCell ref="AF182:AF183"/>
    <mergeCell ref="AG182:AG183"/>
    <mergeCell ref="AH182:AH183"/>
    <mergeCell ref="A178:A179"/>
    <mergeCell ref="B178:B179"/>
    <mergeCell ref="C178:C179"/>
    <mergeCell ref="D178:D179"/>
    <mergeCell ref="E178:E179"/>
    <mergeCell ref="F178:F179"/>
    <mergeCell ref="P178:AE178"/>
    <mergeCell ref="AF178:AF179"/>
    <mergeCell ref="AG178:AG179"/>
    <mergeCell ref="AH170:AH171"/>
    <mergeCell ref="A174:A175"/>
    <mergeCell ref="B174:B175"/>
    <mergeCell ref="C174:C175"/>
    <mergeCell ref="D174:D175"/>
    <mergeCell ref="E174:E175"/>
    <mergeCell ref="F174:F175"/>
    <mergeCell ref="P174:AE174"/>
    <mergeCell ref="AF174:AF175"/>
    <mergeCell ref="AG174:AG175"/>
    <mergeCell ref="AH174:AH175"/>
    <mergeCell ref="A170:A171"/>
    <mergeCell ref="B170:B171"/>
    <mergeCell ref="C170:C171"/>
    <mergeCell ref="D170:D171"/>
    <mergeCell ref="E170:E171"/>
    <mergeCell ref="F170:F171"/>
    <mergeCell ref="P170:AE170"/>
    <mergeCell ref="AF170:AF171"/>
    <mergeCell ref="AG170:AG171"/>
    <mergeCell ref="AH162:AH163"/>
    <mergeCell ref="A166:A167"/>
    <mergeCell ref="B166:B167"/>
    <mergeCell ref="C166:C167"/>
    <mergeCell ref="D166:D167"/>
    <mergeCell ref="E166:E167"/>
    <mergeCell ref="F166:F167"/>
    <mergeCell ref="P166:AE166"/>
    <mergeCell ref="AF166:AF167"/>
    <mergeCell ref="AG166:AG167"/>
    <mergeCell ref="AH166:AH167"/>
    <mergeCell ref="A162:A163"/>
    <mergeCell ref="B162:B163"/>
    <mergeCell ref="C162:C163"/>
    <mergeCell ref="D162:D163"/>
    <mergeCell ref="E162:E163"/>
    <mergeCell ref="F162:F163"/>
    <mergeCell ref="P162:AE162"/>
    <mergeCell ref="AF162:AF163"/>
    <mergeCell ref="AG162:AG163"/>
    <mergeCell ref="AH154:AH155"/>
    <mergeCell ref="A158:A159"/>
    <mergeCell ref="B158:B159"/>
    <mergeCell ref="C158:C159"/>
    <mergeCell ref="D158:D159"/>
    <mergeCell ref="E158:E159"/>
    <mergeCell ref="F158:F159"/>
    <mergeCell ref="P158:AE158"/>
    <mergeCell ref="AF158:AF159"/>
    <mergeCell ref="AG158:AG159"/>
    <mergeCell ref="AH158:AH159"/>
    <mergeCell ref="A154:A155"/>
    <mergeCell ref="B154:B155"/>
    <mergeCell ref="C154:C155"/>
    <mergeCell ref="D154:D155"/>
    <mergeCell ref="E154:E155"/>
    <mergeCell ref="F154:F155"/>
    <mergeCell ref="P154:AE154"/>
    <mergeCell ref="AF154:AF155"/>
    <mergeCell ref="AG154:AG155"/>
    <mergeCell ref="AH146:AH147"/>
    <mergeCell ref="A150:A151"/>
    <mergeCell ref="B150:B151"/>
    <mergeCell ref="C150:C151"/>
    <mergeCell ref="D150:D151"/>
    <mergeCell ref="E150:E151"/>
    <mergeCell ref="F150:F151"/>
    <mergeCell ref="P150:AE150"/>
    <mergeCell ref="AF150:AF151"/>
    <mergeCell ref="AG150:AG151"/>
    <mergeCell ref="AH150:AH151"/>
    <mergeCell ref="A146:A147"/>
    <mergeCell ref="B146:B147"/>
    <mergeCell ref="C146:C147"/>
    <mergeCell ref="D146:D147"/>
    <mergeCell ref="E146:E147"/>
    <mergeCell ref="F146:F147"/>
    <mergeCell ref="P146:AE146"/>
    <mergeCell ref="AF146:AF147"/>
    <mergeCell ref="AG146:AG147"/>
    <mergeCell ref="AH138:AH139"/>
    <mergeCell ref="A142:A143"/>
    <mergeCell ref="B142:B143"/>
    <mergeCell ref="C142:C143"/>
    <mergeCell ref="D142:D143"/>
    <mergeCell ref="E142:E143"/>
    <mergeCell ref="F142:F143"/>
    <mergeCell ref="P142:AE142"/>
    <mergeCell ref="AF142:AF143"/>
    <mergeCell ref="AG142:AG143"/>
    <mergeCell ref="AH142:AH143"/>
    <mergeCell ref="A138:A139"/>
    <mergeCell ref="B138:B139"/>
    <mergeCell ref="C138:C139"/>
    <mergeCell ref="D138:D139"/>
    <mergeCell ref="E138:E139"/>
    <mergeCell ref="F138:F139"/>
    <mergeCell ref="P138:AE138"/>
    <mergeCell ref="AF138:AF139"/>
    <mergeCell ref="AG138:AG139"/>
    <mergeCell ref="AH130:AH131"/>
    <mergeCell ref="A134:A135"/>
    <mergeCell ref="B134:B135"/>
    <mergeCell ref="C134:C135"/>
    <mergeCell ref="D134:D135"/>
    <mergeCell ref="E134:E135"/>
    <mergeCell ref="F134:F135"/>
    <mergeCell ref="P134:AE134"/>
    <mergeCell ref="AF134:AF135"/>
    <mergeCell ref="AG134:AG135"/>
    <mergeCell ref="AH134:AH135"/>
    <mergeCell ref="A130:A131"/>
    <mergeCell ref="B130:B131"/>
    <mergeCell ref="C130:C131"/>
    <mergeCell ref="D130:D131"/>
    <mergeCell ref="E130:E131"/>
    <mergeCell ref="F130:F131"/>
    <mergeCell ref="P130:AE130"/>
    <mergeCell ref="AF130:AF131"/>
    <mergeCell ref="AG130:AG131"/>
    <mergeCell ref="AH122:AH123"/>
    <mergeCell ref="A126:A127"/>
    <mergeCell ref="B126:B127"/>
    <mergeCell ref="C126:C127"/>
    <mergeCell ref="D126:D127"/>
    <mergeCell ref="E126:E127"/>
    <mergeCell ref="F126:F127"/>
    <mergeCell ref="P126:AE126"/>
    <mergeCell ref="AF126:AF127"/>
    <mergeCell ref="AG126:AG127"/>
    <mergeCell ref="AH126:AH127"/>
    <mergeCell ref="A122:A123"/>
    <mergeCell ref="B122:B123"/>
    <mergeCell ref="C122:C123"/>
    <mergeCell ref="D122:D123"/>
    <mergeCell ref="E122:E123"/>
    <mergeCell ref="F122:F123"/>
    <mergeCell ref="P122:AE122"/>
    <mergeCell ref="AF122:AF123"/>
    <mergeCell ref="AG122:AG123"/>
    <mergeCell ref="AH114:AH115"/>
    <mergeCell ref="A118:A119"/>
    <mergeCell ref="B118:B119"/>
    <mergeCell ref="C118:C119"/>
    <mergeCell ref="D118:D119"/>
    <mergeCell ref="E118:E119"/>
    <mergeCell ref="F118:F119"/>
    <mergeCell ref="P118:AE118"/>
    <mergeCell ref="AF118:AF119"/>
    <mergeCell ref="AG118:AG119"/>
    <mergeCell ref="AH118:AH119"/>
    <mergeCell ref="A114:A115"/>
    <mergeCell ref="B114:B115"/>
    <mergeCell ref="C114:C115"/>
    <mergeCell ref="D114:D115"/>
    <mergeCell ref="E114:E115"/>
    <mergeCell ref="F114:F115"/>
    <mergeCell ref="P114:AE114"/>
    <mergeCell ref="AF114:AF115"/>
    <mergeCell ref="AG114:AG115"/>
    <mergeCell ref="AH106:AH107"/>
    <mergeCell ref="A110:A111"/>
    <mergeCell ref="B110:B111"/>
    <mergeCell ref="C110:C111"/>
    <mergeCell ref="D110:D111"/>
    <mergeCell ref="E110:E111"/>
    <mergeCell ref="F110:F111"/>
    <mergeCell ref="P110:AE110"/>
    <mergeCell ref="AF110:AF111"/>
    <mergeCell ref="AG110:AG111"/>
    <mergeCell ref="AH110:AH111"/>
    <mergeCell ref="A106:A107"/>
    <mergeCell ref="B106:B107"/>
    <mergeCell ref="C106:C107"/>
    <mergeCell ref="D106:D107"/>
    <mergeCell ref="E106:E107"/>
    <mergeCell ref="F106:F107"/>
    <mergeCell ref="P106:AE106"/>
    <mergeCell ref="AF106:AF107"/>
    <mergeCell ref="AG106:AG107"/>
    <mergeCell ref="AH98:AH99"/>
    <mergeCell ref="A102:A103"/>
    <mergeCell ref="B102:B103"/>
    <mergeCell ref="C102:C103"/>
    <mergeCell ref="D102:D103"/>
    <mergeCell ref="E102:E103"/>
    <mergeCell ref="F102:F103"/>
    <mergeCell ref="P102:AE102"/>
    <mergeCell ref="AF102:AF103"/>
    <mergeCell ref="AG102:AG103"/>
    <mergeCell ref="AH102:AH103"/>
    <mergeCell ref="A98:A99"/>
    <mergeCell ref="B98:B99"/>
    <mergeCell ref="C98:C99"/>
    <mergeCell ref="D98:D99"/>
    <mergeCell ref="E98:E99"/>
    <mergeCell ref="F98:F99"/>
    <mergeCell ref="P98:AE98"/>
    <mergeCell ref="AF98:AF99"/>
    <mergeCell ref="AG98:AG99"/>
    <mergeCell ref="AH90:AH91"/>
    <mergeCell ref="A94:A95"/>
    <mergeCell ref="B94:B95"/>
    <mergeCell ref="C94:C95"/>
    <mergeCell ref="D94:D95"/>
    <mergeCell ref="E94:E95"/>
    <mergeCell ref="F94:F95"/>
    <mergeCell ref="P94:AE94"/>
    <mergeCell ref="AF94:AF95"/>
    <mergeCell ref="AG94:AG95"/>
    <mergeCell ref="AH94:AH95"/>
    <mergeCell ref="A90:A91"/>
    <mergeCell ref="B90:B91"/>
    <mergeCell ref="C90:C91"/>
    <mergeCell ref="D90:D91"/>
    <mergeCell ref="E90:E91"/>
    <mergeCell ref="F90:F91"/>
    <mergeCell ref="P90:AE90"/>
    <mergeCell ref="AF90:AF91"/>
    <mergeCell ref="AG90:AG91"/>
    <mergeCell ref="AH82:AH83"/>
    <mergeCell ref="A86:A87"/>
    <mergeCell ref="B86:B87"/>
    <mergeCell ref="C86:C87"/>
    <mergeCell ref="D86:D87"/>
    <mergeCell ref="E86:E87"/>
    <mergeCell ref="F86:F87"/>
    <mergeCell ref="P86:AE86"/>
    <mergeCell ref="AF86:AF87"/>
    <mergeCell ref="AG86:AG87"/>
    <mergeCell ref="AH86:AH87"/>
    <mergeCell ref="A82:A83"/>
    <mergeCell ref="B82:B83"/>
    <mergeCell ref="C82:C83"/>
    <mergeCell ref="D82:D83"/>
    <mergeCell ref="E82:E83"/>
    <mergeCell ref="F82:F83"/>
    <mergeCell ref="P82:AE82"/>
    <mergeCell ref="AF82:AF83"/>
    <mergeCell ref="AG82:AG83"/>
    <mergeCell ref="AH74:AH75"/>
    <mergeCell ref="A78:A79"/>
    <mergeCell ref="B78:B79"/>
    <mergeCell ref="C78:C79"/>
    <mergeCell ref="D78:D79"/>
    <mergeCell ref="E78:E79"/>
    <mergeCell ref="F78:F79"/>
    <mergeCell ref="P78:AE78"/>
    <mergeCell ref="AF78:AF79"/>
    <mergeCell ref="AG78:AG79"/>
    <mergeCell ref="AH78:AH79"/>
    <mergeCell ref="A74:A75"/>
    <mergeCell ref="B74:B75"/>
    <mergeCell ref="C74:C75"/>
    <mergeCell ref="D74:D75"/>
    <mergeCell ref="E74:E75"/>
    <mergeCell ref="F74:F75"/>
    <mergeCell ref="P74:AE74"/>
    <mergeCell ref="AF74:AF75"/>
    <mergeCell ref="AG74:AG75"/>
    <mergeCell ref="AH66:AH67"/>
    <mergeCell ref="A70:A71"/>
    <mergeCell ref="B70:B71"/>
    <mergeCell ref="C70:C71"/>
    <mergeCell ref="D70:D71"/>
    <mergeCell ref="E70:E71"/>
    <mergeCell ref="F70:F71"/>
    <mergeCell ref="P70:AE70"/>
    <mergeCell ref="AF70:AF71"/>
    <mergeCell ref="AG70:AG71"/>
    <mergeCell ref="AH70:AH71"/>
    <mergeCell ref="A66:A67"/>
    <mergeCell ref="B66:B67"/>
    <mergeCell ref="C66:C67"/>
    <mergeCell ref="D66:D67"/>
    <mergeCell ref="E66:E67"/>
    <mergeCell ref="F66:F67"/>
    <mergeCell ref="P66:AE66"/>
    <mergeCell ref="AF66:AF67"/>
    <mergeCell ref="AG66:AG67"/>
    <mergeCell ref="AH58:AH59"/>
    <mergeCell ref="A62:A63"/>
    <mergeCell ref="B62:B63"/>
    <mergeCell ref="C62:C63"/>
    <mergeCell ref="D62:D63"/>
    <mergeCell ref="E62:E63"/>
    <mergeCell ref="F62:F63"/>
    <mergeCell ref="P62:AE62"/>
    <mergeCell ref="AF62:AF63"/>
    <mergeCell ref="AG62:AG63"/>
    <mergeCell ref="AH62:AH63"/>
    <mergeCell ref="A58:A59"/>
    <mergeCell ref="B58:B59"/>
    <mergeCell ref="C58:C59"/>
    <mergeCell ref="D58:D59"/>
    <mergeCell ref="E58:E59"/>
    <mergeCell ref="F58:F59"/>
    <mergeCell ref="P58:AE58"/>
    <mergeCell ref="AF58:AF59"/>
    <mergeCell ref="AG58:AG59"/>
    <mergeCell ref="AH50:AH51"/>
    <mergeCell ref="A54:A55"/>
    <mergeCell ref="B54:B55"/>
    <mergeCell ref="C54:C55"/>
    <mergeCell ref="D54:D55"/>
    <mergeCell ref="E54:E55"/>
    <mergeCell ref="F54:F55"/>
    <mergeCell ref="P54:AE54"/>
    <mergeCell ref="AF54:AF55"/>
    <mergeCell ref="AG54:AG55"/>
    <mergeCell ref="AH54:AH55"/>
    <mergeCell ref="A50:A51"/>
    <mergeCell ref="B50:B51"/>
    <mergeCell ref="C50:C51"/>
    <mergeCell ref="D50:D51"/>
    <mergeCell ref="E50:E51"/>
    <mergeCell ref="F50:F51"/>
    <mergeCell ref="P50:AE50"/>
    <mergeCell ref="AF50:AF51"/>
    <mergeCell ref="AG50:AG51"/>
    <mergeCell ref="AH42:AH43"/>
    <mergeCell ref="A46:A47"/>
    <mergeCell ref="B46:B47"/>
    <mergeCell ref="C46:C47"/>
    <mergeCell ref="D46:D47"/>
    <mergeCell ref="E46:E47"/>
    <mergeCell ref="F46:F47"/>
    <mergeCell ref="P46:AE46"/>
    <mergeCell ref="AF46:AF47"/>
    <mergeCell ref="AG46:AG47"/>
    <mergeCell ref="AH46:AH47"/>
    <mergeCell ref="A42:A43"/>
    <mergeCell ref="B42:B43"/>
    <mergeCell ref="C42:C43"/>
    <mergeCell ref="D42:D43"/>
    <mergeCell ref="E42:E43"/>
    <mergeCell ref="F42:F43"/>
    <mergeCell ref="P42:AE42"/>
    <mergeCell ref="AF42:AF43"/>
    <mergeCell ref="AG42:AG43"/>
    <mergeCell ref="AH34:AH35"/>
    <mergeCell ref="A38:A39"/>
    <mergeCell ref="B38:B39"/>
    <mergeCell ref="C38:C39"/>
    <mergeCell ref="D38:D39"/>
    <mergeCell ref="E38:E39"/>
    <mergeCell ref="F38:F39"/>
    <mergeCell ref="P38:AE38"/>
    <mergeCell ref="AF38:AF39"/>
    <mergeCell ref="AG38:AG39"/>
    <mergeCell ref="AH38:AH39"/>
    <mergeCell ref="A34:A35"/>
    <mergeCell ref="B34:B35"/>
    <mergeCell ref="C34:C35"/>
    <mergeCell ref="D34:D35"/>
    <mergeCell ref="E34:E35"/>
    <mergeCell ref="F34:F35"/>
    <mergeCell ref="P34:AE34"/>
    <mergeCell ref="AF34:AF35"/>
    <mergeCell ref="AG34:AG35"/>
    <mergeCell ref="AH26:AH27"/>
    <mergeCell ref="A30:A31"/>
    <mergeCell ref="B30:B31"/>
    <mergeCell ref="C30:C31"/>
    <mergeCell ref="D30:D31"/>
    <mergeCell ref="E30:E31"/>
    <mergeCell ref="F30:F31"/>
    <mergeCell ref="P30:AE30"/>
    <mergeCell ref="AF30:AF31"/>
    <mergeCell ref="AG30:AG31"/>
    <mergeCell ref="AH30:AH31"/>
    <mergeCell ref="A26:A27"/>
    <mergeCell ref="B26:B27"/>
    <mergeCell ref="C26:C27"/>
    <mergeCell ref="D26:D27"/>
    <mergeCell ref="E26:E27"/>
    <mergeCell ref="F26:F27"/>
    <mergeCell ref="P26:AE26"/>
    <mergeCell ref="AF26:AF27"/>
    <mergeCell ref="AG26:AG27"/>
    <mergeCell ref="AH18:AH19"/>
    <mergeCell ref="A22:A23"/>
    <mergeCell ref="B22:B23"/>
    <mergeCell ref="C22:C23"/>
    <mergeCell ref="D22:D23"/>
    <mergeCell ref="E22:E23"/>
    <mergeCell ref="F22:F23"/>
    <mergeCell ref="P22:AE22"/>
    <mergeCell ref="AF22:AF23"/>
    <mergeCell ref="AG22:AG23"/>
    <mergeCell ref="AH22:AH23"/>
    <mergeCell ref="A18:A19"/>
    <mergeCell ref="B18:B19"/>
    <mergeCell ref="C18:C19"/>
    <mergeCell ref="D18:D19"/>
    <mergeCell ref="E18:E19"/>
    <mergeCell ref="F18:F19"/>
    <mergeCell ref="P18:AE18"/>
    <mergeCell ref="AF18:AF19"/>
    <mergeCell ref="AG18:AG19"/>
    <mergeCell ref="AH10:AH11"/>
    <mergeCell ref="A14:A15"/>
    <mergeCell ref="B14:B15"/>
    <mergeCell ref="C14:C15"/>
    <mergeCell ref="D14:D15"/>
    <mergeCell ref="E14:E15"/>
    <mergeCell ref="F14:F15"/>
    <mergeCell ref="P14:AE14"/>
    <mergeCell ref="AF14:AF15"/>
    <mergeCell ref="AG14:AG15"/>
    <mergeCell ref="AH14:AH15"/>
    <mergeCell ref="A10:A11"/>
    <mergeCell ref="B10:B11"/>
    <mergeCell ref="C10:C11"/>
    <mergeCell ref="D10:D11"/>
    <mergeCell ref="E10:E11"/>
    <mergeCell ref="F10:F11"/>
    <mergeCell ref="P10:AE10"/>
    <mergeCell ref="AF10:AF11"/>
    <mergeCell ref="AG10:AG11"/>
    <mergeCell ref="P2:AE2"/>
    <mergeCell ref="AF2:AF3"/>
    <mergeCell ref="AG2:AG3"/>
    <mergeCell ref="AH2:AH3"/>
    <mergeCell ref="A6:A7"/>
    <mergeCell ref="B6:B7"/>
    <mergeCell ref="C6:C7"/>
    <mergeCell ref="D6:D7"/>
    <mergeCell ref="E6:E7"/>
    <mergeCell ref="F6:F7"/>
    <mergeCell ref="A2:A3"/>
    <mergeCell ref="B2:B3"/>
    <mergeCell ref="C2:C3"/>
    <mergeCell ref="D2:D3"/>
    <mergeCell ref="E2:E3"/>
    <mergeCell ref="F2:F3"/>
    <mergeCell ref="P6:AE6"/>
    <mergeCell ref="AF6:AF7"/>
    <mergeCell ref="AG6:AG7"/>
    <mergeCell ref="AH6:AH7"/>
  </mergeCells>
  <pageMargins left="0" right="0.5" top="0" bottom="0" header="0" footer="0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تقرير الرواتب</vt:lpstr>
      <vt:lpstr>فرع الاردنية</vt:lpstr>
      <vt:lpstr>شرايط قبض الاردنية</vt:lpstr>
      <vt:lpstr>فرع الرواد</vt:lpstr>
      <vt:lpstr>شرايط قبض الرواد</vt:lpstr>
      <vt:lpstr>فرع الزقازيق</vt:lpstr>
      <vt:lpstr>شرايط قبض الزقازيق</vt:lpstr>
      <vt:lpstr>فرع السلام</vt:lpstr>
      <vt:lpstr>شرايط قبض السلام</vt:lpstr>
      <vt:lpstr>مركز التجهيزات</vt:lpstr>
      <vt:lpstr>شرايط قبض مركز التجهيزات</vt:lpstr>
      <vt:lpstr>مركز الاتصالات</vt:lpstr>
      <vt:lpstr>شرايط قبض مركز الاتصالات</vt:lpstr>
      <vt:lpstr>الادارة المالية</vt:lpstr>
      <vt:lpstr>شرايط قبض الادارة المالية</vt:lpstr>
      <vt:lpstr>التشغيل</vt:lpstr>
      <vt:lpstr>شرايط قبض التشغيل</vt:lpstr>
      <vt:lpstr>'الادارة المالية'!Print_Area</vt:lpstr>
      <vt:lpstr>التشغيل!Print_Area</vt:lpstr>
      <vt:lpstr>'فرع الاردنية'!Print_Area</vt:lpstr>
      <vt:lpstr>'فرع الرواد'!Print_Area</vt:lpstr>
      <vt:lpstr>'فرع الزقازيق'!Print_Area</vt:lpstr>
      <vt:lpstr>'فرع السلام'!Print_Area</vt:lpstr>
      <vt:lpstr>'مركز الاتصالات'!Print_Area</vt:lpstr>
      <vt:lpstr>'مركز التجهيزات'!Print_Area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Fatouh</dc:creator>
  <cp:lastModifiedBy>mahmoud eid</cp:lastModifiedBy>
  <cp:lastPrinted>2025-12-01T18:37:28Z</cp:lastPrinted>
  <dcterms:created xsi:type="dcterms:W3CDTF">2025-02-18T11:48:10Z</dcterms:created>
  <dcterms:modified xsi:type="dcterms:W3CDTF">2026-03-13T18:43:55Z</dcterms:modified>
</cp:coreProperties>
</file>